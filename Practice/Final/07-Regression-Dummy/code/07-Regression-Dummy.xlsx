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C584FB49-FAA3-429D-8B02-48F59DA0AF92}" xr6:coauthVersionLast="47" xr6:coauthVersionMax="47" xr10:uidLastSave="{00000000-0000-0000-0000-000000000000}"/>
  <bookViews>
    <workbookView xWindow="-28920" yWindow="-120" windowWidth="29040" windowHeight="15720" activeTab="5" xr2:uid="{015544BD-61F2-4479-A40F-DF5FF0962921}"/>
  </bookViews>
  <sheets>
    <sheet name="salaryAll" sheetId="2" r:id="rId1"/>
    <sheet name="banksalary" sheetId="4" r:id="rId2"/>
    <sheet name="mustardAll" sheetId="3" r:id="rId3"/>
    <sheet name="mustardTrendSeason" sheetId="5" r:id="rId4"/>
    <sheet name="bankCV" sheetId="7" r:id="rId5"/>
    <sheet name="NewCarSalesQtr" sheetId="11" r:id="rId6"/>
    <sheet name="temp" sheetId="10" r:id="rId7"/>
  </sheets>
  <definedNames>
    <definedName name="_xlnm._FilterDatabase" localSheetId="4" hidden="1">bankCV!$A$1:$H$209</definedName>
    <definedName name="_xlnm._FilterDatabase" localSheetId="1" hidden="1">banksalary!$A$1:$I$209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1" l="1"/>
  <c r="I3" i="11"/>
  <c r="J3" i="11"/>
  <c r="K3" i="11"/>
  <c r="H4" i="11"/>
  <c r="I4" i="11"/>
  <c r="J4" i="11"/>
  <c r="K4" i="11"/>
  <c r="H5" i="11"/>
  <c r="I5" i="11"/>
  <c r="J5" i="11"/>
  <c r="K5" i="11"/>
  <c r="H6" i="11"/>
  <c r="I6" i="11"/>
  <c r="J6" i="11"/>
  <c r="K6" i="11"/>
  <c r="H7" i="11"/>
  <c r="I7" i="11"/>
  <c r="J7" i="11"/>
  <c r="K7" i="11"/>
  <c r="H8" i="11"/>
  <c r="I8" i="11"/>
  <c r="J8" i="11"/>
  <c r="K8" i="11"/>
  <c r="H9" i="11"/>
  <c r="I9" i="11"/>
  <c r="J9" i="11"/>
  <c r="K9" i="11"/>
  <c r="H10" i="11"/>
  <c r="I10" i="11"/>
  <c r="J10" i="11"/>
  <c r="K10" i="11"/>
  <c r="H11" i="11"/>
  <c r="I11" i="11"/>
  <c r="J11" i="11"/>
  <c r="K11" i="11"/>
  <c r="H12" i="11"/>
  <c r="I12" i="11"/>
  <c r="J12" i="11"/>
  <c r="K12" i="11"/>
  <c r="H13" i="11"/>
  <c r="I13" i="11"/>
  <c r="J13" i="11"/>
  <c r="K13" i="11"/>
  <c r="H14" i="11"/>
  <c r="I14" i="11"/>
  <c r="J14" i="11"/>
  <c r="K14" i="11"/>
  <c r="H15" i="11"/>
  <c r="I15" i="11"/>
  <c r="J15" i="11"/>
  <c r="K15" i="11"/>
  <c r="H16" i="11"/>
  <c r="I16" i="11"/>
  <c r="J16" i="11"/>
  <c r="K16" i="11"/>
  <c r="H17" i="11"/>
  <c r="I17" i="11"/>
  <c r="J17" i="11"/>
  <c r="K17" i="11"/>
  <c r="H18" i="11"/>
  <c r="I18" i="11"/>
  <c r="J18" i="11"/>
  <c r="K18" i="11"/>
  <c r="H19" i="11"/>
  <c r="I19" i="11"/>
  <c r="J19" i="11"/>
  <c r="K19" i="11"/>
  <c r="H20" i="11"/>
  <c r="I20" i="11"/>
  <c r="J20" i="11"/>
  <c r="K20" i="11"/>
  <c r="H21" i="11"/>
  <c r="I21" i="11"/>
  <c r="J21" i="11"/>
  <c r="K21" i="11"/>
  <c r="H22" i="11"/>
  <c r="I22" i="11"/>
  <c r="J22" i="11"/>
  <c r="K22" i="11"/>
  <c r="H23" i="11"/>
  <c r="I23" i="11"/>
  <c r="J23" i="11"/>
  <c r="K23" i="11"/>
  <c r="H24" i="11"/>
  <c r="I24" i="11"/>
  <c r="J24" i="11"/>
  <c r="K24" i="11"/>
  <c r="H25" i="11"/>
  <c r="I25" i="11"/>
  <c r="J25" i="11"/>
  <c r="K25" i="11"/>
  <c r="H26" i="11"/>
  <c r="I26" i="11"/>
  <c r="J26" i="11"/>
  <c r="K26" i="11"/>
  <c r="H27" i="11"/>
  <c r="I27" i="11"/>
  <c r="J27" i="11"/>
  <c r="K27" i="11"/>
  <c r="H28" i="11"/>
  <c r="I28" i="11"/>
  <c r="J28" i="11"/>
  <c r="K28" i="11"/>
  <c r="H29" i="11"/>
  <c r="I29" i="11"/>
  <c r="J29" i="11"/>
  <c r="K29" i="11"/>
  <c r="H30" i="11"/>
  <c r="I30" i="11"/>
  <c r="J30" i="11"/>
  <c r="K30" i="11"/>
  <c r="H31" i="11"/>
  <c r="I31" i="11"/>
  <c r="J31" i="11"/>
  <c r="K31" i="11"/>
  <c r="H32" i="11"/>
  <c r="I32" i="11"/>
  <c r="J32" i="11"/>
  <c r="K32" i="11"/>
  <c r="H33" i="11"/>
  <c r="I33" i="11"/>
  <c r="J33" i="11"/>
  <c r="K33" i="11"/>
  <c r="H34" i="11"/>
  <c r="I34" i="11"/>
  <c r="J34" i="11"/>
  <c r="K34" i="11"/>
  <c r="H35" i="11"/>
  <c r="I35" i="11"/>
  <c r="J35" i="11"/>
  <c r="K35" i="11"/>
  <c r="H36" i="11"/>
  <c r="I36" i="11"/>
  <c r="J36" i="11"/>
  <c r="K36" i="11"/>
  <c r="H37" i="11"/>
  <c r="I37" i="11"/>
  <c r="J37" i="11"/>
  <c r="K37" i="11"/>
  <c r="H38" i="11"/>
  <c r="I38" i="11"/>
  <c r="J38" i="11"/>
  <c r="K38" i="11"/>
  <c r="H39" i="11"/>
  <c r="I39" i="11"/>
  <c r="J39" i="11"/>
  <c r="K39" i="11"/>
  <c r="H40" i="11"/>
  <c r="I40" i="11"/>
  <c r="J40" i="11"/>
  <c r="K40" i="11"/>
  <c r="H41" i="11"/>
  <c r="I41" i="11"/>
  <c r="J41" i="11"/>
  <c r="K41" i="11"/>
  <c r="H42" i="11"/>
  <c r="I42" i="11"/>
  <c r="J42" i="11"/>
  <c r="K42" i="11"/>
  <c r="H43" i="11"/>
  <c r="I43" i="11"/>
  <c r="J43" i="11"/>
  <c r="K43" i="11"/>
  <c r="H44" i="11"/>
  <c r="I44" i="11"/>
  <c r="J44" i="11"/>
  <c r="K44" i="11"/>
  <c r="H45" i="11"/>
  <c r="I45" i="11"/>
  <c r="J45" i="11"/>
  <c r="K45" i="11"/>
  <c r="H46" i="11"/>
  <c r="I46" i="11"/>
  <c r="J46" i="11"/>
  <c r="K46" i="11"/>
  <c r="H47" i="11"/>
  <c r="I47" i="11"/>
  <c r="J47" i="11"/>
  <c r="K47" i="11"/>
  <c r="H48" i="11"/>
  <c r="I48" i="11"/>
  <c r="J48" i="11"/>
  <c r="K48" i="11"/>
  <c r="H49" i="11"/>
  <c r="I49" i="11"/>
  <c r="J49" i="11"/>
  <c r="K49" i="11"/>
  <c r="H50" i="11"/>
  <c r="I50" i="11"/>
  <c r="J50" i="11"/>
  <c r="K50" i="11"/>
  <c r="H51" i="11"/>
  <c r="I51" i="11"/>
  <c r="J51" i="11"/>
  <c r="K51" i="11"/>
  <c r="H52" i="11"/>
  <c r="I52" i="11"/>
  <c r="J52" i="11"/>
  <c r="K52" i="11"/>
  <c r="H53" i="11"/>
  <c r="I53" i="11"/>
  <c r="J53" i="11"/>
  <c r="K53" i="11"/>
  <c r="H54" i="11"/>
  <c r="I54" i="11"/>
  <c r="J54" i="11"/>
  <c r="K54" i="11"/>
  <c r="H55" i="11"/>
  <c r="I55" i="11"/>
  <c r="J55" i="11"/>
  <c r="K55" i="11"/>
  <c r="H56" i="11"/>
  <c r="I56" i="11"/>
  <c r="J56" i="11"/>
  <c r="K56" i="11"/>
  <c r="H57" i="11"/>
  <c r="I57" i="11"/>
  <c r="J57" i="11"/>
  <c r="K57" i="11"/>
  <c r="H58" i="11"/>
  <c r="I58" i="11"/>
  <c r="J58" i="11"/>
  <c r="K58" i="11"/>
  <c r="H59" i="11"/>
  <c r="I59" i="11"/>
  <c r="J59" i="11"/>
  <c r="K59" i="11"/>
  <c r="H60" i="11"/>
  <c r="I60" i="11"/>
  <c r="J60" i="11"/>
  <c r="K60" i="11"/>
  <c r="H61" i="11"/>
  <c r="I61" i="11"/>
  <c r="J61" i="11"/>
  <c r="K61" i="11"/>
  <c r="I2" i="11"/>
  <c r="J2" i="11"/>
  <c r="K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2" i="11"/>
  <c r="V1" i="10" a="1"/>
  <c r="V1" i="10" s="1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" i="10"/>
  <c r="U32" i="10"/>
  <c r="P32" i="10"/>
  <c r="U31" i="10"/>
  <c r="P31" i="10"/>
  <c r="U30" i="10"/>
  <c r="P30" i="10"/>
  <c r="U29" i="10"/>
  <c r="P29" i="10"/>
  <c r="U28" i="10"/>
  <c r="P28" i="10"/>
  <c r="U27" i="10"/>
  <c r="P27" i="10"/>
  <c r="U26" i="10"/>
  <c r="P26" i="10"/>
  <c r="U25" i="10"/>
  <c r="P25" i="10"/>
  <c r="U24" i="10"/>
  <c r="P24" i="10"/>
  <c r="U23" i="10"/>
  <c r="P23" i="10"/>
  <c r="U22" i="10"/>
  <c r="P22" i="10"/>
  <c r="U21" i="10"/>
  <c r="P21" i="10"/>
  <c r="U20" i="10"/>
  <c r="P20" i="10"/>
  <c r="U19" i="10"/>
  <c r="P19" i="10"/>
  <c r="U18" i="10"/>
  <c r="P18" i="10"/>
  <c r="U17" i="10"/>
  <c r="P17" i="10"/>
  <c r="U16" i="10"/>
  <c r="P16" i="10"/>
  <c r="U15" i="10"/>
  <c r="P15" i="10"/>
  <c r="U14" i="10"/>
  <c r="P14" i="10"/>
  <c r="U13" i="10"/>
  <c r="P13" i="10"/>
  <c r="U12" i="10"/>
  <c r="P12" i="10"/>
  <c r="U11" i="10"/>
  <c r="P11" i="10"/>
  <c r="U10" i="10"/>
  <c r="P10" i="10"/>
  <c r="U9" i="10"/>
  <c r="P9" i="10"/>
  <c r="U8" i="10"/>
  <c r="P8" i="10"/>
  <c r="U7" i="10"/>
  <c r="P7" i="10"/>
  <c r="U6" i="10"/>
  <c r="P6" i="10"/>
  <c r="U5" i="10"/>
  <c r="P5" i="10"/>
  <c r="U4" i="10"/>
  <c r="P4" i="10"/>
  <c r="U3" i="10"/>
  <c r="P3" i="10"/>
  <c r="J3" i="10"/>
  <c r="K3" i="10"/>
  <c r="H122" i="10"/>
  <c r="C122" i="10"/>
  <c r="H121" i="10"/>
  <c r="C121" i="10"/>
  <c r="H120" i="10"/>
  <c r="C120" i="10"/>
  <c r="H119" i="10"/>
  <c r="C119" i="10"/>
  <c r="H118" i="10"/>
  <c r="C118" i="10"/>
  <c r="H117" i="10"/>
  <c r="C117" i="10"/>
  <c r="H116" i="10"/>
  <c r="C116" i="10"/>
  <c r="H115" i="10"/>
  <c r="C115" i="10"/>
  <c r="H114" i="10"/>
  <c r="C114" i="10"/>
  <c r="H113" i="10"/>
  <c r="C113" i="10"/>
  <c r="H112" i="10"/>
  <c r="C112" i="10"/>
  <c r="H111" i="10"/>
  <c r="C111" i="10"/>
  <c r="H110" i="10"/>
  <c r="C110" i="10"/>
  <c r="H109" i="10"/>
  <c r="C109" i="10"/>
  <c r="H108" i="10"/>
  <c r="C108" i="10"/>
  <c r="H107" i="10"/>
  <c r="C107" i="10"/>
  <c r="H106" i="10"/>
  <c r="C106" i="10"/>
  <c r="H105" i="10"/>
  <c r="C105" i="10"/>
  <c r="H104" i="10"/>
  <c r="C104" i="10"/>
  <c r="H103" i="10"/>
  <c r="C103" i="10"/>
  <c r="H102" i="10"/>
  <c r="C102" i="10"/>
  <c r="H101" i="10"/>
  <c r="C101" i="10"/>
  <c r="H100" i="10"/>
  <c r="C100" i="10"/>
  <c r="H99" i="10"/>
  <c r="C99" i="10"/>
  <c r="H98" i="10"/>
  <c r="C98" i="10"/>
  <c r="H97" i="10"/>
  <c r="C97" i="10"/>
  <c r="H96" i="10"/>
  <c r="C96" i="10"/>
  <c r="H95" i="10"/>
  <c r="C95" i="10"/>
  <c r="H94" i="10"/>
  <c r="C94" i="10"/>
  <c r="H93" i="10"/>
  <c r="C93" i="10"/>
  <c r="H92" i="10"/>
  <c r="C92" i="10"/>
  <c r="H91" i="10"/>
  <c r="C91" i="10"/>
  <c r="H90" i="10"/>
  <c r="C90" i="10"/>
  <c r="H89" i="10"/>
  <c r="C89" i="10"/>
  <c r="H88" i="10"/>
  <c r="C88" i="10"/>
  <c r="H87" i="10"/>
  <c r="C87" i="10"/>
  <c r="H86" i="10"/>
  <c r="C86" i="10"/>
  <c r="H85" i="10"/>
  <c r="C85" i="10"/>
  <c r="H84" i="10"/>
  <c r="C84" i="10"/>
  <c r="H83" i="10"/>
  <c r="C83" i="10"/>
  <c r="H82" i="10"/>
  <c r="C82" i="10"/>
  <c r="H81" i="10"/>
  <c r="C81" i="10"/>
  <c r="H80" i="10"/>
  <c r="C80" i="10"/>
  <c r="H79" i="10"/>
  <c r="C79" i="10"/>
  <c r="H78" i="10"/>
  <c r="C78" i="10"/>
  <c r="H77" i="10"/>
  <c r="C77" i="10"/>
  <c r="H76" i="10"/>
  <c r="C76" i="10"/>
  <c r="H75" i="10"/>
  <c r="C75" i="10"/>
  <c r="H74" i="10"/>
  <c r="C74" i="10"/>
  <c r="H73" i="10"/>
  <c r="C73" i="10"/>
  <c r="H72" i="10"/>
  <c r="C72" i="10"/>
  <c r="H71" i="10"/>
  <c r="C71" i="10"/>
  <c r="H70" i="10"/>
  <c r="C70" i="10"/>
  <c r="H69" i="10"/>
  <c r="C69" i="10"/>
  <c r="H68" i="10"/>
  <c r="C68" i="10"/>
  <c r="H67" i="10"/>
  <c r="C67" i="10"/>
  <c r="H66" i="10"/>
  <c r="C66" i="10"/>
  <c r="H65" i="10"/>
  <c r="C65" i="10"/>
  <c r="H64" i="10"/>
  <c r="C64" i="10"/>
  <c r="H63" i="10"/>
  <c r="C63" i="10"/>
  <c r="H62" i="10"/>
  <c r="C62" i="10"/>
  <c r="H61" i="10"/>
  <c r="C61" i="10"/>
  <c r="H60" i="10"/>
  <c r="C60" i="10"/>
  <c r="H59" i="10"/>
  <c r="C59" i="10"/>
  <c r="H58" i="10"/>
  <c r="C58" i="10"/>
  <c r="H57" i="10"/>
  <c r="C57" i="10"/>
  <c r="H56" i="10"/>
  <c r="C56" i="10"/>
  <c r="H55" i="10"/>
  <c r="C55" i="10"/>
  <c r="H54" i="10"/>
  <c r="C54" i="10"/>
  <c r="H53" i="10"/>
  <c r="C53" i="10"/>
  <c r="H52" i="10"/>
  <c r="C52" i="10"/>
  <c r="H51" i="10"/>
  <c r="C51" i="10"/>
  <c r="H50" i="10"/>
  <c r="C50" i="10"/>
  <c r="H49" i="10"/>
  <c r="C49" i="10"/>
  <c r="H48" i="10"/>
  <c r="C48" i="10"/>
  <c r="H47" i="10"/>
  <c r="C47" i="10"/>
  <c r="H46" i="10"/>
  <c r="C46" i="10"/>
  <c r="H45" i="10"/>
  <c r="C45" i="10"/>
  <c r="H44" i="10"/>
  <c r="C44" i="10"/>
  <c r="H43" i="10"/>
  <c r="C43" i="10"/>
  <c r="H42" i="10"/>
  <c r="C42" i="10"/>
  <c r="H41" i="10"/>
  <c r="C41" i="10"/>
  <c r="H40" i="10"/>
  <c r="C40" i="10"/>
  <c r="H39" i="10"/>
  <c r="C39" i="10"/>
  <c r="H38" i="10"/>
  <c r="C38" i="10"/>
  <c r="H37" i="10"/>
  <c r="C37" i="10"/>
  <c r="H36" i="10"/>
  <c r="C36" i="10"/>
  <c r="H35" i="10"/>
  <c r="C35" i="10"/>
  <c r="H34" i="10"/>
  <c r="C34" i="10"/>
  <c r="H33" i="10"/>
  <c r="C33" i="10"/>
  <c r="H32" i="10"/>
  <c r="C32" i="10"/>
  <c r="H31" i="10"/>
  <c r="C31" i="10"/>
  <c r="H30" i="10"/>
  <c r="C30" i="10"/>
  <c r="H29" i="10"/>
  <c r="C29" i="10"/>
  <c r="H28" i="10"/>
  <c r="C28" i="10"/>
  <c r="H27" i="10"/>
  <c r="C27" i="10"/>
  <c r="H26" i="10"/>
  <c r="C26" i="10"/>
  <c r="H25" i="10"/>
  <c r="C25" i="10"/>
  <c r="H24" i="10"/>
  <c r="C24" i="10"/>
  <c r="H23" i="10"/>
  <c r="C23" i="10"/>
  <c r="H22" i="10"/>
  <c r="C22" i="10"/>
  <c r="H21" i="10"/>
  <c r="C21" i="10"/>
  <c r="H20" i="10"/>
  <c r="C20" i="10"/>
  <c r="H19" i="10"/>
  <c r="C19" i="10"/>
  <c r="H18" i="10"/>
  <c r="C18" i="10"/>
  <c r="H17" i="10"/>
  <c r="C17" i="10"/>
  <c r="H16" i="10"/>
  <c r="C16" i="10"/>
  <c r="H15" i="10"/>
  <c r="C15" i="10"/>
  <c r="H14" i="10"/>
  <c r="C14" i="10"/>
  <c r="H13" i="10"/>
  <c r="C13" i="10"/>
  <c r="H12" i="10"/>
  <c r="C12" i="10"/>
  <c r="H11" i="10"/>
  <c r="C11" i="10"/>
  <c r="H10" i="10"/>
  <c r="C10" i="10"/>
  <c r="H9" i="10"/>
  <c r="C9" i="10"/>
  <c r="H8" i="10"/>
  <c r="C8" i="10"/>
  <c r="H7" i="10"/>
  <c r="C7" i="10"/>
  <c r="H6" i="10"/>
  <c r="C6" i="10"/>
  <c r="H5" i="10"/>
  <c r="C5" i="10"/>
  <c r="H4" i="10"/>
  <c r="C4" i="10"/>
  <c r="H3" i="10"/>
  <c r="C3" i="10"/>
  <c r="H209" i="7" l="1"/>
  <c r="C209" i="7"/>
  <c r="H208" i="7"/>
  <c r="C208" i="7"/>
  <c r="H207" i="7"/>
  <c r="C207" i="7"/>
  <c r="H206" i="7"/>
  <c r="C206" i="7"/>
  <c r="H205" i="7"/>
  <c r="C205" i="7"/>
  <c r="H204" i="7"/>
  <c r="C204" i="7"/>
  <c r="H203" i="7"/>
  <c r="C203" i="7"/>
  <c r="H202" i="7"/>
  <c r="C202" i="7"/>
  <c r="H201" i="7"/>
  <c r="C201" i="7"/>
  <c r="H200" i="7"/>
  <c r="C200" i="7"/>
  <c r="H199" i="7"/>
  <c r="C199" i="7"/>
  <c r="H198" i="7"/>
  <c r="C198" i="7"/>
  <c r="H197" i="7"/>
  <c r="C197" i="7"/>
  <c r="H196" i="7"/>
  <c r="C196" i="7"/>
  <c r="H195" i="7"/>
  <c r="C195" i="7"/>
  <c r="H194" i="7"/>
  <c r="C194" i="7"/>
  <c r="H193" i="7"/>
  <c r="C193" i="7"/>
  <c r="H192" i="7"/>
  <c r="C192" i="7"/>
  <c r="H191" i="7"/>
  <c r="C191" i="7"/>
  <c r="H190" i="7"/>
  <c r="C190" i="7"/>
  <c r="H189" i="7"/>
  <c r="C189" i="7"/>
  <c r="H188" i="7"/>
  <c r="C188" i="7"/>
  <c r="H187" i="7"/>
  <c r="C187" i="7"/>
  <c r="H186" i="7"/>
  <c r="C186" i="7"/>
  <c r="H185" i="7"/>
  <c r="C185" i="7"/>
  <c r="H184" i="7"/>
  <c r="C184" i="7"/>
  <c r="H183" i="7"/>
  <c r="C183" i="7"/>
  <c r="H182" i="7"/>
  <c r="C182" i="7"/>
  <c r="H181" i="7"/>
  <c r="C181" i="7"/>
  <c r="H180" i="7"/>
  <c r="C180" i="7"/>
  <c r="H179" i="7"/>
  <c r="C179" i="7"/>
  <c r="H178" i="7"/>
  <c r="C178" i="7"/>
  <c r="H177" i="7"/>
  <c r="C177" i="7"/>
  <c r="H176" i="7"/>
  <c r="C176" i="7"/>
  <c r="H175" i="7"/>
  <c r="C175" i="7"/>
  <c r="H174" i="7"/>
  <c r="C174" i="7"/>
  <c r="H173" i="7"/>
  <c r="C173" i="7"/>
  <c r="H172" i="7"/>
  <c r="C172" i="7"/>
  <c r="H171" i="7"/>
  <c r="C171" i="7"/>
  <c r="H170" i="7"/>
  <c r="C170" i="7"/>
  <c r="H169" i="7"/>
  <c r="C169" i="7"/>
  <c r="H168" i="7"/>
  <c r="C168" i="7"/>
  <c r="H167" i="7"/>
  <c r="C167" i="7"/>
  <c r="H166" i="7"/>
  <c r="C166" i="7"/>
  <c r="H165" i="7"/>
  <c r="C165" i="7"/>
  <c r="H164" i="7"/>
  <c r="C164" i="7"/>
  <c r="H163" i="7"/>
  <c r="C163" i="7"/>
  <c r="H162" i="7"/>
  <c r="C162" i="7"/>
  <c r="H161" i="7"/>
  <c r="C161" i="7"/>
  <c r="H160" i="7"/>
  <c r="C160" i="7"/>
  <c r="H159" i="7"/>
  <c r="C159" i="7"/>
  <c r="H158" i="7"/>
  <c r="C158" i="7"/>
  <c r="H157" i="7"/>
  <c r="C157" i="7"/>
  <c r="H156" i="7"/>
  <c r="C156" i="7"/>
  <c r="H155" i="7"/>
  <c r="C155" i="7"/>
  <c r="H154" i="7"/>
  <c r="C154" i="7"/>
  <c r="H153" i="7"/>
  <c r="C153" i="7"/>
  <c r="H152" i="7"/>
  <c r="C152" i="7"/>
  <c r="H151" i="7"/>
  <c r="C151" i="7"/>
  <c r="H150" i="7"/>
  <c r="C150" i="7"/>
  <c r="H149" i="7"/>
  <c r="C149" i="7"/>
  <c r="H148" i="7"/>
  <c r="C148" i="7"/>
  <c r="H147" i="7"/>
  <c r="C147" i="7"/>
  <c r="H146" i="7"/>
  <c r="C146" i="7"/>
  <c r="H145" i="7"/>
  <c r="C145" i="7"/>
  <c r="H144" i="7"/>
  <c r="C144" i="7"/>
  <c r="H143" i="7"/>
  <c r="C143" i="7"/>
  <c r="H142" i="7"/>
  <c r="C142" i="7"/>
  <c r="H141" i="7"/>
  <c r="C141" i="7"/>
  <c r="H140" i="7"/>
  <c r="C140" i="7"/>
  <c r="H139" i="7"/>
  <c r="C139" i="7"/>
  <c r="H138" i="7"/>
  <c r="C138" i="7"/>
  <c r="H137" i="7"/>
  <c r="C137" i="7"/>
  <c r="H136" i="7"/>
  <c r="C136" i="7"/>
  <c r="H135" i="7"/>
  <c r="C135" i="7"/>
  <c r="H134" i="7"/>
  <c r="C134" i="7"/>
  <c r="H133" i="7"/>
  <c r="C133" i="7"/>
  <c r="H132" i="7"/>
  <c r="C132" i="7"/>
  <c r="H131" i="7"/>
  <c r="C131" i="7"/>
  <c r="H130" i="7"/>
  <c r="C130" i="7"/>
  <c r="H129" i="7"/>
  <c r="C129" i="7"/>
  <c r="H128" i="7"/>
  <c r="C128" i="7"/>
  <c r="H127" i="7"/>
  <c r="C127" i="7"/>
  <c r="H126" i="7"/>
  <c r="C126" i="7"/>
  <c r="H125" i="7"/>
  <c r="C125" i="7"/>
  <c r="H124" i="7"/>
  <c r="C124" i="7"/>
  <c r="H123" i="7"/>
  <c r="C123" i="7"/>
  <c r="H122" i="7"/>
  <c r="C122" i="7"/>
  <c r="H121" i="7"/>
  <c r="C121" i="7"/>
  <c r="H120" i="7"/>
  <c r="C120" i="7"/>
  <c r="H119" i="7"/>
  <c r="C119" i="7"/>
  <c r="H118" i="7"/>
  <c r="C118" i="7"/>
  <c r="H117" i="7"/>
  <c r="C117" i="7"/>
  <c r="H116" i="7"/>
  <c r="C116" i="7"/>
  <c r="H115" i="7"/>
  <c r="C115" i="7"/>
  <c r="H114" i="7"/>
  <c r="C114" i="7"/>
  <c r="H113" i="7"/>
  <c r="C113" i="7"/>
  <c r="H112" i="7"/>
  <c r="C112" i="7"/>
  <c r="H111" i="7"/>
  <c r="C111" i="7"/>
  <c r="H110" i="7"/>
  <c r="C110" i="7"/>
  <c r="H109" i="7"/>
  <c r="C109" i="7"/>
  <c r="H108" i="7"/>
  <c r="C108" i="7"/>
  <c r="H107" i="7"/>
  <c r="C107" i="7"/>
  <c r="H106" i="7"/>
  <c r="C106" i="7"/>
  <c r="H105" i="7"/>
  <c r="C105" i="7"/>
  <c r="H104" i="7"/>
  <c r="C104" i="7"/>
  <c r="H103" i="7"/>
  <c r="C103" i="7"/>
  <c r="H102" i="7"/>
  <c r="C102" i="7"/>
  <c r="H101" i="7"/>
  <c r="C101" i="7"/>
  <c r="H100" i="7"/>
  <c r="C100" i="7"/>
  <c r="H99" i="7"/>
  <c r="C99" i="7"/>
  <c r="H98" i="7"/>
  <c r="C98" i="7"/>
  <c r="H97" i="7"/>
  <c r="C97" i="7"/>
  <c r="H96" i="7"/>
  <c r="C96" i="7"/>
  <c r="H95" i="7"/>
  <c r="C95" i="7"/>
  <c r="H94" i="7"/>
  <c r="C94" i="7"/>
  <c r="H93" i="7"/>
  <c r="C93" i="7"/>
  <c r="H92" i="7"/>
  <c r="C92" i="7"/>
  <c r="H91" i="7"/>
  <c r="C91" i="7"/>
  <c r="H90" i="7"/>
  <c r="C90" i="7"/>
  <c r="H89" i="7"/>
  <c r="C89" i="7"/>
  <c r="H88" i="7"/>
  <c r="C88" i="7"/>
  <c r="H87" i="7"/>
  <c r="C87" i="7"/>
  <c r="H86" i="7"/>
  <c r="C86" i="7"/>
  <c r="H85" i="7"/>
  <c r="C85" i="7"/>
  <c r="H84" i="7"/>
  <c r="C84" i="7"/>
  <c r="H83" i="7"/>
  <c r="C83" i="7"/>
  <c r="H82" i="7"/>
  <c r="C82" i="7"/>
  <c r="H81" i="7"/>
  <c r="C81" i="7"/>
  <c r="H80" i="7"/>
  <c r="C80" i="7"/>
  <c r="H79" i="7"/>
  <c r="C79" i="7"/>
  <c r="H78" i="7"/>
  <c r="C78" i="7"/>
  <c r="H77" i="7"/>
  <c r="C77" i="7"/>
  <c r="H76" i="7"/>
  <c r="C76" i="7"/>
  <c r="H75" i="7"/>
  <c r="C75" i="7"/>
  <c r="H74" i="7"/>
  <c r="C74" i="7"/>
  <c r="H73" i="7"/>
  <c r="C73" i="7"/>
  <c r="H72" i="7"/>
  <c r="C72" i="7"/>
  <c r="H71" i="7"/>
  <c r="C71" i="7"/>
  <c r="H70" i="7"/>
  <c r="C70" i="7"/>
  <c r="H69" i="7"/>
  <c r="C69" i="7"/>
  <c r="H68" i="7"/>
  <c r="C68" i="7"/>
  <c r="H67" i="7"/>
  <c r="C67" i="7"/>
  <c r="H66" i="7"/>
  <c r="C66" i="7"/>
  <c r="H65" i="7"/>
  <c r="C65" i="7"/>
  <c r="H64" i="7"/>
  <c r="C64" i="7"/>
  <c r="H63" i="7"/>
  <c r="C63" i="7"/>
  <c r="H62" i="7"/>
  <c r="C62" i="7"/>
  <c r="H61" i="7"/>
  <c r="C61" i="7"/>
  <c r="H60" i="7"/>
  <c r="C60" i="7"/>
  <c r="H59" i="7"/>
  <c r="C59" i="7"/>
  <c r="H58" i="7"/>
  <c r="C58" i="7"/>
  <c r="H57" i="7"/>
  <c r="C57" i="7"/>
  <c r="H56" i="7"/>
  <c r="C56" i="7"/>
  <c r="H55" i="7"/>
  <c r="C55" i="7"/>
  <c r="H54" i="7"/>
  <c r="C54" i="7"/>
  <c r="H53" i="7"/>
  <c r="C53" i="7"/>
  <c r="H52" i="7"/>
  <c r="C52" i="7"/>
  <c r="H51" i="7"/>
  <c r="C51" i="7"/>
  <c r="H50" i="7"/>
  <c r="C50" i="7"/>
  <c r="H49" i="7"/>
  <c r="C49" i="7"/>
  <c r="H48" i="7"/>
  <c r="C48" i="7"/>
  <c r="H47" i="7"/>
  <c r="C47" i="7"/>
  <c r="H46" i="7"/>
  <c r="C46" i="7"/>
  <c r="H45" i="7"/>
  <c r="C45" i="7"/>
  <c r="H44" i="7"/>
  <c r="C44" i="7"/>
  <c r="H43" i="7"/>
  <c r="C43" i="7"/>
  <c r="H42" i="7"/>
  <c r="C42" i="7"/>
  <c r="H41" i="7"/>
  <c r="C41" i="7"/>
  <c r="H40" i="7"/>
  <c r="C40" i="7"/>
  <c r="H39" i="7"/>
  <c r="C39" i="7"/>
  <c r="H38" i="7"/>
  <c r="C38" i="7"/>
  <c r="W37" i="7"/>
  <c r="R37" i="7"/>
  <c r="H37" i="7"/>
  <c r="C37" i="7"/>
  <c r="W36" i="7"/>
  <c r="R36" i="7"/>
  <c r="H36" i="7"/>
  <c r="C36" i="7"/>
  <c r="W35" i="7"/>
  <c r="R35" i="7"/>
  <c r="H35" i="7"/>
  <c r="C35" i="7"/>
  <c r="W34" i="7"/>
  <c r="R34" i="7"/>
  <c r="H34" i="7"/>
  <c r="C34" i="7"/>
  <c r="W33" i="7"/>
  <c r="R33" i="7"/>
  <c r="H33" i="7"/>
  <c r="C33" i="7"/>
  <c r="W32" i="7"/>
  <c r="R32" i="7"/>
  <c r="H32" i="7"/>
  <c r="C32" i="7"/>
  <c r="H31" i="7"/>
  <c r="C31" i="7"/>
  <c r="H30" i="7"/>
  <c r="C30" i="7"/>
  <c r="H29" i="7"/>
  <c r="C29" i="7"/>
  <c r="H28" i="7"/>
  <c r="C28" i="7"/>
  <c r="H27" i="7"/>
  <c r="C27" i="7"/>
  <c r="H26" i="7"/>
  <c r="C26" i="7"/>
  <c r="H25" i="7"/>
  <c r="C25" i="7"/>
  <c r="H24" i="7"/>
  <c r="C24" i="7"/>
  <c r="H23" i="7"/>
  <c r="C23" i="7"/>
  <c r="H22" i="7"/>
  <c r="C22" i="7"/>
  <c r="H21" i="7"/>
  <c r="C21" i="7"/>
  <c r="H20" i="7"/>
  <c r="C20" i="7"/>
  <c r="H19" i="7"/>
  <c r="C19" i="7"/>
  <c r="H18" i="7"/>
  <c r="C18" i="7"/>
  <c r="H17" i="7"/>
  <c r="C17" i="7"/>
  <c r="H16" i="7"/>
  <c r="C16" i="7"/>
  <c r="H15" i="7"/>
  <c r="C15" i="7"/>
  <c r="H14" i="7"/>
  <c r="C14" i="7"/>
  <c r="H13" i="7"/>
  <c r="C13" i="7"/>
  <c r="H12" i="7"/>
  <c r="C12" i="7"/>
  <c r="H11" i="7"/>
  <c r="C11" i="7"/>
  <c r="H10" i="7"/>
  <c r="C10" i="7"/>
  <c r="H9" i="7"/>
  <c r="C9" i="7"/>
  <c r="H8" i="7"/>
  <c r="C8" i="7"/>
  <c r="H7" i="7"/>
  <c r="C7" i="7"/>
  <c r="H6" i="7"/>
  <c r="C6" i="7"/>
  <c r="H5" i="7"/>
  <c r="C5" i="7"/>
  <c r="H4" i="7"/>
  <c r="C4" i="7"/>
  <c r="H3" i="7"/>
  <c r="C3" i="7"/>
  <c r="H2" i="7"/>
  <c r="C2" i="7"/>
  <c r="X37" i="7" l="1"/>
  <c r="X34" i="7"/>
  <c r="X35" i="7"/>
  <c r="X32" i="7" l="1"/>
  <c r="X33" i="7"/>
  <c r="X36" i="7"/>
  <c r="Y32" i="7"/>
  <c r="Y34" i="7" l="1"/>
  <c r="Y37" i="7"/>
  <c r="Y36" i="7"/>
  <c r="Y33" i="7"/>
  <c r="Y35" i="7"/>
  <c r="I3" i="5"/>
  <c r="J3" i="5"/>
  <c r="F4" i="5"/>
  <c r="G4" i="5"/>
  <c r="H4" i="5"/>
  <c r="I4" i="5"/>
  <c r="N4" i="5"/>
  <c r="O4" i="5"/>
  <c r="E5" i="5"/>
  <c r="F5" i="5"/>
  <c r="K5" i="5"/>
  <c r="L5" i="5"/>
  <c r="M5" i="5"/>
  <c r="N5" i="5"/>
  <c r="I6" i="5"/>
  <c r="J6" i="5"/>
  <c r="G7" i="5"/>
  <c r="O7" i="5"/>
  <c r="I9" i="5"/>
  <c r="E10" i="5"/>
  <c r="F10" i="5"/>
  <c r="G10" i="5"/>
  <c r="L10" i="5"/>
  <c r="M10" i="5"/>
  <c r="N10" i="5"/>
  <c r="O10" i="5"/>
  <c r="I11" i="5"/>
  <c r="J11" i="5"/>
  <c r="K11" i="5"/>
  <c r="L11" i="5"/>
  <c r="F12" i="5"/>
  <c r="G12" i="5"/>
  <c r="H12" i="5"/>
  <c r="I12" i="5"/>
  <c r="N12" i="5"/>
  <c r="O12" i="5"/>
  <c r="E13" i="5"/>
  <c r="F13" i="5"/>
  <c r="K13" i="5"/>
  <c r="L13" i="5"/>
  <c r="M13" i="5"/>
  <c r="N13" i="5"/>
  <c r="I14" i="5"/>
  <c r="J14" i="5"/>
  <c r="K14" i="5"/>
  <c r="G15" i="5"/>
  <c r="O15" i="5"/>
  <c r="I17" i="5"/>
  <c r="E18" i="5"/>
  <c r="F18" i="5"/>
  <c r="G18" i="5"/>
  <c r="L18" i="5"/>
  <c r="M18" i="5"/>
  <c r="N18" i="5"/>
  <c r="O18" i="5"/>
  <c r="I19" i="5"/>
  <c r="J19" i="5"/>
  <c r="K19" i="5"/>
  <c r="L19" i="5"/>
  <c r="F20" i="5"/>
  <c r="G20" i="5"/>
  <c r="H20" i="5"/>
  <c r="I20" i="5"/>
  <c r="N20" i="5"/>
  <c r="O20" i="5"/>
  <c r="E21" i="5"/>
  <c r="F21" i="5"/>
  <c r="K21" i="5"/>
  <c r="L21" i="5"/>
  <c r="M21" i="5"/>
  <c r="N21" i="5"/>
  <c r="I22" i="5"/>
  <c r="J22" i="5"/>
  <c r="K22" i="5"/>
  <c r="G23" i="5"/>
  <c r="O23" i="5"/>
  <c r="I25" i="5"/>
  <c r="E26" i="5"/>
  <c r="F26" i="5"/>
  <c r="G26" i="5"/>
  <c r="L26" i="5"/>
  <c r="M26" i="5"/>
  <c r="N26" i="5"/>
  <c r="O26" i="5"/>
  <c r="I27" i="5"/>
  <c r="J27" i="5"/>
  <c r="K27" i="5"/>
  <c r="L27" i="5"/>
  <c r="F28" i="5"/>
  <c r="G28" i="5"/>
  <c r="H28" i="5"/>
  <c r="I28" i="5"/>
  <c r="N28" i="5"/>
  <c r="O28" i="5"/>
  <c r="F2" i="5"/>
  <c r="G2" i="5"/>
  <c r="L2" i="5"/>
  <c r="M2" i="5"/>
  <c r="N2" i="5"/>
  <c r="O2" i="5"/>
  <c r="B3" i="5"/>
  <c r="E3" i="5" s="1"/>
  <c r="B4" i="5"/>
  <c r="J4" i="5" s="1"/>
  <c r="B5" i="5"/>
  <c r="G5" i="5" s="1"/>
  <c r="B6" i="5"/>
  <c r="L6" i="5" s="1"/>
  <c r="B7" i="5"/>
  <c r="I7" i="5" s="1"/>
  <c r="B8" i="5"/>
  <c r="F8" i="5" s="1"/>
  <c r="B9" i="5"/>
  <c r="K9" i="5" s="1"/>
  <c r="B10" i="5"/>
  <c r="H10" i="5" s="1"/>
  <c r="B11" i="5"/>
  <c r="E11" i="5" s="1"/>
  <c r="B12" i="5"/>
  <c r="J12" i="5" s="1"/>
  <c r="B13" i="5"/>
  <c r="G13" i="5" s="1"/>
  <c r="B14" i="5"/>
  <c r="L14" i="5" s="1"/>
  <c r="B15" i="5"/>
  <c r="I15" i="5" s="1"/>
  <c r="B16" i="5"/>
  <c r="F16" i="5" s="1"/>
  <c r="B17" i="5"/>
  <c r="K17" i="5" s="1"/>
  <c r="B18" i="5"/>
  <c r="H18" i="5" s="1"/>
  <c r="B19" i="5"/>
  <c r="E19" i="5" s="1"/>
  <c r="B20" i="5"/>
  <c r="J20" i="5" s="1"/>
  <c r="B21" i="5"/>
  <c r="G21" i="5" s="1"/>
  <c r="B22" i="5"/>
  <c r="L22" i="5" s="1"/>
  <c r="B23" i="5"/>
  <c r="I23" i="5" s="1"/>
  <c r="B24" i="5"/>
  <c r="F24" i="5" s="1"/>
  <c r="B25" i="5"/>
  <c r="K25" i="5" s="1"/>
  <c r="B26" i="5"/>
  <c r="H26" i="5" s="1"/>
  <c r="B27" i="5"/>
  <c r="E27" i="5" s="1"/>
  <c r="B28" i="5"/>
  <c r="J28" i="5" s="1"/>
  <c r="B2" i="5"/>
  <c r="H2" i="5" s="1"/>
  <c r="AR209" i="2"/>
  <c r="AS209" i="2" s="1"/>
  <c r="AE209" i="2"/>
  <c r="AD209" i="2"/>
  <c r="AC209" i="2"/>
  <c r="AB209" i="2"/>
  <c r="AA209" i="2"/>
  <c r="T209" i="2"/>
  <c r="N209" i="2"/>
  <c r="AR208" i="2"/>
  <c r="AS208" i="2" s="1"/>
  <c r="AE208" i="2"/>
  <c r="AD208" i="2"/>
  <c r="AC208" i="2"/>
  <c r="AB208" i="2"/>
  <c r="AA208" i="2"/>
  <c r="T208" i="2"/>
  <c r="N208" i="2"/>
  <c r="AS207" i="2"/>
  <c r="AR207" i="2"/>
  <c r="AE207" i="2"/>
  <c r="AD207" i="2"/>
  <c r="AC207" i="2"/>
  <c r="AB207" i="2"/>
  <c r="AA207" i="2"/>
  <c r="T207" i="2"/>
  <c r="N207" i="2"/>
  <c r="AR206" i="2"/>
  <c r="AS206" i="2" s="1"/>
  <c r="AE206" i="2"/>
  <c r="AD206" i="2"/>
  <c r="AC206" i="2"/>
  <c r="AB206" i="2"/>
  <c r="AA206" i="2"/>
  <c r="T206" i="2"/>
  <c r="N206" i="2"/>
  <c r="AR205" i="2"/>
  <c r="AS205" i="2" s="1"/>
  <c r="AE205" i="2"/>
  <c r="AD205" i="2"/>
  <c r="AC205" i="2"/>
  <c r="AB205" i="2"/>
  <c r="AA205" i="2"/>
  <c r="T205" i="2"/>
  <c r="N205" i="2"/>
  <c r="AS204" i="2"/>
  <c r="AR204" i="2"/>
  <c r="AE204" i="2"/>
  <c r="AD204" i="2"/>
  <c r="AC204" i="2"/>
  <c r="AB204" i="2"/>
  <c r="AA204" i="2"/>
  <c r="T204" i="2"/>
  <c r="N204" i="2"/>
  <c r="AR203" i="2"/>
  <c r="AS203" i="2" s="1"/>
  <c r="AE203" i="2"/>
  <c r="AD203" i="2"/>
  <c r="AC203" i="2"/>
  <c r="AB203" i="2"/>
  <c r="AA203" i="2"/>
  <c r="T203" i="2"/>
  <c r="N203" i="2"/>
  <c r="AR202" i="2"/>
  <c r="AS202" i="2" s="1"/>
  <c r="AE202" i="2"/>
  <c r="AD202" i="2"/>
  <c r="AC202" i="2"/>
  <c r="AB202" i="2"/>
  <c r="AA202" i="2"/>
  <c r="T202" i="2"/>
  <c r="N202" i="2"/>
  <c r="AR201" i="2"/>
  <c r="AS201" i="2" s="1"/>
  <c r="AE201" i="2"/>
  <c r="AD201" i="2"/>
  <c r="AC201" i="2"/>
  <c r="AB201" i="2"/>
  <c r="AA201" i="2"/>
  <c r="T201" i="2"/>
  <c r="N201" i="2"/>
  <c r="AR200" i="2"/>
  <c r="AS200" i="2" s="1"/>
  <c r="AE200" i="2"/>
  <c r="AD200" i="2"/>
  <c r="AC200" i="2"/>
  <c r="AB200" i="2"/>
  <c r="AA200" i="2"/>
  <c r="T200" i="2"/>
  <c r="N200" i="2"/>
  <c r="AR199" i="2"/>
  <c r="AS199" i="2" s="1"/>
  <c r="AE199" i="2"/>
  <c r="AD199" i="2"/>
  <c r="AC199" i="2"/>
  <c r="AB199" i="2"/>
  <c r="AA199" i="2"/>
  <c r="T199" i="2"/>
  <c r="N199" i="2"/>
  <c r="AR198" i="2"/>
  <c r="AS198" i="2" s="1"/>
  <c r="AE198" i="2"/>
  <c r="AD198" i="2"/>
  <c r="AC198" i="2"/>
  <c r="AB198" i="2"/>
  <c r="AA198" i="2"/>
  <c r="T198" i="2"/>
  <c r="N198" i="2"/>
  <c r="AR197" i="2"/>
  <c r="AS197" i="2" s="1"/>
  <c r="AE197" i="2"/>
  <c r="AD197" i="2"/>
  <c r="AC197" i="2"/>
  <c r="AB197" i="2"/>
  <c r="AA197" i="2"/>
  <c r="T197" i="2"/>
  <c r="N197" i="2"/>
  <c r="AS196" i="2"/>
  <c r="AR196" i="2"/>
  <c r="AE196" i="2"/>
  <c r="AD196" i="2"/>
  <c r="AC196" i="2"/>
  <c r="AB196" i="2"/>
  <c r="AA196" i="2"/>
  <c r="T196" i="2"/>
  <c r="N196" i="2"/>
  <c r="AR195" i="2"/>
  <c r="AS195" i="2" s="1"/>
  <c r="AE195" i="2"/>
  <c r="AD195" i="2"/>
  <c r="AC195" i="2"/>
  <c r="AB195" i="2"/>
  <c r="AA195" i="2"/>
  <c r="T195" i="2"/>
  <c r="N195" i="2"/>
  <c r="AR194" i="2"/>
  <c r="AS194" i="2" s="1"/>
  <c r="AE194" i="2"/>
  <c r="AD194" i="2"/>
  <c r="AC194" i="2"/>
  <c r="AB194" i="2"/>
  <c r="AA194" i="2"/>
  <c r="T194" i="2"/>
  <c r="N194" i="2"/>
  <c r="AR193" i="2"/>
  <c r="AS193" i="2" s="1"/>
  <c r="AE193" i="2"/>
  <c r="AD193" i="2"/>
  <c r="AC193" i="2"/>
  <c r="AB193" i="2"/>
  <c r="AA193" i="2"/>
  <c r="T193" i="2"/>
  <c r="N193" i="2"/>
  <c r="AR192" i="2"/>
  <c r="AS192" i="2" s="1"/>
  <c r="AE192" i="2"/>
  <c r="AD192" i="2"/>
  <c r="AC192" i="2"/>
  <c r="AB192" i="2"/>
  <c r="AA192" i="2"/>
  <c r="T192" i="2"/>
  <c r="N192" i="2"/>
  <c r="AR191" i="2"/>
  <c r="AS191" i="2" s="1"/>
  <c r="AE191" i="2"/>
  <c r="AD191" i="2"/>
  <c r="AC191" i="2"/>
  <c r="AB191" i="2"/>
  <c r="AA191" i="2"/>
  <c r="T191" i="2"/>
  <c r="N191" i="2"/>
  <c r="AR190" i="2"/>
  <c r="AS190" i="2" s="1"/>
  <c r="AE190" i="2"/>
  <c r="AD190" i="2"/>
  <c r="AC190" i="2"/>
  <c r="AB190" i="2"/>
  <c r="AA190" i="2"/>
  <c r="T190" i="2"/>
  <c r="N190" i="2"/>
  <c r="AR189" i="2"/>
  <c r="AS189" i="2" s="1"/>
  <c r="AE189" i="2"/>
  <c r="AD189" i="2"/>
  <c r="AC189" i="2"/>
  <c r="AB189" i="2"/>
  <c r="AA189" i="2"/>
  <c r="T189" i="2"/>
  <c r="N189" i="2"/>
  <c r="AS188" i="2"/>
  <c r="AR188" i="2"/>
  <c r="AE188" i="2"/>
  <c r="AD188" i="2"/>
  <c r="AC188" i="2"/>
  <c r="AB188" i="2"/>
  <c r="AA188" i="2"/>
  <c r="T188" i="2"/>
  <c r="N188" i="2"/>
  <c r="AR187" i="2"/>
  <c r="AS187" i="2" s="1"/>
  <c r="AE187" i="2"/>
  <c r="AD187" i="2"/>
  <c r="AC187" i="2"/>
  <c r="AB187" i="2"/>
  <c r="AA187" i="2"/>
  <c r="T187" i="2"/>
  <c r="N187" i="2"/>
  <c r="AR186" i="2"/>
  <c r="AS186" i="2" s="1"/>
  <c r="AE186" i="2"/>
  <c r="AD186" i="2"/>
  <c r="AC186" i="2"/>
  <c r="AB186" i="2"/>
  <c r="AA186" i="2"/>
  <c r="T186" i="2"/>
  <c r="N186" i="2"/>
  <c r="AR185" i="2"/>
  <c r="AS185" i="2" s="1"/>
  <c r="AE185" i="2"/>
  <c r="AD185" i="2"/>
  <c r="AC185" i="2"/>
  <c r="AB185" i="2"/>
  <c r="AA185" i="2"/>
  <c r="T185" i="2"/>
  <c r="N185" i="2"/>
  <c r="AS184" i="2"/>
  <c r="AR184" i="2"/>
  <c r="AE184" i="2"/>
  <c r="AD184" i="2"/>
  <c r="AC184" i="2"/>
  <c r="AB184" i="2"/>
  <c r="AA184" i="2"/>
  <c r="T184" i="2"/>
  <c r="N184" i="2"/>
  <c r="AR183" i="2"/>
  <c r="AS183" i="2" s="1"/>
  <c r="AE183" i="2"/>
  <c r="AD183" i="2"/>
  <c r="AC183" i="2"/>
  <c r="AB183" i="2"/>
  <c r="AA183" i="2"/>
  <c r="T183" i="2"/>
  <c r="N183" i="2"/>
  <c r="AR182" i="2"/>
  <c r="AS182" i="2" s="1"/>
  <c r="AE182" i="2"/>
  <c r="AD182" i="2"/>
  <c r="AC182" i="2"/>
  <c r="AB182" i="2"/>
  <c r="AA182" i="2"/>
  <c r="T182" i="2"/>
  <c r="N182" i="2"/>
  <c r="AR181" i="2"/>
  <c r="AS181" i="2" s="1"/>
  <c r="AE181" i="2"/>
  <c r="AD181" i="2"/>
  <c r="AC181" i="2"/>
  <c r="AB181" i="2"/>
  <c r="AA181" i="2"/>
  <c r="T181" i="2"/>
  <c r="N181" i="2"/>
  <c r="AR180" i="2"/>
  <c r="AS180" i="2" s="1"/>
  <c r="AE180" i="2"/>
  <c r="AD180" i="2"/>
  <c r="AC180" i="2"/>
  <c r="AB180" i="2"/>
  <c r="AA180" i="2"/>
  <c r="T180" i="2"/>
  <c r="N180" i="2"/>
  <c r="AR179" i="2"/>
  <c r="AS179" i="2" s="1"/>
  <c r="AE179" i="2"/>
  <c r="AD179" i="2"/>
  <c r="AC179" i="2"/>
  <c r="AB179" i="2"/>
  <c r="AA179" i="2"/>
  <c r="T179" i="2"/>
  <c r="N179" i="2"/>
  <c r="AR178" i="2"/>
  <c r="AS178" i="2" s="1"/>
  <c r="AE178" i="2"/>
  <c r="AD178" i="2"/>
  <c r="AC178" i="2"/>
  <c r="AB178" i="2"/>
  <c r="AA178" i="2"/>
  <c r="T178" i="2"/>
  <c r="N178" i="2"/>
  <c r="AS177" i="2"/>
  <c r="AR177" i="2"/>
  <c r="AE177" i="2"/>
  <c r="AD177" i="2"/>
  <c r="AC177" i="2"/>
  <c r="AB177" i="2"/>
  <c r="AA177" i="2"/>
  <c r="T177" i="2"/>
  <c r="N177" i="2"/>
  <c r="AR176" i="2"/>
  <c r="AS176" i="2" s="1"/>
  <c r="AE176" i="2"/>
  <c r="AD176" i="2"/>
  <c r="AC176" i="2"/>
  <c r="AB176" i="2"/>
  <c r="AA176" i="2"/>
  <c r="T176" i="2"/>
  <c r="N176" i="2"/>
  <c r="AR175" i="2"/>
  <c r="AS175" i="2" s="1"/>
  <c r="AE175" i="2"/>
  <c r="AD175" i="2"/>
  <c r="AC175" i="2"/>
  <c r="AB175" i="2"/>
  <c r="AA175" i="2"/>
  <c r="T175" i="2"/>
  <c r="N175" i="2"/>
  <c r="AR174" i="2"/>
  <c r="AS174" i="2" s="1"/>
  <c r="AE174" i="2"/>
  <c r="AD174" i="2"/>
  <c r="AC174" i="2"/>
  <c r="AB174" i="2"/>
  <c r="AA174" i="2"/>
  <c r="T174" i="2"/>
  <c r="N174" i="2"/>
  <c r="AR173" i="2"/>
  <c r="AS173" i="2" s="1"/>
  <c r="AE173" i="2"/>
  <c r="AD173" i="2"/>
  <c r="AC173" i="2"/>
  <c r="AB173" i="2"/>
  <c r="AA173" i="2"/>
  <c r="T173" i="2"/>
  <c r="N173" i="2"/>
  <c r="AS172" i="2"/>
  <c r="AR172" i="2"/>
  <c r="AE172" i="2"/>
  <c r="AD172" i="2"/>
  <c r="AC172" i="2"/>
  <c r="AB172" i="2"/>
  <c r="AA172" i="2"/>
  <c r="T172" i="2"/>
  <c r="N172" i="2"/>
  <c r="AR171" i="2"/>
  <c r="AS171" i="2" s="1"/>
  <c r="AE171" i="2"/>
  <c r="AD171" i="2"/>
  <c r="AC171" i="2"/>
  <c r="AB171" i="2"/>
  <c r="AA171" i="2"/>
  <c r="T171" i="2"/>
  <c r="N171" i="2"/>
  <c r="AR170" i="2"/>
  <c r="AS170" i="2" s="1"/>
  <c r="AE170" i="2"/>
  <c r="AD170" i="2"/>
  <c r="AC170" i="2"/>
  <c r="AB170" i="2"/>
  <c r="AA170" i="2"/>
  <c r="T170" i="2"/>
  <c r="N170" i="2"/>
  <c r="AS169" i="2"/>
  <c r="AR169" i="2"/>
  <c r="AE169" i="2"/>
  <c r="AD169" i="2"/>
  <c r="AC169" i="2"/>
  <c r="AB169" i="2"/>
  <c r="AA169" i="2"/>
  <c r="T169" i="2"/>
  <c r="N169" i="2"/>
  <c r="AR168" i="2"/>
  <c r="AS168" i="2" s="1"/>
  <c r="AE168" i="2"/>
  <c r="AD168" i="2"/>
  <c r="AC168" i="2"/>
  <c r="AB168" i="2"/>
  <c r="AA168" i="2"/>
  <c r="T168" i="2"/>
  <c r="N168" i="2"/>
  <c r="AR167" i="2"/>
  <c r="AS167" i="2" s="1"/>
  <c r="AE167" i="2"/>
  <c r="AD167" i="2"/>
  <c r="AC167" i="2"/>
  <c r="AB167" i="2"/>
  <c r="AA167" i="2"/>
  <c r="T167" i="2"/>
  <c r="N167" i="2"/>
  <c r="AR166" i="2"/>
  <c r="AS166" i="2" s="1"/>
  <c r="AE166" i="2"/>
  <c r="AD166" i="2"/>
  <c r="AC166" i="2"/>
  <c r="AB166" i="2"/>
  <c r="AA166" i="2"/>
  <c r="T166" i="2"/>
  <c r="N166" i="2"/>
  <c r="AR165" i="2"/>
  <c r="AS165" i="2" s="1"/>
  <c r="AE165" i="2"/>
  <c r="AD165" i="2"/>
  <c r="AC165" i="2"/>
  <c r="AB165" i="2"/>
  <c r="AA165" i="2"/>
  <c r="T165" i="2"/>
  <c r="N165" i="2"/>
  <c r="AR164" i="2"/>
  <c r="AS164" i="2" s="1"/>
  <c r="AE164" i="2"/>
  <c r="AD164" i="2"/>
  <c r="AC164" i="2"/>
  <c r="AB164" i="2"/>
  <c r="AA164" i="2"/>
  <c r="T164" i="2"/>
  <c r="N164" i="2"/>
  <c r="AR163" i="2"/>
  <c r="AS163" i="2" s="1"/>
  <c r="AE163" i="2"/>
  <c r="AD163" i="2"/>
  <c r="AC163" i="2"/>
  <c r="AB163" i="2"/>
  <c r="AA163" i="2"/>
  <c r="T163" i="2"/>
  <c r="N163" i="2"/>
  <c r="AR162" i="2"/>
  <c r="AS162" i="2" s="1"/>
  <c r="AE162" i="2"/>
  <c r="AD162" i="2"/>
  <c r="AC162" i="2"/>
  <c r="AB162" i="2"/>
  <c r="AA162" i="2"/>
  <c r="T162" i="2"/>
  <c r="N162" i="2"/>
  <c r="AR161" i="2"/>
  <c r="AS161" i="2" s="1"/>
  <c r="AE161" i="2"/>
  <c r="AD161" i="2"/>
  <c r="AC161" i="2"/>
  <c r="AB161" i="2"/>
  <c r="AA161" i="2"/>
  <c r="T161" i="2"/>
  <c r="N161" i="2"/>
  <c r="AR160" i="2"/>
  <c r="AS160" i="2" s="1"/>
  <c r="AE160" i="2"/>
  <c r="AD160" i="2"/>
  <c r="AC160" i="2"/>
  <c r="AB160" i="2"/>
  <c r="AA160" i="2"/>
  <c r="T160" i="2"/>
  <c r="N160" i="2"/>
  <c r="AR159" i="2"/>
  <c r="AS159" i="2" s="1"/>
  <c r="AE159" i="2"/>
  <c r="AD159" i="2"/>
  <c r="AC159" i="2"/>
  <c r="AB159" i="2"/>
  <c r="AA159" i="2"/>
  <c r="T159" i="2"/>
  <c r="N159" i="2"/>
  <c r="AS158" i="2"/>
  <c r="AR158" i="2"/>
  <c r="AE158" i="2"/>
  <c r="AD158" i="2"/>
  <c r="AC158" i="2"/>
  <c r="AB158" i="2"/>
  <c r="AA158" i="2"/>
  <c r="T158" i="2"/>
  <c r="N158" i="2"/>
  <c r="AR157" i="2"/>
  <c r="AS157" i="2" s="1"/>
  <c r="AE157" i="2"/>
  <c r="AD157" i="2"/>
  <c r="AC157" i="2"/>
  <c r="AB157" i="2"/>
  <c r="AA157" i="2"/>
  <c r="T157" i="2"/>
  <c r="N157" i="2"/>
  <c r="AR156" i="2"/>
  <c r="AS156" i="2" s="1"/>
  <c r="AE156" i="2"/>
  <c r="AD156" i="2"/>
  <c r="AC156" i="2"/>
  <c r="AB156" i="2"/>
  <c r="AA156" i="2"/>
  <c r="T156" i="2"/>
  <c r="N156" i="2"/>
  <c r="AR155" i="2"/>
  <c r="AS155" i="2" s="1"/>
  <c r="AE155" i="2"/>
  <c r="AD155" i="2"/>
  <c r="AC155" i="2"/>
  <c r="AB155" i="2"/>
  <c r="AA155" i="2"/>
  <c r="T155" i="2"/>
  <c r="N155" i="2"/>
  <c r="AS154" i="2"/>
  <c r="AR154" i="2"/>
  <c r="AE154" i="2"/>
  <c r="AD154" i="2"/>
  <c r="AC154" i="2"/>
  <c r="AB154" i="2"/>
  <c r="AA154" i="2"/>
  <c r="T154" i="2"/>
  <c r="N154" i="2"/>
  <c r="AR153" i="2"/>
  <c r="AS153" i="2" s="1"/>
  <c r="AE153" i="2"/>
  <c r="AD153" i="2"/>
  <c r="AC153" i="2"/>
  <c r="AB153" i="2"/>
  <c r="AA153" i="2"/>
  <c r="T153" i="2"/>
  <c r="N153" i="2"/>
  <c r="AR152" i="2"/>
  <c r="AS152" i="2" s="1"/>
  <c r="AE152" i="2"/>
  <c r="AD152" i="2"/>
  <c r="AC152" i="2"/>
  <c r="AB152" i="2"/>
  <c r="AA152" i="2"/>
  <c r="T152" i="2"/>
  <c r="N152" i="2"/>
  <c r="AR151" i="2"/>
  <c r="AS151" i="2" s="1"/>
  <c r="AE151" i="2"/>
  <c r="AD151" i="2"/>
  <c r="AC151" i="2"/>
  <c r="AB151" i="2"/>
  <c r="AA151" i="2"/>
  <c r="T151" i="2"/>
  <c r="N151" i="2"/>
  <c r="AR150" i="2"/>
  <c r="AS150" i="2" s="1"/>
  <c r="AE150" i="2"/>
  <c r="AD150" i="2"/>
  <c r="AC150" i="2"/>
  <c r="AB150" i="2"/>
  <c r="AA150" i="2"/>
  <c r="T150" i="2"/>
  <c r="N150" i="2"/>
  <c r="AR149" i="2"/>
  <c r="AS149" i="2" s="1"/>
  <c r="AE149" i="2"/>
  <c r="AD149" i="2"/>
  <c r="AC149" i="2"/>
  <c r="AB149" i="2"/>
  <c r="AA149" i="2"/>
  <c r="T149" i="2"/>
  <c r="N149" i="2"/>
  <c r="AS148" i="2"/>
  <c r="AR148" i="2"/>
  <c r="AE148" i="2"/>
  <c r="AD148" i="2"/>
  <c r="AC148" i="2"/>
  <c r="AB148" i="2"/>
  <c r="AA148" i="2"/>
  <c r="T148" i="2"/>
  <c r="N148" i="2"/>
  <c r="AR147" i="2"/>
  <c r="AS147" i="2" s="1"/>
  <c r="AE147" i="2"/>
  <c r="AD147" i="2"/>
  <c r="AC147" i="2"/>
  <c r="AB147" i="2"/>
  <c r="AA147" i="2"/>
  <c r="T147" i="2"/>
  <c r="N147" i="2"/>
  <c r="AR146" i="2"/>
  <c r="AS146" i="2" s="1"/>
  <c r="AE146" i="2"/>
  <c r="AD146" i="2"/>
  <c r="AC146" i="2"/>
  <c r="AB146" i="2"/>
  <c r="AA146" i="2"/>
  <c r="T146" i="2"/>
  <c r="N146" i="2"/>
  <c r="AR145" i="2"/>
  <c r="AS145" i="2" s="1"/>
  <c r="AE145" i="2"/>
  <c r="AD145" i="2"/>
  <c r="AC145" i="2"/>
  <c r="AB145" i="2"/>
  <c r="AA145" i="2"/>
  <c r="T145" i="2"/>
  <c r="N145" i="2"/>
  <c r="AR144" i="2"/>
  <c r="AS144" i="2" s="1"/>
  <c r="AE144" i="2"/>
  <c r="AD144" i="2"/>
  <c r="AC144" i="2"/>
  <c r="AB144" i="2"/>
  <c r="AA144" i="2"/>
  <c r="T144" i="2"/>
  <c r="N144" i="2"/>
  <c r="AR143" i="2"/>
  <c r="AS143" i="2" s="1"/>
  <c r="AE143" i="2"/>
  <c r="AD143" i="2"/>
  <c r="AC143" i="2"/>
  <c r="AB143" i="2"/>
  <c r="AA143" i="2"/>
  <c r="T143" i="2"/>
  <c r="N143" i="2"/>
  <c r="AR142" i="2"/>
  <c r="AS142" i="2" s="1"/>
  <c r="AE142" i="2"/>
  <c r="AD142" i="2"/>
  <c r="AC142" i="2"/>
  <c r="AB142" i="2"/>
  <c r="AA142" i="2"/>
  <c r="T142" i="2"/>
  <c r="N142" i="2"/>
  <c r="AR141" i="2"/>
  <c r="AS141" i="2" s="1"/>
  <c r="AE141" i="2"/>
  <c r="AD141" i="2"/>
  <c r="AC141" i="2"/>
  <c r="AB141" i="2"/>
  <c r="AA141" i="2"/>
  <c r="T141" i="2"/>
  <c r="N141" i="2"/>
  <c r="AR140" i="2"/>
  <c r="AS140" i="2" s="1"/>
  <c r="AE140" i="2"/>
  <c r="AD140" i="2"/>
  <c r="AC140" i="2"/>
  <c r="AB140" i="2"/>
  <c r="AA140" i="2"/>
  <c r="T140" i="2"/>
  <c r="N140" i="2"/>
  <c r="AR139" i="2"/>
  <c r="AS139" i="2" s="1"/>
  <c r="AE139" i="2"/>
  <c r="AD139" i="2"/>
  <c r="AC139" i="2"/>
  <c r="AB139" i="2"/>
  <c r="AA139" i="2"/>
  <c r="T139" i="2"/>
  <c r="N139" i="2"/>
  <c r="AS138" i="2"/>
  <c r="AR138" i="2"/>
  <c r="AE138" i="2"/>
  <c r="AD138" i="2"/>
  <c r="AC138" i="2"/>
  <c r="AB138" i="2"/>
  <c r="AA138" i="2"/>
  <c r="T138" i="2"/>
  <c r="N138" i="2"/>
  <c r="AR137" i="2"/>
  <c r="AS137" i="2" s="1"/>
  <c r="AE137" i="2"/>
  <c r="AD137" i="2"/>
  <c r="AC137" i="2"/>
  <c r="AB137" i="2"/>
  <c r="AA137" i="2"/>
  <c r="T137" i="2"/>
  <c r="N137" i="2"/>
  <c r="AR136" i="2"/>
  <c r="AS136" i="2" s="1"/>
  <c r="AE136" i="2"/>
  <c r="AD136" i="2"/>
  <c r="AC136" i="2"/>
  <c r="AB136" i="2"/>
  <c r="AA136" i="2"/>
  <c r="T136" i="2"/>
  <c r="N136" i="2"/>
  <c r="AR135" i="2"/>
  <c r="AS135" i="2" s="1"/>
  <c r="AE135" i="2"/>
  <c r="AD135" i="2"/>
  <c r="AC135" i="2"/>
  <c r="AB135" i="2"/>
  <c r="AA135" i="2"/>
  <c r="T135" i="2"/>
  <c r="N135" i="2"/>
  <c r="AR134" i="2"/>
  <c r="AS134" i="2" s="1"/>
  <c r="AE134" i="2"/>
  <c r="AD134" i="2"/>
  <c r="AC134" i="2"/>
  <c r="AB134" i="2"/>
  <c r="AA134" i="2"/>
  <c r="T134" i="2"/>
  <c r="N134" i="2"/>
  <c r="AR133" i="2"/>
  <c r="AS133" i="2" s="1"/>
  <c r="AE133" i="2"/>
  <c r="AD133" i="2"/>
  <c r="AC133" i="2"/>
  <c r="AB133" i="2"/>
  <c r="AA133" i="2"/>
  <c r="T133" i="2"/>
  <c r="N133" i="2"/>
  <c r="AS132" i="2"/>
  <c r="AR132" i="2"/>
  <c r="AE132" i="2"/>
  <c r="AD132" i="2"/>
  <c r="AC132" i="2"/>
  <c r="AB132" i="2"/>
  <c r="AA132" i="2"/>
  <c r="T132" i="2"/>
  <c r="N132" i="2"/>
  <c r="AR131" i="2"/>
  <c r="AS131" i="2" s="1"/>
  <c r="AE131" i="2"/>
  <c r="AD131" i="2"/>
  <c r="AC131" i="2"/>
  <c r="AB131" i="2"/>
  <c r="AA131" i="2"/>
  <c r="T131" i="2"/>
  <c r="N131" i="2"/>
  <c r="AR130" i="2"/>
  <c r="AS130" i="2" s="1"/>
  <c r="AE130" i="2"/>
  <c r="AD130" i="2"/>
  <c r="AC130" i="2"/>
  <c r="AB130" i="2"/>
  <c r="AA130" i="2"/>
  <c r="T130" i="2"/>
  <c r="N130" i="2"/>
  <c r="AR129" i="2"/>
  <c r="AS129" i="2" s="1"/>
  <c r="AE129" i="2"/>
  <c r="AD129" i="2"/>
  <c r="AC129" i="2"/>
  <c r="AB129" i="2"/>
  <c r="AA129" i="2"/>
  <c r="T129" i="2"/>
  <c r="N129" i="2"/>
  <c r="AS128" i="2"/>
  <c r="AR128" i="2"/>
  <c r="AE128" i="2"/>
  <c r="AD128" i="2"/>
  <c r="AC128" i="2"/>
  <c r="AB128" i="2"/>
  <c r="AA128" i="2"/>
  <c r="T128" i="2"/>
  <c r="N128" i="2"/>
  <c r="AR127" i="2"/>
  <c r="AS127" i="2" s="1"/>
  <c r="AE127" i="2"/>
  <c r="AD127" i="2"/>
  <c r="AC127" i="2"/>
  <c r="AB127" i="2"/>
  <c r="AA127" i="2"/>
  <c r="T127" i="2"/>
  <c r="N127" i="2"/>
  <c r="AR126" i="2"/>
  <c r="AS126" i="2" s="1"/>
  <c r="AE126" i="2"/>
  <c r="AD126" i="2"/>
  <c r="AC126" i="2"/>
  <c r="AB126" i="2"/>
  <c r="AA126" i="2"/>
  <c r="T126" i="2"/>
  <c r="N126" i="2"/>
  <c r="AR125" i="2"/>
  <c r="AS125" i="2" s="1"/>
  <c r="AE125" i="2"/>
  <c r="AD125" i="2"/>
  <c r="AC125" i="2"/>
  <c r="AB125" i="2"/>
  <c r="AA125" i="2"/>
  <c r="T125" i="2"/>
  <c r="N125" i="2"/>
  <c r="AR124" i="2"/>
  <c r="AS124" i="2" s="1"/>
  <c r="AE124" i="2"/>
  <c r="AD124" i="2"/>
  <c r="AC124" i="2"/>
  <c r="AB124" i="2"/>
  <c r="AA124" i="2"/>
  <c r="T124" i="2"/>
  <c r="N124" i="2"/>
  <c r="AR123" i="2"/>
  <c r="AS123" i="2" s="1"/>
  <c r="AE123" i="2"/>
  <c r="AD123" i="2"/>
  <c r="AC123" i="2"/>
  <c r="AB123" i="2"/>
  <c r="AA123" i="2"/>
  <c r="T123" i="2"/>
  <c r="N123" i="2"/>
  <c r="AR122" i="2"/>
  <c r="AS122" i="2" s="1"/>
  <c r="AE122" i="2"/>
  <c r="AD122" i="2"/>
  <c r="AC122" i="2"/>
  <c r="AB122" i="2"/>
  <c r="AA122" i="2"/>
  <c r="T122" i="2"/>
  <c r="N122" i="2"/>
  <c r="AR121" i="2"/>
  <c r="AS121" i="2" s="1"/>
  <c r="AE121" i="2"/>
  <c r="AD121" i="2"/>
  <c r="AC121" i="2"/>
  <c r="AB121" i="2"/>
  <c r="AA121" i="2"/>
  <c r="T121" i="2"/>
  <c r="N121" i="2"/>
  <c r="AR120" i="2"/>
  <c r="AS120" i="2" s="1"/>
  <c r="AE120" i="2"/>
  <c r="AD120" i="2"/>
  <c r="AC120" i="2"/>
  <c r="AB120" i="2"/>
  <c r="AA120" i="2"/>
  <c r="T120" i="2"/>
  <c r="N120" i="2"/>
  <c r="AR119" i="2"/>
  <c r="AS119" i="2" s="1"/>
  <c r="AE119" i="2"/>
  <c r="AD119" i="2"/>
  <c r="AC119" i="2"/>
  <c r="AB119" i="2"/>
  <c r="AA119" i="2"/>
  <c r="T119" i="2"/>
  <c r="N119" i="2"/>
  <c r="AR118" i="2"/>
  <c r="AS118" i="2" s="1"/>
  <c r="AE118" i="2"/>
  <c r="AD118" i="2"/>
  <c r="AC118" i="2"/>
  <c r="AB118" i="2"/>
  <c r="AA118" i="2"/>
  <c r="T118" i="2"/>
  <c r="N118" i="2"/>
  <c r="AR117" i="2"/>
  <c r="AS117" i="2" s="1"/>
  <c r="AE117" i="2"/>
  <c r="AD117" i="2"/>
  <c r="AC117" i="2"/>
  <c r="AB117" i="2"/>
  <c r="AA117" i="2"/>
  <c r="T117" i="2"/>
  <c r="N117" i="2"/>
  <c r="AS116" i="2"/>
  <c r="AR116" i="2"/>
  <c r="AE116" i="2"/>
  <c r="AD116" i="2"/>
  <c r="AC116" i="2"/>
  <c r="AB116" i="2"/>
  <c r="AA116" i="2"/>
  <c r="T116" i="2"/>
  <c r="N116" i="2"/>
  <c r="AR115" i="2"/>
  <c r="AS115" i="2" s="1"/>
  <c r="AE115" i="2"/>
  <c r="AD115" i="2"/>
  <c r="AC115" i="2"/>
  <c r="AB115" i="2"/>
  <c r="AA115" i="2"/>
  <c r="T115" i="2"/>
  <c r="N115" i="2"/>
  <c r="AR114" i="2"/>
  <c r="AS114" i="2" s="1"/>
  <c r="AE114" i="2"/>
  <c r="AD114" i="2"/>
  <c r="AC114" i="2"/>
  <c r="AB114" i="2"/>
  <c r="AA114" i="2"/>
  <c r="T114" i="2"/>
  <c r="N114" i="2"/>
  <c r="AR113" i="2"/>
  <c r="AS113" i="2" s="1"/>
  <c r="AE113" i="2"/>
  <c r="AD113" i="2"/>
  <c r="AC113" i="2"/>
  <c r="AB113" i="2"/>
  <c r="AA113" i="2"/>
  <c r="T113" i="2"/>
  <c r="N113" i="2"/>
  <c r="AS112" i="2"/>
  <c r="AR112" i="2"/>
  <c r="AE112" i="2"/>
  <c r="AD112" i="2"/>
  <c r="AC112" i="2"/>
  <c r="AB112" i="2"/>
  <c r="AA112" i="2"/>
  <c r="T112" i="2"/>
  <c r="N112" i="2"/>
  <c r="AR111" i="2"/>
  <c r="AS111" i="2" s="1"/>
  <c r="AE111" i="2"/>
  <c r="AD111" i="2"/>
  <c r="AC111" i="2"/>
  <c r="AB111" i="2"/>
  <c r="AA111" i="2"/>
  <c r="T111" i="2"/>
  <c r="N111" i="2"/>
  <c r="AR110" i="2"/>
  <c r="AS110" i="2" s="1"/>
  <c r="AE110" i="2"/>
  <c r="AD110" i="2"/>
  <c r="AC110" i="2"/>
  <c r="AB110" i="2"/>
  <c r="AA110" i="2"/>
  <c r="T110" i="2"/>
  <c r="N110" i="2"/>
  <c r="AR109" i="2"/>
  <c r="AS109" i="2" s="1"/>
  <c r="AE109" i="2"/>
  <c r="AD109" i="2"/>
  <c r="AC109" i="2"/>
  <c r="AB109" i="2"/>
  <c r="AA109" i="2"/>
  <c r="T109" i="2"/>
  <c r="N109" i="2"/>
  <c r="AR108" i="2"/>
  <c r="AS108" i="2" s="1"/>
  <c r="AE108" i="2"/>
  <c r="AD108" i="2"/>
  <c r="AC108" i="2"/>
  <c r="AB108" i="2"/>
  <c r="AA108" i="2"/>
  <c r="T108" i="2"/>
  <c r="N108" i="2"/>
  <c r="AR107" i="2"/>
  <c r="AS107" i="2" s="1"/>
  <c r="AE107" i="2"/>
  <c r="AD107" i="2"/>
  <c r="AC107" i="2"/>
  <c r="AB107" i="2"/>
  <c r="AA107" i="2"/>
  <c r="T107" i="2"/>
  <c r="N107" i="2"/>
  <c r="AS106" i="2"/>
  <c r="AR106" i="2"/>
  <c r="AE106" i="2"/>
  <c r="AD106" i="2"/>
  <c r="AC106" i="2"/>
  <c r="AB106" i="2"/>
  <c r="AA106" i="2"/>
  <c r="T106" i="2"/>
  <c r="N106" i="2"/>
  <c r="AR105" i="2"/>
  <c r="AS105" i="2" s="1"/>
  <c r="AE105" i="2"/>
  <c r="AD105" i="2"/>
  <c r="AC105" i="2"/>
  <c r="AB105" i="2"/>
  <c r="AA105" i="2"/>
  <c r="T105" i="2"/>
  <c r="N105" i="2"/>
  <c r="AR104" i="2"/>
  <c r="AS104" i="2" s="1"/>
  <c r="AE104" i="2"/>
  <c r="AD104" i="2"/>
  <c r="AC104" i="2"/>
  <c r="AB104" i="2"/>
  <c r="AA104" i="2"/>
  <c r="T104" i="2"/>
  <c r="N104" i="2"/>
  <c r="AR103" i="2"/>
  <c r="AS103" i="2" s="1"/>
  <c r="AE103" i="2"/>
  <c r="AD103" i="2"/>
  <c r="AC103" i="2"/>
  <c r="AB103" i="2"/>
  <c r="AA103" i="2"/>
  <c r="T103" i="2"/>
  <c r="N103" i="2"/>
  <c r="AR102" i="2"/>
  <c r="AS102" i="2" s="1"/>
  <c r="AE102" i="2"/>
  <c r="AD102" i="2"/>
  <c r="AC102" i="2"/>
  <c r="AB102" i="2"/>
  <c r="AA102" i="2"/>
  <c r="T102" i="2"/>
  <c r="N102" i="2"/>
  <c r="AR101" i="2"/>
  <c r="AS101" i="2" s="1"/>
  <c r="AE101" i="2"/>
  <c r="AD101" i="2"/>
  <c r="AC101" i="2"/>
  <c r="AB101" i="2"/>
  <c r="AA101" i="2"/>
  <c r="T101" i="2"/>
  <c r="N101" i="2"/>
  <c r="AR100" i="2"/>
  <c r="AS100" i="2" s="1"/>
  <c r="AE100" i="2"/>
  <c r="AD100" i="2"/>
  <c r="AC100" i="2"/>
  <c r="AB100" i="2"/>
  <c r="AA100" i="2"/>
  <c r="T100" i="2"/>
  <c r="N100" i="2"/>
  <c r="AR99" i="2"/>
  <c r="AS99" i="2" s="1"/>
  <c r="AE99" i="2"/>
  <c r="AD99" i="2"/>
  <c r="AC99" i="2"/>
  <c r="AB99" i="2"/>
  <c r="AA99" i="2"/>
  <c r="T99" i="2"/>
  <c r="N99" i="2"/>
  <c r="AR98" i="2"/>
  <c r="AS98" i="2" s="1"/>
  <c r="AE98" i="2"/>
  <c r="AD98" i="2"/>
  <c r="AC98" i="2"/>
  <c r="AB98" i="2"/>
  <c r="AA98" i="2"/>
  <c r="T98" i="2"/>
  <c r="N98" i="2"/>
  <c r="AR97" i="2"/>
  <c r="AS97" i="2" s="1"/>
  <c r="AE97" i="2"/>
  <c r="AD97" i="2"/>
  <c r="AC97" i="2"/>
  <c r="AB97" i="2"/>
  <c r="AA97" i="2"/>
  <c r="T97" i="2"/>
  <c r="N97" i="2"/>
  <c r="AS96" i="2"/>
  <c r="AR96" i="2"/>
  <c r="AE96" i="2"/>
  <c r="AD96" i="2"/>
  <c r="AC96" i="2"/>
  <c r="AB96" i="2"/>
  <c r="AA96" i="2"/>
  <c r="T96" i="2"/>
  <c r="N96" i="2"/>
  <c r="AR95" i="2"/>
  <c r="AS95" i="2" s="1"/>
  <c r="AE95" i="2"/>
  <c r="AD95" i="2"/>
  <c r="AC95" i="2"/>
  <c r="AB95" i="2"/>
  <c r="AA95" i="2"/>
  <c r="T95" i="2"/>
  <c r="N95" i="2"/>
  <c r="AR94" i="2"/>
  <c r="AS94" i="2" s="1"/>
  <c r="AE94" i="2"/>
  <c r="AD94" i="2"/>
  <c r="AC94" i="2"/>
  <c r="AB94" i="2"/>
  <c r="AA94" i="2"/>
  <c r="T94" i="2"/>
  <c r="N94" i="2"/>
  <c r="AR93" i="2"/>
  <c r="AS93" i="2" s="1"/>
  <c r="AE93" i="2"/>
  <c r="AD93" i="2"/>
  <c r="AC93" i="2"/>
  <c r="AB93" i="2"/>
  <c r="AA93" i="2"/>
  <c r="T93" i="2"/>
  <c r="N93" i="2"/>
  <c r="AR92" i="2"/>
  <c r="AS92" i="2" s="1"/>
  <c r="AE92" i="2"/>
  <c r="AD92" i="2"/>
  <c r="AC92" i="2"/>
  <c r="AB92" i="2"/>
  <c r="AA92" i="2"/>
  <c r="T92" i="2"/>
  <c r="N92" i="2"/>
  <c r="AR91" i="2"/>
  <c r="AS91" i="2" s="1"/>
  <c r="AE91" i="2"/>
  <c r="AD91" i="2"/>
  <c r="AC91" i="2"/>
  <c r="AB91" i="2"/>
  <c r="AA91" i="2"/>
  <c r="T91" i="2"/>
  <c r="N91" i="2"/>
  <c r="AS90" i="2"/>
  <c r="AR90" i="2"/>
  <c r="AE90" i="2"/>
  <c r="AD90" i="2"/>
  <c r="AC90" i="2"/>
  <c r="AB90" i="2"/>
  <c r="AA90" i="2"/>
  <c r="T90" i="2"/>
  <c r="N90" i="2"/>
  <c r="AR89" i="2"/>
  <c r="AS89" i="2" s="1"/>
  <c r="AE89" i="2"/>
  <c r="AD89" i="2"/>
  <c r="AC89" i="2"/>
  <c r="AB89" i="2"/>
  <c r="AA89" i="2"/>
  <c r="T89" i="2"/>
  <c r="N89" i="2"/>
  <c r="AR88" i="2"/>
  <c r="AS88" i="2" s="1"/>
  <c r="AE88" i="2"/>
  <c r="AD88" i="2"/>
  <c r="AC88" i="2"/>
  <c r="AB88" i="2"/>
  <c r="AA88" i="2"/>
  <c r="T88" i="2"/>
  <c r="N88" i="2"/>
  <c r="AR87" i="2"/>
  <c r="AS87" i="2" s="1"/>
  <c r="AE87" i="2"/>
  <c r="AD87" i="2"/>
  <c r="AC87" i="2"/>
  <c r="AB87" i="2"/>
  <c r="AA87" i="2"/>
  <c r="T87" i="2"/>
  <c r="N87" i="2"/>
  <c r="AR86" i="2"/>
  <c r="AS86" i="2" s="1"/>
  <c r="AE86" i="2"/>
  <c r="AD86" i="2"/>
  <c r="AC86" i="2"/>
  <c r="AB86" i="2"/>
  <c r="AA86" i="2"/>
  <c r="T86" i="2"/>
  <c r="N86" i="2"/>
  <c r="AR85" i="2"/>
  <c r="AS85" i="2" s="1"/>
  <c r="AE85" i="2"/>
  <c r="AD85" i="2"/>
  <c r="AC85" i="2"/>
  <c r="AB85" i="2"/>
  <c r="AA85" i="2"/>
  <c r="T85" i="2"/>
  <c r="N85" i="2"/>
  <c r="AS84" i="2"/>
  <c r="AR84" i="2"/>
  <c r="AE84" i="2"/>
  <c r="AD84" i="2"/>
  <c r="AC84" i="2"/>
  <c r="AB84" i="2"/>
  <c r="AA84" i="2"/>
  <c r="T84" i="2"/>
  <c r="N84" i="2"/>
  <c r="AR83" i="2"/>
  <c r="AS83" i="2" s="1"/>
  <c r="AE83" i="2"/>
  <c r="AD83" i="2"/>
  <c r="AC83" i="2"/>
  <c r="AB83" i="2"/>
  <c r="AA83" i="2"/>
  <c r="T83" i="2"/>
  <c r="N83" i="2"/>
  <c r="AR82" i="2"/>
  <c r="AS82" i="2" s="1"/>
  <c r="AE82" i="2"/>
  <c r="AD82" i="2"/>
  <c r="AC82" i="2"/>
  <c r="AB82" i="2"/>
  <c r="AA82" i="2"/>
  <c r="T82" i="2"/>
  <c r="N82" i="2"/>
  <c r="AR81" i="2"/>
  <c r="AS81" i="2" s="1"/>
  <c r="AE81" i="2"/>
  <c r="AD81" i="2"/>
  <c r="AC81" i="2"/>
  <c r="AB81" i="2"/>
  <c r="AA81" i="2"/>
  <c r="T81" i="2"/>
  <c r="N81" i="2"/>
  <c r="AR80" i="2"/>
  <c r="AS80" i="2" s="1"/>
  <c r="AE80" i="2"/>
  <c r="AD80" i="2"/>
  <c r="AC80" i="2"/>
  <c r="AB80" i="2"/>
  <c r="AA80" i="2"/>
  <c r="T80" i="2"/>
  <c r="N80" i="2"/>
  <c r="AR79" i="2"/>
  <c r="AS79" i="2" s="1"/>
  <c r="AE79" i="2"/>
  <c r="AD79" i="2"/>
  <c r="AC79" i="2"/>
  <c r="AB79" i="2"/>
  <c r="AA79" i="2"/>
  <c r="T79" i="2"/>
  <c r="N79" i="2"/>
  <c r="AR78" i="2"/>
  <c r="AS78" i="2" s="1"/>
  <c r="AE78" i="2"/>
  <c r="AD78" i="2"/>
  <c r="AC78" i="2"/>
  <c r="AB78" i="2"/>
  <c r="AA78" i="2"/>
  <c r="T78" i="2"/>
  <c r="N78" i="2"/>
  <c r="AR77" i="2"/>
  <c r="AS77" i="2" s="1"/>
  <c r="AE77" i="2"/>
  <c r="AD77" i="2"/>
  <c r="AC77" i="2"/>
  <c r="AB77" i="2"/>
  <c r="AA77" i="2"/>
  <c r="T77" i="2"/>
  <c r="N77" i="2"/>
  <c r="AR76" i="2"/>
  <c r="AS76" i="2" s="1"/>
  <c r="AE76" i="2"/>
  <c r="AD76" i="2"/>
  <c r="AC76" i="2"/>
  <c r="AB76" i="2"/>
  <c r="AA76" i="2"/>
  <c r="T76" i="2"/>
  <c r="N76" i="2"/>
  <c r="AR75" i="2"/>
  <c r="AS75" i="2" s="1"/>
  <c r="AE75" i="2"/>
  <c r="AD75" i="2"/>
  <c r="AC75" i="2"/>
  <c r="AB75" i="2"/>
  <c r="AA75" i="2"/>
  <c r="T75" i="2"/>
  <c r="N75" i="2"/>
  <c r="AS74" i="2"/>
  <c r="AR74" i="2"/>
  <c r="AE74" i="2"/>
  <c r="AD74" i="2"/>
  <c r="AC74" i="2"/>
  <c r="AB74" i="2"/>
  <c r="AA74" i="2"/>
  <c r="T74" i="2"/>
  <c r="N74" i="2"/>
  <c r="AR73" i="2"/>
  <c r="AS73" i="2" s="1"/>
  <c r="AE73" i="2"/>
  <c r="AD73" i="2"/>
  <c r="AC73" i="2"/>
  <c r="AB73" i="2"/>
  <c r="AA73" i="2"/>
  <c r="T73" i="2"/>
  <c r="N73" i="2"/>
  <c r="AR72" i="2"/>
  <c r="AS72" i="2" s="1"/>
  <c r="AE72" i="2"/>
  <c r="AD72" i="2"/>
  <c r="AC72" i="2"/>
  <c r="AB72" i="2"/>
  <c r="AA72" i="2"/>
  <c r="T72" i="2"/>
  <c r="N72" i="2"/>
  <c r="AR71" i="2"/>
  <c r="AS71" i="2" s="1"/>
  <c r="AE71" i="2"/>
  <c r="AD71" i="2"/>
  <c r="AC71" i="2"/>
  <c r="AB71" i="2"/>
  <c r="AA71" i="2"/>
  <c r="T71" i="2"/>
  <c r="N71" i="2"/>
  <c r="AS70" i="2"/>
  <c r="AR70" i="2"/>
  <c r="AE70" i="2"/>
  <c r="AD70" i="2"/>
  <c r="AC70" i="2"/>
  <c r="AB70" i="2"/>
  <c r="AA70" i="2"/>
  <c r="T70" i="2"/>
  <c r="N70" i="2"/>
  <c r="AR69" i="2"/>
  <c r="AS69" i="2" s="1"/>
  <c r="AE69" i="2"/>
  <c r="AD69" i="2"/>
  <c r="AC69" i="2"/>
  <c r="AB69" i="2"/>
  <c r="AA69" i="2"/>
  <c r="T69" i="2"/>
  <c r="N69" i="2"/>
  <c r="AR68" i="2"/>
  <c r="AS68" i="2" s="1"/>
  <c r="AE68" i="2"/>
  <c r="AD68" i="2"/>
  <c r="AC68" i="2"/>
  <c r="AB68" i="2"/>
  <c r="AA68" i="2"/>
  <c r="T68" i="2"/>
  <c r="N68" i="2"/>
  <c r="AR67" i="2"/>
  <c r="AS67" i="2" s="1"/>
  <c r="AE67" i="2"/>
  <c r="AD67" i="2"/>
  <c r="AC67" i="2"/>
  <c r="AB67" i="2"/>
  <c r="AA67" i="2"/>
  <c r="T67" i="2"/>
  <c r="N67" i="2"/>
  <c r="AS66" i="2"/>
  <c r="AR66" i="2"/>
  <c r="AE66" i="2"/>
  <c r="AD66" i="2"/>
  <c r="AC66" i="2"/>
  <c r="AB66" i="2"/>
  <c r="AA66" i="2"/>
  <c r="T66" i="2"/>
  <c r="N66" i="2"/>
  <c r="AR65" i="2"/>
  <c r="AS65" i="2" s="1"/>
  <c r="AE65" i="2"/>
  <c r="AD65" i="2"/>
  <c r="AC65" i="2"/>
  <c r="AB65" i="2"/>
  <c r="AA65" i="2"/>
  <c r="T65" i="2"/>
  <c r="N65" i="2"/>
  <c r="AR64" i="2"/>
  <c r="AS64" i="2" s="1"/>
  <c r="AE64" i="2"/>
  <c r="AD64" i="2"/>
  <c r="AC64" i="2"/>
  <c r="AB64" i="2"/>
  <c r="AA64" i="2"/>
  <c r="T64" i="2"/>
  <c r="N64" i="2"/>
  <c r="AR63" i="2"/>
  <c r="AS63" i="2" s="1"/>
  <c r="AE63" i="2"/>
  <c r="AD63" i="2"/>
  <c r="AC63" i="2"/>
  <c r="AB63" i="2"/>
  <c r="AA63" i="2"/>
  <c r="T63" i="2"/>
  <c r="N63" i="2"/>
  <c r="AR62" i="2"/>
  <c r="AS62" i="2" s="1"/>
  <c r="AE62" i="2"/>
  <c r="AD62" i="2"/>
  <c r="AC62" i="2"/>
  <c r="AB62" i="2"/>
  <c r="AA62" i="2"/>
  <c r="T62" i="2"/>
  <c r="N62" i="2"/>
  <c r="AR61" i="2"/>
  <c r="AS61" i="2" s="1"/>
  <c r="AE61" i="2"/>
  <c r="AD61" i="2"/>
  <c r="AC61" i="2"/>
  <c r="AB61" i="2"/>
  <c r="AA61" i="2"/>
  <c r="T61" i="2"/>
  <c r="N61" i="2"/>
  <c r="AR60" i="2"/>
  <c r="AS60" i="2" s="1"/>
  <c r="AE60" i="2"/>
  <c r="AD60" i="2"/>
  <c r="AC60" i="2"/>
  <c r="AB60" i="2"/>
  <c r="AA60" i="2"/>
  <c r="T60" i="2"/>
  <c r="N60" i="2"/>
  <c r="AR59" i="2"/>
  <c r="AS59" i="2" s="1"/>
  <c r="AE59" i="2"/>
  <c r="AD59" i="2"/>
  <c r="AC59" i="2"/>
  <c r="AB59" i="2"/>
  <c r="AA59" i="2"/>
  <c r="T59" i="2"/>
  <c r="N59" i="2"/>
  <c r="AS58" i="2"/>
  <c r="AR58" i="2"/>
  <c r="AE58" i="2"/>
  <c r="AD58" i="2"/>
  <c r="AC58" i="2"/>
  <c r="AB58" i="2"/>
  <c r="AA58" i="2"/>
  <c r="T58" i="2"/>
  <c r="N58" i="2"/>
  <c r="AR57" i="2"/>
  <c r="AS57" i="2" s="1"/>
  <c r="AE57" i="2"/>
  <c r="AD57" i="2"/>
  <c r="AC57" i="2"/>
  <c r="AB57" i="2"/>
  <c r="AA57" i="2"/>
  <c r="T57" i="2"/>
  <c r="N57" i="2"/>
  <c r="AR56" i="2"/>
  <c r="AS56" i="2" s="1"/>
  <c r="AE56" i="2"/>
  <c r="AD56" i="2"/>
  <c r="AC56" i="2"/>
  <c r="AB56" i="2"/>
  <c r="AA56" i="2"/>
  <c r="T56" i="2"/>
  <c r="N56" i="2"/>
  <c r="AR55" i="2"/>
  <c r="AS55" i="2" s="1"/>
  <c r="AE55" i="2"/>
  <c r="AD55" i="2"/>
  <c r="AC55" i="2"/>
  <c r="AB55" i="2"/>
  <c r="AA55" i="2"/>
  <c r="T55" i="2"/>
  <c r="N55" i="2"/>
  <c r="AS54" i="2"/>
  <c r="AR54" i="2"/>
  <c r="AE54" i="2"/>
  <c r="AD54" i="2"/>
  <c r="AC54" i="2"/>
  <c r="AB54" i="2"/>
  <c r="AA54" i="2"/>
  <c r="T54" i="2"/>
  <c r="N54" i="2"/>
  <c r="AR53" i="2"/>
  <c r="AS53" i="2" s="1"/>
  <c r="AE53" i="2"/>
  <c r="AD53" i="2"/>
  <c r="AC53" i="2"/>
  <c r="AB53" i="2"/>
  <c r="AA53" i="2"/>
  <c r="T53" i="2"/>
  <c r="N53" i="2"/>
  <c r="AR52" i="2"/>
  <c r="AS52" i="2" s="1"/>
  <c r="AE52" i="2"/>
  <c r="AD52" i="2"/>
  <c r="AC52" i="2"/>
  <c r="AB52" i="2"/>
  <c r="AA52" i="2"/>
  <c r="T52" i="2"/>
  <c r="N52" i="2"/>
  <c r="AR51" i="2"/>
  <c r="AS51" i="2" s="1"/>
  <c r="AE51" i="2"/>
  <c r="AD51" i="2"/>
  <c r="AC51" i="2"/>
  <c r="AB51" i="2"/>
  <c r="AA51" i="2"/>
  <c r="T51" i="2"/>
  <c r="N51" i="2"/>
  <c r="AS50" i="2"/>
  <c r="AR50" i="2"/>
  <c r="AE50" i="2"/>
  <c r="AD50" i="2"/>
  <c r="AC50" i="2"/>
  <c r="AB50" i="2"/>
  <c r="AA50" i="2"/>
  <c r="T50" i="2"/>
  <c r="N50" i="2"/>
  <c r="AR49" i="2"/>
  <c r="AS49" i="2" s="1"/>
  <c r="AE49" i="2"/>
  <c r="AD49" i="2"/>
  <c r="AC49" i="2"/>
  <c r="AB49" i="2"/>
  <c r="AA49" i="2"/>
  <c r="T49" i="2"/>
  <c r="N49" i="2"/>
  <c r="AR48" i="2"/>
  <c r="AS48" i="2" s="1"/>
  <c r="AE48" i="2"/>
  <c r="AD48" i="2"/>
  <c r="AC48" i="2"/>
  <c r="AB48" i="2"/>
  <c r="AA48" i="2"/>
  <c r="T48" i="2"/>
  <c r="N48" i="2"/>
  <c r="AR47" i="2"/>
  <c r="AS47" i="2" s="1"/>
  <c r="AE47" i="2"/>
  <c r="AD47" i="2"/>
  <c r="AC47" i="2"/>
  <c r="AB47" i="2"/>
  <c r="AA47" i="2"/>
  <c r="T47" i="2"/>
  <c r="N47" i="2"/>
  <c r="AR46" i="2"/>
  <c r="AS46" i="2" s="1"/>
  <c r="AE46" i="2"/>
  <c r="AD46" i="2"/>
  <c r="AC46" i="2"/>
  <c r="AB46" i="2"/>
  <c r="AA46" i="2"/>
  <c r="T46" i="2"/>
  <c r="N46" i="2"/>
  <c r="AR45" i="2"/>
  <c r="AS45" i="2" s="1"/>
  <c r="AE45" i="2"/>
  <c r="AD45" i="2"/>
  <c r="AC45" i="2"/>
  <c r="AB45" i="2"/>
  <c r="AA45" i="2"/>
  <c r="T45" i="2"/>
  <c r="N45" i="2"/>
  <c r="AR44" i="2"/>
  <c r="AS44" i="2" s="1"/>
  <c r="AE44" i="2"/>
  <c r="AD44" i="2"/>
  <c r="AC44" i="2"/>
  <c r="AB44" i="2"/>
  <c r="AA44" i="2"/>
  <c r="T44" i="2"/>
  <c r="N44" i="2"/>
  <c r="AR43" i="2"/>
  <c r="AS43" i="2" s="1"/>
  <c r="AE43" i="2"/>
  <c r="AD43" i="2"/>
  <c r="AC43" i="2"/>
  <c r="AB43" i="2"/>
  <c r="AA43" i="2"/>
  <c r="T43" i="2"/>
  <c r="N43" i="2"/>
  <c r="AS42" i="2"/>
  <c r="AR42" i="2"/>
  <c r="AE42" i="2"/>
  <c r="AD42" i="2"/>
  <c r="AC42" i="2"/>
  <c r="AB42" i="2"/>
  <c r="AA42" i="2"/>
  <c r="T42" i="2"/>
  <c r="N42" i="2"/>
  <c r="AR41" i="2"/>
  <c r="AS41" i="2" s="1"/>
  <c r="AE41" i="2"/>
  <c r="AD41" i="2"/>
  <c r="AC41" i="2"/>
  <c r="AB41" i="2"/>
  <c r="AA41" i="2"/>
  <c r="T41" i="2"/>
  <c r="N41" i="2"/>
  <c r="AR40" i="2"/>
  <c r="AS40" i="2" s="1"/>
  <c r="AE40" i="2"/>
  <c r="AD40" i="2"/>
  <c r="AC40" i="2"/>
  <c r="AB40" i="2"/>
  <c r="AA40" i="2"/>
  <c r="T40" i="2"/>
  <c r="N40" i="2"/>
  <c r="BI39" i="2"/>
  <c r="AR39" i="2"/>
  <c r="AS39" i="2" s="1"/>
  <c r="AE39" i="2"/>
  <c r="AD39" i="2"/>
  <c r="AC39" i="2"/>
  <c r="AB39" i="2"/>
  <c r="AA39" i="2"/>
  <c r="T39" i="2"/>
  <c r="N39" i="2"/>
  <c r="AR38" i="2"/>
  <c r="AS38" i="2" s="1"/>
  <c r="AE38" i="2"/>
  <c r="AD38" i="2"/>
  <c r="AC38" i="2"/>
  <c r="AB38" i="2"/>
  <c r="AA38" i="2"/>
  <c r="T38" i="2"/>
  <c r="N38" i="2"/>
  <c r="BI37" i="2"/>
  <c r="AR37" i="2"/>
  <c r="AS37" i="2" s="1"/>
  <c r="AE37" i="2"/>
  <c r="AD37" i="2"/>
  <c r="AC37" i="2"/>
  <c r="AB37" i="2"/>
  <c r="AA37" i="2"/>
  <c r="T37" i="2"/>
  <c r="N37" i="2"/>
  <c r="AR36" i="2"/>
  <c r="AS36" i="2" s="1"/>
  <c r="AE36" i="2"/>
  <c r="AD36" i="2"/>
  <c r="AC36" i="2"/>
  <c r="AB36" i="2"/>
  <c r="AA36" i="2"/>
  <c r="T36" i="2"/>
  <c r="N36" i="2"/>
  <c r="AR35" i="2"/>
  <c r="AS35" i="2" s="1"/>
  <c r="AE35" i="2"/>
  <c r="AD35" i="2"/>
  <c r="AC35" i="2"/>
  <c r="AB35" i="2"/>
  <c r="AA35" i="2"/>
  <c r="T35" i="2"/>
  <c r="N35" i="2"/>
  <c r="AR34" i="2"/>
  <c r="AS34" i="2" s="1"/>
  <c r="AE34" i="2"/>
  <c r="AD34" i="2"/>
  <c r="AC34" i="2"/>
  <c r="AB34" i="2"/>
  <c r="AA34" i="2"/>
  <c r="T34" i="2"/>
  <c r="N34" i="2"/>
  <c r="AR33" i="2"/>
  <c r="AS33" i="2" s="1"/>
  <c r="AE33" i="2"/>
  <c r="AD33" i="2"/>
  <c r="AC33" i="2"/>
  <c r="AB33" i="2"/>
  <c r="AA33" i="2"/>
  <c r="T33" i="2"/>
  <c r="N33" i="2"/>
  <c r="AR32" i="2"/>
  <c r="AS32" i="2" s="1"/>
  <c r="AE32" i="2"/>
  <c r="AD32" i="2"/>
  <c r="AC32" i="2"/>
  <c r="AB32" i="2"/>
  <c r="AA32" i="2"/>
  <c r="T32" i="2"/>
  <c r="N32" i="2"/>
  <c r="BI31" i="2"/>
  <c r="AR31" i="2"/>
  <c r="AS31" i="2" s="1"/>
  <c r="AE31" i="2"/>
  <c r="AD31" i="2"/>
  <c r="AC31" i="2"/>
  <c r="AB31" i="2"/>
  <c r="AA31" i="2"/>
  <c r="T31" i="2"/>
  <c r="N31" i="2"/>
  <c r="AR30" i="2"/>
  <c r="AS30" i="2" s="1"/>
  <c r="AE30" i="2"/>
  <c r="AD30" i="2"/>
  <c r="AC30" i="2"/>
  <c r="AB30" i="2"/>
  <c r="AA30" i="2"/>
  <c r="T30" i="2"/>
  <c r="N30" i="2"/>
  <c r="BI29" i="2"/>
  <c r="AR29" i="2"/>
  <c r="AS29" i="2" s="1"/>
  <c r="AE29" i="2"/>
  <c r="AD29" i="2"/>
  <c r="AC29" i="2"/>
  <c r="AB29" i="2"/>
  <c r="AA29" i="2"/>
  <c r="T29" i="2"/>
  <c r="N29" i="2"/>
  <c r="AR28" i="2"/>
  <c r="AS28" i="2" s="1"/>
  <c r="AE28" i="2"/>
  <c r="AD28" i="2"/>
  <c r="AC28" i="2"/>
  <c r="AB28" i="2"/>
  <c r="AA28" i="2"/>
  <c r="T28" i="2"/>
  <c r="N28" i="2"/>
  <c r="AR27" i="2"/>
  <c r="AS27" i="2" s="1"/>
  <c r="AE27" i="2"/>
  <c r="AD27" i="2"/>
  <c r="AC27" i="2"/>
  <c r="AB27" i="2"/>
  <c r="AA27" i="2"/>
  <c r="T27" i="2"/>
  <c r="N27" i="2"/>
  <c r="AS26" i="2"/>
  <c r="AR26" i="2"/>
  <c r="AE26" i="2"/>
  <c r="AD26" i="2"/>
  <c r="AC26" i="2"/>
  <c r="AB26" i="2"/>
  <c r="AA26" i="2"/>
  <c r="T26" i="2"/>
  <c r="N26" i="2"/>
  <c r="AR25" i="2"/>
  <c r="AS25" i="2" s="1"/>
  <c r="AE25" i="2"/>
  <c r="AD25" i="2"/>
  <c r="AC25" i="2"/>
  <c r="AB25" i="2"/>
  <c r="AA25" i="2"/>
  <c r="T25" i="2"/>
  <c r="N25" i="2"/>
  <c r="BP24" i="2"/>
  <c r="BO24" i="2"/>
  <c r="AR24" i="2"/>
  <c r="AS24" i="2" s="1"/>
  <c r="AE24" i="2"/>
  <c r="AD24" i="2"/>
  <c r="AC24" i="2"/>
  <c r="AB24" i="2"/>
  <c r="AA24" i="2"/>
  <c r="T24" i="2"/>
  <c r="N24" i="2"/>
  <c r="BP23" i="2"/>
  <c r="BZ41" i="2" s="1"/>
  <c r="BO23" i="2"/>
  <c r="BY19" i="2" s="1"/>
  <c r="AZ23" i="2"/>
  <c r="AY23" i="2"/>
  <c r="AR23" i="2"/>
  <c r="AS23" i="2" s="1"/>
  <c r="AE23" i="2"/>
  <c r="AD23" i="2"/>
  <c r="AC23" i="2"/>
  <c r="AB23" i="2"/>
  <c r="AA23" i="2"/>
  <c r="T23" i="2"/>
  <c r="N23" i="2"/>
  <c r="AZ22" i="2"/>
  <c r="BJ35" i="2" s="1"/>
  <c r="AY22" i="2"/>
  <c r="AR22" i="2"/>
  <c r="AS22" i="2" s="1"/>
  <c r="AE22" i="2"/>
  <c r="AD22" i="2"/>
  <c r="AC22" i="2"/>
  <c r="AB22" i="2"/>
  <c r="AA22" i="2"/>
  <c r="T22" i="2"/>
  <c r="N22" i="2"/>
  <c r="BI21" i="2"/>
  <c r="AR21" i="2"/>
  <c r="AS21" i="2" s="1"/>
  <c r="AE21" i="2"/>
  <c r="AD21" i="2"/>
  <c r="AC21" i="2"/>
  <c r="AB21" i="2"/>
  <c r="AA21" i="2"/>
  <c r="T21" i="2"/>
  <c r="N21" i="2"/>
  <c r="AS20" i="2"/>
  <c r="AR20" i="2"/>
  <c r="AE20" i="2"/>
  <c r="AD20" i="2"/>
  <c r="AC20" i="2"/>
  <c r="AB20" i="2"/>
  <c r="AA20" i="2"/>
  <c r="T20" i="2"/>
  <c r="N20" i="2"/>
  <c r="BI19" i="2"/>
  <c r="AS19" i="2"/>
  <c r="AR19" i="2"/>
  <c r="AE19" i="2"/>
  <c r="AD19" i="2"/>
  <c r="AC19" i="2"/>
  <c r="AB19" i="2"/>
  <c r="AA19" i="2"/>
  <c r="T19" i="2"/>
  <c r="N19" i="2"/>
  <c r="BI18" i="2"/>
  <c r="AR18" i="2"/>
  <c r="AS18" i="2" s="1"/>
  <c r="AE18" i="2"/>
  <c r="AD18" i="2"/>
  <c r="AC18" i="2"/>
  <c r="AB18" i="2"/>
  <c r="AA18" i="2"/>
  <c r="T18" i="2"/>
  <c r="N18" i="2"/>
  <c r="BI17" i="2"/>
  <c r="AR17" i="2"/>
  <c r="AS17" i="2" s="1"/>
  <c r="AE17" i="2"/>
  <c r="AD17" i="2"/>
  <c r="AC17" i="2"/>
  <c r="AB17" i="2"/>
  <c r="AA17" i="2"/>
  <c r="T17" i="2"/>
  <c r="N17" i="2"/>
  <c r="BI16" i="2"/>
  <c r="AR16" i="2"/>
  <c r="AS16" i="2" s="1"/>
  <c r="AE16" i="2"/>
  <c r="AD16" i="2"/>
  <c r="AC16" i="2"/>
  <c r="AB16" i="2"/>
  <c r="AA16" i="2"/>
  <c r="T16" i="2"/>
  <c r="N16" i="2"/>
  <c r="BJ15" i="2"/>
  <c r="BI15" i="2"/>
  <c r="AR15" i="2"/>
  <c r="AS15" i="2" s="1"/>
  <c r="AE15" i="2"/>
  <c r="AD15" i="2"/>
  <c r="AC15" i="2"/>
  <c r="AB15" i="2"/>
  <c r="AA15" i="2"/>
  <c r="T15" i="2"/>
  <c r="N15" i="2"/>
  <c r="BZ14" i="2"/>
  <c r="BI14" i="2"/>
  <c r="AR14" i="2"/>
  <c r="AS14" i="2" s="1"/>
  <c r="AE14" i="2"/>
  <c r="AD14" i="2"/>
  <c r="AC14" i="2"/>
  <c r="AB14" i="2"/>
  <c r="AA14" i="2"/>
  <c r="T14" i="2"/>
  <c r="N14" i="2"/>
  <c r="BI13" i="2"/>
  <c r="AR13" i="2"/>
  <c r="AS13" i="2" s="1"/>
  <c r="AE13" i="2"/>
  <c r="AD13" i="2"/>
  <c r="AC13" i="2"/>
  <c r="AB13" i="2"/>
  <c r="AA13" i="2"/>
  <c r="T13" i="2"/>
  <c r="N13" i="2"/>
  <c r="BI12" i="2"/>
  <c r="AR12" i="2"/>
  <c r="AS12" i="2" s="1"/>
  <c r="AE12" i="2"/>
  <c r="AD12" i="2"/>
  <c r="AC12" i="2"/>
  <c r="AB12" i="2"/>
  <c r="AA12" i="2"/>
  <c r="T12" i="2"/>
  <c r="N12" i="2"/>
  <c r="BY11" i="2"/>
  <c r="BI11" i="2"/>
  <c r="AR11" i="2"/>
  <c r="AS11" i="2" s="1"/>
  <c r="AE11" i="2"/>
  <c r="AD11" i="2"/>
  <c r="AC11" i="2"/>
  <c r="AB11" i="2"/>
  <c r="AA11" i="2"/>
  <c r="T11" i="2"/>
  <c r="N11" i="2"/>
  <c r="BI10" i="2"/>
  <c r="AR10" i="2"/>
  <c r="AS10" i="2" s="1"/>
  <c r="AE10" i="2"/>
  <c r="AD10" i="2"/>
  <c r="AC10" i="2"/>
  <c r="AB10" i="2"/>
  <c r="AA10" i="2"/>
  <c r="T10" i="2"/>
  <c r="N10" i="2"/>
  <c r="BJ9" i="2"/>
  <c r="BI9" i="2"/>
  <c r="AR9" i="2"/>
  <c r="AS9" i="2" s="1"/>
  <c r="AE9" i="2"/>
  <c r="AD9" i="2"/>
  <c r="AC9" i="2"/>
  <c r="AB9" i="2"/>
  <c r="AA9" i="2"/>
  <c r="T9" i="2"/>
  <c r="N9" i="2"/>
  <c r="BI8" i="2"/>
  <c r="AR8" i="2"/>
  <c r="AS8" i="2" s="1"/>
  <c r="AE8" i="2"/>
  <c r="AD8" i="2"/>
  <c r="AC8" i="2"/>
  <c r="AB8" i="2"/>
  <c r="AA8" i="2"/>
  <c r="T8" i="2"/>
  <c r="N8" i="2"/>
  <c r="BI7" i="2"/>
  <c r="AR7" i="2"/>
  <c r="AS7" i="2" s="1"/>
  <c r="AE7" i="2"/>
  <c r="AD7" i="2"/>
  <c r="AC7" i="2"/>
  <c r="AB7" i="2"/>
  <c r="AA7" i="2"/>
  <c r="T7" i="2"/>
  <c r="N7" i="2"/>
  <c r="BI6" i="2"/>
  <c r="AR6" i="2"/>
  <c r="AS6" i="2" s="1"/>
  <c r="AE6" i="2"/>
  <c r="AD6" i="2"/>
  <c r="AC6" i="2"/>
  <c r="AB6" i="2"/>
  <c r="AA6" i="2"/>
  <c r="T6" i="2"/>
  <c r="N6" i="2"/>
  <c r="BI5" i="2"/>
  <c r="AR5" i="2"/>
  <c r="AS5" i="2" s="1"/>
  <c r="AE5" i="2"/>
  <c r="AD5" i="2"/>
  <c r="AC5" i="2"/>
  <c r="AB5" i="2"/>
  <c r="AA5" i="2"/>
  <c r="T5" i="2"/>
  <c r="N5" i="2"/>
  <c r="BI4" i="2"/>
  <c r="AR4" i="2"/>
  <c r="AS4" i="2" s="1"/>
  <c r="AE4" i="2"/>
  <c r="AD4" i="2"/>
  <c r="AC4" i="2"/>
  <c r="AB4" i="2"/>
  <c r="AA4" i="2"/>
  <c r="T4" i="2"/>
  <c r="N4" i="2"/>
  <c r="BI3" i="2"/>
  <c r="AR3" i="2"/>
  <c r="AS3" i="2" s="1"/>
  <c r="AE3" i="2"/>
  <c r="AD3" i="2"/>
  <c r="AC3" i="2"/>
  <c r="AB3" i="2"/>
  <c r="AA3" i="2"/>
  <c r="T3" i="2"/>
  <c r="N3" i="2"/>
  <c r="BI2" i="2"/>
  <c r="AR2" i="2"/>
  <c r="AS2" i="2" s="1"/>
  <c r="AE2" i="2"/>
  <c r="AD2" i="2"/>
  <c r="AC2" i="2"/>
  <c r="AB2" i="2"/>
  <c r="AA2" i="2"/>
  <c r="T2" i="2"/>
  <c r="N2" i="2"/>
  <c r="J25" i="5" l="1"/>
  <c r="M24" i="5"/>
  <c r="E24" i="5"/>
  <c r="H23" i="5"/>
  <c r="J17" i="5"/>
  <c r="M16" i="5"/>
  <c r="E16" i="5"/>
  <c r="H15" i="5"/>
  <c r="J9" i="5"/>
  <c r="M8" i="5"/>
  <c r="E8" i="5"/>
  <c r="H7" i="5"/>
  <c r="K6" i="5"/>
  <c r="L3" i="5"/>
  <c r="K3" i="5"/>
  <c r="L8" i="5"/>
  <c r="H17" i="5"/>
  <c r="H9" i="5"/>
  <c r="N7" i="5"/>
  <c r="O9" i="5"/>
  <c r="M7" i="5"/>
  <c r="K2" i="5"/>
  <c r="M28" i="5"/>
  <c r="E28" i="5"/>
  <c r="H27" i="5"/>
  <c r="K26" i="5"/>
  <c r="N25" i="5"/>
  <c r="F25" i="5"/>
  <c r="I24" i="5"/>
  <c r="L23" i="5"/>
  <c r="O22" i="5"/>
  <c r="G22" i="5"/>
  <c r="J21" i="5"/>
  <c r="M20" i="5"/>
  <c r="E20" i="5"/>
  <c r="H19" i="5"/>
  <c r="K18" i="5"/>
  <c r="N17" i="5"/>
  <c r="F17" i="5"/>
  <c r="I16" i="5"/>
  <c r="L15" i="5"/>
  <c r="O14" i="5"/>
  <c r="G14" i="5"/>
  <c r="J13" i="5"/>
  <c r="M12" i="5"/>
  <c r="E12" i="5"/>
  <c r="H11" i="5"/>
  <c r="K10" i="5"/>
  <c r="N9" i="5"/>
  <c r="F9" i="5"/>
  <c r="I8" i="5"/>
  <c r="L7" i="5"/>
  <c r="O6" i="5"/>
  <c r="G6" i="5"/>
  <c r="J5" i="5"/>
  <c r="M4" i="5"/>
  <c r="E4" i="5"/>
  <c r="H3" i="5"/>
  <c r="L24" i="5"/>
  <c r="K24" i="5"/>
  <c r="F23" i="5"/>
  <c r="K16" i="5"/>
  <c r="N15" i="5"/>
  <c r="F15" i="5"/>
  <c r="G25" i="5"/>
  <c r="J24" i="5"/>
  <c r="M23" i="5"/>
  <c r="E23" i="5"/>
  <c r="H22" i="5"/>
  <c r="O17" i="5"/>
  <c r="J16" i="5"/>
  <c r="E15" i="5"/>
  <c r="G9" i="5"/>
  <c r="H6" i="5"/>
  <c r="J2" i="5"/>
  <c r="L28" i="5"/>
  <c r="O27" i="5"/>
  <c r="G27" i="5"/>
  <c r="J26" i="5"/>
  <c r="M25" i="5"/>
  <c r="E25" i="5"/>
  <c r="H24" i="5"/>
  <c r="K23" i="5"/>
  <c r="N22" i="5"/>
  <c r="F22" i="5"/>
  <c r="I21" i="5"/>
  <c r="L20" i="5"/>
  <c r="O19" i="5"/>
  <c r="G19" i="5"/>
  <c r="J18" i="5"/>
  <c r="M17" i="5"/>
  <c r="E17" i="5"/>
  <c r="H16" i="5"/>
  <c r="K15" i="5"/>
  <c r="N14" i="5"/>
  <c r="F14" i="5"/>
  <c r="I13" i="5"/>
  <c r="L12" i="5"/>
  <c r="O11" i="5"/>
  <c r="G11" i="5"/>
  <c r="J10" i="5"/>
  <c r="M9" i="5"/>
  <c r="E9" i="5"/>
  <c r="H8" i="5"/>
  <c r="K7" i="5"/>
  <c r="N6" i="5"/>
  <c r="F6" i="5"/>
  <c r="I5" i="5"/>
  <c r="L4" i="5"/>
  <c r="O3" i="5"/>
  <c r="G3" i="5"/>
  <c r="O25" i="5"/>
  <c r="G17" i="5"/>
  <c r="M15" i="5"/>
  <c r="H14" i="5"/>
  <c r="J8" i="5"/>
  <c r="E7" i="5"/>
  <c r="I2" i="5"/>
  <c r="K28" i="5"/>
  <c r="N27" i="5"/>
  <c r="F27" i="5"/>
  <c r="I26" i="5"/>
  <c r="L25" i="5"/>
  <c r="O24" i="5"/>
  <c r="G24" i="5"/>
  <c r="J23" i="5"/>
  <c r="M22" i="5"/>
  <c r="E22" i="5"/>
  <c r="H21" i="5"/>
  <c r="K20" i="5"/>
  <c r="N19" i="5"/>
  <c r="F19" i="5"/>
  <c r="I18" i="5"/>
  <c r="L17" i="5"/>
  <c r="O16" i="5"/>
  <c r="G16" i="5"/>
  <c r="J15" i="5"/>
  <c r="M14" i="5"/>
  <c r="E14" i="5"/>
  <c r="H13" i="5"/>
  <c r="K12" i="5"/>
  <c r="N11" i="5"/>
  <c r="F11" i="5"/>
  <c r="I10" i="5"/>
  <c r="L9" i="5"/>
  <c r="O8" i="5"/>
  <c r="G8" i="5"/>
  <c r="J7" i="5"/>
  <c r="M6" i="5"/>
  <c r="E6" i="5"/>
  <c r="H5" i="5"/>
  <c r="K4" i="5"/>
  <c r="N3" i="5"/>
  <c r="F3" i="5"/>
  <c r="L16" i="5"/>
  <c r="H25" i="5"/>
  <c r="N23" i="5"/>
  <c r="K8" i="5"/>
  <c r="F7" i="5"/>
  <c r="E2" i="5"/>
  <c r="M27" i="5"/>
  <c r="N24" i="5"/>
  <c r="O21" i="5"/>
  <c r="M19" i="5"/>
  <c r="N16" i="5"/>
  <c r="O13" i="5"/>
  <c r="M11" i="5"/>
  <c r="N8" i="5"/>
  <c r="O5" i="5"/>
  <c r="M3" i="5"/>
  <c r="BJ6" i="2"/>
  <c r="BJ22" i="2"/>
  <c r="BY3" i="2"/>
  <c r="BZ6" i="2"/>
  <c r="BJ16" i="2"/>
  <c r="BJ19" i="2"/>
  <c r="BJ3" i="2"/>
  <c r="BJ12" i="2"/>
  <c r="BJ26" i="2"/>
  <c r="BJ10" i="2"/>
  <c r="BJ13" i="2"/>
  <c r="BJ21" i="2"/>
  <c r="BJ34" i="2"/>
  <c r="BJ4" i="2"/>
  <c r="BJ7" i="2"/>
  <c r="BJ17" i="2"/>
  <c r="BY38" i="2"/>
  <c r="BJ11" i="2"/>
  <c r="BJ14" i="2"/>
  <c r="BJ20" i="2"/>
  <c r="BJ5" i="2"/>
  <c r="BJ8" i="2"/>
  <c r="BJ32" i="2"/>
  <c r="BJ2" i="2"/>
  <c r="BJ18" i="2"/>
  <c r="BI40" i="2"/>
  <c r="BZ17" i="2"/>
  <c r="BJ40" i="2"/>
  <c r="BY27" i="2"/>
  <c r="BZ11" i="2"/>
  <c r="BY16" i="2"/>
  <c r="BZ19" i="2"/>
  <c r="BY22" i="2"/>
  <c r="BY24" i="2"/>
  <c r="BI26" i="2"/>
  <c r="BZ27" i="2"/>
  <c r="BJ29" i="2"/>
  <c r="BY32" i="2"/>
  <c r="BI34" i="2"/>
  <c r="BZ35" i="2"/>
  <c r="BJ37" i="2"/>
  <c r="BY40" i="2"/>
  <c r="BZ30" i="2"/>
  <c r="BY35" i="2"/>
  <c r="BY2" i="2"/>
  <c r="BZ5" i="2"/>
  <c r="BY10" i="2"/>
  <c r="BZ13" i="2"/>
  <c r="BY18" i="2"/>
  <c r="BI20" i="2"/>
  <c r="BZ21" i="2"/>
  <c r="BZ23" i="2"/>
  <c r="BY26" i="2"/>
  <c r="BI28" i="2"/>
  <c r="BZ29" i="2"/>
  <c r="BJ31" i="2"/>
  <c r="BY34" i="2"/>
  <c r="BI36" i="2"/>
  <c r="BZ37" i="2"/>
  <c r="BJ39" i="2"/>
  <c r="BY23" i="2"/>
  <c r="BZ2" i="2"/>
  <c r="BY7" i="2"/>
  <c r="BZ10" i="2"/>
  <c r="BY15" i="2"/>
  <c r="BZ18" i="2"/>
  <c r="BI25" i="2"/>
  <c r="BZ26" i="2"/>
  <c r="BJ28" i="2"/>
  <c r="BY31" i="2"/>
  <c r="BI33" i="2"/>
  <c r="BZ34" i="2"/>
  <c r="BJ36" i="2"/>
  <c r="BY39" i="2"/>
  <c r="BI41" i="2"/>
  <c r="BZ3" i="2"/>
  <c r="BY21" i="2"/>
  <c r="BZ22" i="2"/>
  <c r="BZ24" i="2"/>
  <c r="BY29" i="2"/>
  <c r="BZ40" i="2"/>
  <c r="BY4" i="2"/>
  <c r="BZ7" i="2"/>
  <c r="BY12" i="2"/>
  <c r="BZ15" i="2"/>
  <c r="BY20" i="2"/>
  <c r="BI24" i="2"/>
  <c r="BJ25" i="2"/>
  <c r="BY28" i="2"/>
  <c r="BI30" i="2"/>
  <c r="BZ31" i="2"/>
  <c r="BJ33" i="2"/>
  <c r="BY36" i="2"/>
  <c r="BI38" i="2"/>
  <c r="BZ39" i="2"/>
  <c r="BJ41" i="2"/>
  <c r="BY8" i="2"/>
  <c r="BZ4" i="2"/>
  <c r="BY9" i="2"/>
  <c r="BZ12" i="2"/>
  <c r="BY17" i="2"/>
  <c r="BZ20" i="2"/>
  <c r="BI23" i="2"/>
  <c r="BJ24" i="2"/>
  <c r="BY25" i="2"/>
  <c r="BI27" i="2"/>
  <c r="BZ28" i="2"/>
  <c r="BJ30" i="2"/>
  <c r="BY33" i="2"/>
  <c r="BI35" i="2"/>
  <c r="BZ36" i="2"/>
  <c r="BJ38" i="2"/>
  <c r="BY41" i="2"/>
  <c r="BZ38" i="2"/>
  <c r="BY5" i="2"/>
  <c r="BZ8" i="2"/>
  <c r="BY13" i="2"/>
  <c r="BZ16" i="2"/>
  <c r="BZ32" i="2"/>
  <c r="BY37" i="2"/>
  <c r="BY6" i="2"/>
  <c r="BZ9" i="2"/>
  <c r="BY14" i="2"/>
  <c r="BI22" i="2"/>
  <c r="BJ23" i="2"/>
  <c r="BZ25" i="2"/>
  <c r="BJ27" i="2"/>
  <c r="BY30" i="2"/>
  <c r="BI32" i="2"/>
  <c r="BZ33" i="2"/>
</calcChain>
</file>

<file path=xl/sharedStrings.xml><?xml version="1.0" encoding="utf-8"?>
<sst xmlns="http://schemas.openxmlformats.org/spreadsheetml/2006/main" count="1430" uniqueCount="105">
  <si>
    <t>Employee</t>
  </si>
  <si>
    <t>EducLev</t>
  </si>
  <si>
    <t>JobGrade</t>
  </si>
  <si>
    <t>Age</t>
  </si>
  <si>
    <t>YrsPrior</t>
  </si>
  <si>
    <t>PCJob</t>
  </si>
  <si>
    <t>Gender</t>
  </si>
  <si>
    <t>YrsExper</t>
  </si>
  <si>
    <t>Salary</t>
  </si>
  <si>
    <t>No</t>
  </si>
  <si>
    <t>Male</t>
  </si>
  <si>
    <t>Female</t>
  </si>
  <si>
    <t>Yes</t>
  </si>
  <si>
    <t>Use of indicator</t>
  </si>
  <si>
    <t>Coefficients</t>
  </si>
  <si>
    <t>Edu1</t>
  </si>
  <si>
    <t>Edu2</t>
  </si>
  <si>
    <t>Edu4</t>
  </si>
  <si>
    <t>Edu5</t>
  </si>
  <si>
    <t>Interaction</t>
  </si>
  <si>
    <t>Interaction(YrsExper, Female)</t>
  </si>
  <si>
    <t>SUMMARY OUTPUT</t>
  </si>
  <si>
    <t>Salary.Female</t>
  </si>
  <si>
    <t>Salary.Male</t>
  </si>
  <si>
    <t>Intercept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</si>
  <si>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</si>
  <si>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</si>
  <si>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</si>
  <si>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</si>
  <si>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</si>
  <si>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</si>
  <si>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</si>
  <si>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</si>
  <si>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</si>
  <si>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</si>
  <si>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</si>
  <si>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</si>
  <si>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</si>
  <si>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</si>
  <si>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</si>
  <si>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t Stat</t>
  </si>
  <si>
    <t>P-value</t>
  </si>
  <si>
    <t>Lower 95%</t>
  </si>
  <si>
    <t>Upper 95%</t>
  </si>
  <si>
    <t>Lower 95.0%</t>
  </si>
  <si>
    <t>Upper 95.0%</t>
  </si>
  <si>
    <t>Slope</t>
  </si>
  <si>
    <t>Date</t>
  </si>
  <si>
    <t>Mustard</t>
  </si>
  <si>
    <t>EventIndex</t>
  </si>
  <si>
    <t>Description</t>
  </si>
  <si>
    <t>E1</t>
  </si>
  <si>
    <t>E2</t>
  </si>
  <si>
    <t>E3</t>
  </si>
  <si>
    <t>Nothing</t>
  </si>
  <si>
    <t>Promotion</t>
  </si>
  <si>
    <t>Media</t>
  </si>
  <si>
    <t>t</t>
  </si>
  <si>
    <t>Edu3</t>
  </si>
  <si>
    <t>M2</t>
  </si>
  <si>
    <t>M3</t>
  </si>
  <si>
    <t>M4</t>
  </si>
  <si>
    <t>Month</t>
  </si>
  <si>
    <t>Dummy matrix</t>
  </si>
  <si>
    <t>M5</t>
  </si>
  <si>
    <t>M6</t>
  </si>
  <si>
    <t>M7</t>
  </si>
  <si>
    <t>M8</t>
  </si>
  <si>
    <t>M9</t>
  </si>
  <si>
    <t>M10</t>
  </si>
  <si>
    <t>M11</t>
  </si>
  <si>
    <t>M12</t>
  </si>
  <si>
    <t>1{F}</t>
  </si>
  <si>
    <t>RAND()</t>
  </si>
  <si>
    <t>No (based on rand)</t>
  </si>
  <si>
    <t>Batch</t>
  </si>
  <si>
    <t>b1</t>
  </si>
  <si>
    <t>b0</t>
  </si>
  <si>
    <t>Train-Fold1</t>
  </si>
  <si>
    <t>1-30</t>
  </si>
  <si>
    <t>Train-Fold2</t>
  </si>
  <si>
    <t>31-60</t>
  </si>
  <si>
    <t>MAE</t>
  </si>
  <si>
    <t>Train-Fold3</t>
  </si>
  <si>
    <t>61-90</t>
  </si>
  <si>
    <t>Train-Fold4</t>
  </si>
  <si>
    <t>91-120</t>
  </si>
  <si>
    <t>Train-Fold5</t>
  </si>
  <si>
    <t>121-150</t>
  </si>
  <si>
    <t>Test</t>
  </si>
  <si>
    <t>150-208</t>
  </si>
  <si>
    <t>Fold2, 3, 4, 5</t>
  </si>
  <si>
    <t>Fold1</t>
  </si>
  <si>
    <t>SalaryFC</t>
  </si>
  <si>
    <t>NCS</t>
  </si>
  <si>
    <t>DPIPC</t>
  </si>
  <si>
    <t>UR</t>
  </si>
  <si>
    <t>PR</t>
  </si>
  <si>
    <t>UMICS</t>
  </si>
  <si>
    <t>Q1</t>
  </si>
  <si>
    <t>Q2</t>
  </si>
  <si>
    <t>Q3</t>
  </si>
  <si>
    <t>Q4</t>
  </si>
  <si>
    <t>Qtr</t>
  </si>
  <si>
    <t>Lookup table for dummy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</si>
</sst>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[$-409]mmm\-yy;@"/>
    <numFmt numFmtId="167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1" xfId="2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2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0" fontId="4" fillId="0" borderId="2" xfId="0" applyFont="1" applyBorder="1" applyAlignment="1">
      <alignment horizontal="centerContinuous"/>
    </xf>
    <xf numFmtId="0" fontId="0" fillId="0" borderId="3" xfId="0" applyBorder="1"/>
    <xf numFmtId="2" fontId="0" fillId="0" borderId="3" xfId="0" applyNumberFormat="1" applyBorder="1"/>
    <xf numFmtId="1" fontId="0" fillId="0" borderId="3" xfId="0" applyNumberForma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0" applyNumberFormat="1" applyFont="1" applyAlignment="1" applyProtection="1">
      <alignment horizontal="center"/>
      <protection locked="0"/>
    </xf>
    <xf numFmtId="2" fontId="6" fillId="0" borderId="0" xfId="1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 readingOrder="1"/>
    </xf>
    <xf numFmtId="16" fontId="0" fillId="0" borderId="0" xfId="0" quotePrefix="1" applyNumberFormat="1"/>
    <xf numFmtId="0" fontId="0" fillId="0" borderId="0" xfId="0" quotePrefix="1"/>
    <xf numFmtId="2" fontId="9" fillId="0" borderId="0" xfId="0" applyNumberFormat="1" applyFont="1"/>
    <xf numFmtId="0" fontId="9" fillId="0" borderId="0" xfId="0" applyFont="1"/>
    <xf numFmtId="167" fontId="0" fillId="0" borderId="0" xfId="0" applyNumberFormat="1"/>
    <xf numFmtId="0" fontId="0" fillId="0" borderId="0" xfId="0" applyAlignment="1">
      <alignment horizontal="center"/>
    </xf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5EC9-147D-4408-B4C4-8E339D96AF52}">
  <dimension ref="A1:BZ209"/>
  <sheetViews>
    <sheetView topLeftCell="A181" zoomScale="70" zoomScaleNormal="70" workbookViewId="0">
      <selection activeCell="A196" sqref="A196"/>
    </sheetView>
  </sheetViews>
  <sheetFormatPr defaultRowHeight="14.5" x14ac:dyDescent="0.35"/>
  <cols>
    <col min="11" max="11" width="23.81640625" customWidth="1"/>
    <col min="16" max="16" width="14.08984375" bestFit="1" customWidth="1"/>
    <col min="22" max="22" width="14.08984375" bestFit="1" customWidth="1"/>
    <col min="26" max="26" width="7.6328125" bestFit="1" customWidth="1"/>
    <col min="33" max="33" width="11.08984375" customWidth="1"/>
    <col min="34" max="34" width="5.6328125" bestFit="1" customWidth="1"/>
    <col min="35" max="37" width="6.08984375" bestFit="1" customWidth="1"/>
    <col min="38" max="38" width="6.08984375" customWidth="1"/>
    <col min="39" max="39" width="6.08984375" bestFit="1" customWidth="1"/>
    <col min="45" max="45" width="27.08984375" bestFit="1" customWidth="1"/>
    <col min="51" max="51" width="12" bestFit="1" customWidth="1"/>
    <col min="61" max="61" width="13.54296875" bestFit="1" customWidth="1"/>
    <col min="62" max="62" width="10.36328125" bestFit="1" customWidth="1"/>
  </cols>
  <sheetData>
    <row r="1" spans="1:78" ht="20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5" t="s">
        <v>13</v>
      </c>
      <c r="L1" s="2" t="s">
        <v>8</v>
      </c>
      <c r="M1" s="2" t="s">
        <v>7</v>
      </c>
      <c r="N1" t="s">
        <v>11</v>
      </c>
      <c r="O1" s="6"/>
      <c r="P1" s="6" t="s">
        <v>14</v>
      </c>
      <c r="R1" s="2" t="s">
        <v>8</v>
      </c>
      <c r="S1" s="2" t="s">
        <v>7</v>
      </c>
      <c r="T1" t="s">
        <v>10</v>
      </c>
      <c r="U1" s="6"/>
      <c r="V1" s="6" t="s">
        <v>14</v>
      </c>
      <c r="W1" s="7"/>
      <c r="X1" s="2" t="s">
        <v>8</v>
      </c>
      <c r="Y1" s="2" t="s">
        <v>7</v>
      </c>
      <c r="Z1" s="2" t="s">
        <v>4</v>
      </c>
      <c r="AA1" t="s">
        <v>11</v>
      </c>
      <c r="AB1" t="s">
        <v>15</v>
      </c>
      <c r="AC1" t="s">
        <v>16</v>
      </c>
      <c r="AD1" t="s">
        <v>17</v>
      </c>
      <c r="AE1" t="s">
        <v>18</v>
      </c>
      <c r="AF1" s="6"/>
      <c r="AG1" s="6" t="s">
        <v>14</v>
      </c>
      <c r="AH1" s="7"/>
      <c r="AI1" s="7"/>
      <c r="AJ1" s="7"/>
      <c r="AK1" s="7"/>
      <c r="AL1" s="7"/>
      <c r="AN1" s="8" t="s">
        <v>19</v>
      </c>
      <c r="AP1" s="2" t="s">
        <v>8</v>
      </c>
      <c r="AQ1" s="2" t="s">
        <v>7</v>
      </c>
      <c r="AR1" t="s">
        <v>11</v>
      </c>
      <c r="AS1" t="s">
        <v>20</v>
      </c>
      <c r="AX1" t="s">
        <v>21</v>
      </c>
      <c r="BH1" t="s">
        <v>7</v>
      </c>
      <c r="BI1" t="s">
        <v>22</v>
      </c>
      <c r="BJ1" t="s">
        <v>23</v>
      </c>
      <c r="BN1" t="s">
        <v>21</v>
      </c>
      <c r="BX1" t="s">
        <v>7</v>
      </c>
      <c r="BY1" t="s">
        <v>22</v>
      </c>
      <c r="BZ1" t="s">
        <v>23</v>
      </c>
    </row>
    <row r="2" spans="1:78" ht="15.5" thickTop="1" thickBot="1" x14ac:dyDescent="0.4">
      <c r="A2" s="1">
        <v>1</v>
      </c>
      <c r="B2">
        <v>3</v>
      </c>
      <c r="C2">
        <v>1</v>
      </c>
      <c r="D2">
        <v>26</v>
      </c>
      <c r="E2" s="3">
        <v>1</v>
      </c>
      <c r="F2" s="3" t="s">
        <v>9</v>
      </c>
      <c r="G2" s="3" t="s">
        <v>10</v>
      </c>
      <c r="H2">
        <v>3</v>
      </c>
      <c r="I2" s="4">
        <v>32000</v>
      </c>
      <c r="J2" s="4"/>
      <c r="L2" s="4">
        <v>32000</v>
      </c>
      <c r="M2">
        <v>3</v>
      </c>
      <c r="N2">
        <f>IF(G2="Female",1,0)</f>
        <v>0</v>
      </c>
      <c r="O2" t="s">
        <v>24</v>
      </c>
      <c r="P2" s="9">
        <v>35823.789915561727</v>
      </c>
      <c r="R2" s="4">
        <v>32000</v>
      </c>
      <c r="S2">
        <v>3</v>
      </c>
      <c r="T2">
        <f>IF(G2="Male",1,0)</f>
        <v>1</v>
      </c>
      <c r="U2" t="s">
        <v>24</v>
      </c>
      <c r="V2" s="9">
        <v>27811.904139027491</v>
      </c>
      <c r="W2" s="9"/>
      <c r="X2" s="4">
        <v>32000</v>
      </c>
      <c r="Y2">
        <v>3</v>
      </c>
      <c r="Z2" s="3">
        <v>1</v>
      </c>
      <c r="AA2">
        <f>IF(G2="Female",1,0)</f>
        <v>0</v>
      </c>
      <c r="AB2" s="10">
        <f>IF(B2=1,1,0)</f>
        <v>0</v>
      </c>
      <c r="AC2" s="10">
        <f>IF(B2=2,1,0)</f>
        <v>0</v>
      </c>
      <c r="AD2" s="10">
        <f>IF(B2=4,1,0)</f>
        <v>0</v>
      </c>
      <c r="AE2" s="10">
        <f>IF(B2=5,1,0)</f>
        <v>0</v>
      </c>
      <c r="AF2" t="s">
        <v>24</v>
      </c>
      <c r="AG2" s="9">
        <v>31377.911888441213</v>
      </c>
      <c r="AH2" s="9"/>
      <c r="AI2" s="9"/>
      <c r="AJ2" s="9"/>
      <c r="AK2" s="9"/>
      <c r="AL2" s="9"/>
      <c r="AM2" s="9"/>
      <c r="AN2" s="9"/>
      <c r="AP2" s="4">
        <v>32000</v>
      </c>
      <c r="AQ2">
        <v>3</v>
      </c>
      <c r="AR2">
        <f t="shared" ref="AR2:AR65" si="0">IF(G2=$AR$1,1,0)</f>
        <v>0</v>
      </c>
      <c r="AS2">
        <f>AQ2*AR2</f>
        <v>0</v>
      </c>
      <c r="AU2" s="10"/>
      <c r="AV2" s="10"/>
      <c r="BH2">
        <v>1</v>
      </c>
      <c r="BI2" s="11">
        <f>$AY$22+$AY$23*BH2</f>
        <v>28793.055086481745</v>
      </c>
      <c r="BJ2" s="11">
        <f>$AZ$22+$AZ$23*BH2</f>
        <v>36804.940863015981</v>
      </c>
      <c r="BX2">
        <v>1</v>
      </c>
      <c r="BY2" s="11">
        <f>$BO$23+$BO$24*BX2</f>
        <v>34808.242969116895</v>
      </c>
      <c r="BZ2" s="11">
        <f>$BP$23+$BP$24*BX2</f>
        <v>31957.789458961746</v>
      </c>
    </row>
    <row r="3" spans="1:78" x14ac:dyDescent="0.35">
      <c r="A3" s="1">
        <v>2</v>
      </c>
      <c r="B3">
        <v>1</v>
      </c>
      <c r="C3">
        <v>1</v>
      </c>
      <c r="D3">
        <v>38</v>
      </c>
      <c r="E3" s="3">
        <v>1</v>
      </c>
      <c r="F3" s="3" t="s">
        <v>9</v>
      </c>
      <c r="G3" s="3" t="s">
        <v>11</v>
      </c>
      <c r="H3">
        <v>14</v>
      </c>
      <c r="I3" s="4">
        <v>39100</v>
      </c>
      <c r="J3" s="4"/>
      <c r="L3" s="4">
        <v>39100</v>
      </c>
      <c r="M3">
        <v>14</v>
      </c>
      <c r="N3">
        <f t="shared" ref="N3:N66" si="1">IF(G3="Female",1,0)</f>
        <v>1</v>
      </c>
      <c r="O3" t="s">
        <v>7</v>
      </c>
      <c r="P3" s="9">
        <v>981.15094745425142</v>
      </c>
      <c r="R3" s="4">
        <v>39100</v>
      </c>
      <c r="S3">
        <v>14</v>
      </c>
      <c r="T3">
        <f t="shared" ref="T3:T66" si="2">IF(G3="Male",1,0)</f>
        <v>0</v>
      </c>
      <c r="U3" t="s">
        <v>7</v>
      </c>
      <c r="V3" s="9">
        <v>981.15094745425142</v>
      </c>
      <c r="W3" s="9"/>
      <c r="X3" s="4">
        <v>39100</v>
      </c>
      <c r="Y3">
        <v>14</v>
      </c>
      <c r="Z3" s="3">
        <v>1</v>
      </c>
      <c r="AA3">
        <f t="shared" ref="AA3:AA66" si="3">IF(G3="Female",1,0)</f>
        <v>1</v>
      </c>
      <c r="AB3" s="10">
        <f t="shared" ref="AB3:AB66" si="4">IF(B3=1,1,0)</f>
        <v>1</v>
      </c>
      <c r="AC3" s="10">
        <f t="shared" ref="AC3:AC66" si="5">IF(B3=2,1,0)</f>
        <v>0</v>
      </c>
      <c r="AD3" s="10">
        <f t="shared" ref="AD3:AD66" si="6">IF(B3=4,1,0)</f>
        <v>0</v>
      </c>
      <c r="AE3" s="10">
        <f t="shared" ref="AE3:AE66" si="7">IF(B3=5,1,0)</f>
        <v>0</v>
      </c>
      <c r="AF3" t="s">
        <v>7</v>
      </c>
      <c r="AG3" s="9">
        <v>1032.9301365379501</v>
      </c>
      <c r="AH3" s="9"/>
      <c r="AI3" s="9"/>
      <c r="AJ3" s="9"/>
      <c r="AK3" s="9"/>
      <c r="AL3" s="9"/>
      <c r="AM3" s="9"/>
      <c r="AN3" s="9"/>
      <c r="AP3" s="4">
        <v>39100</v>
      </c>
      <c r="AQ3">
        <v>14</v>
      </c>
      <c r="AR3">
        <f t="shared" si="0"/>
        <v>1</v>
      </c>
      <c r="AS3">
        <f t="shared" ref="AS3:AS66" si="8">AQ3*AR3</f>
        <v>14</v>
      </c>
      <c r="AU3" s="10"/>
      <c r="AV3" s="10"/>
      <c r="AX3" s="12" t="s">
        <v>25</v>
      </c>
      <c r="AY3" s="12"/>
      <c r="BH3">
        <v>2</v>
      </c>
      <c r="BI3" s="11">
        <f t="shared" ref="BI3:BI41" si="9">$AY$22+$AY$23*BH3</f>
        <v>29774.206033935996</v>
      </c>
      <c r="BJ3" s="11">
        <f t="shared" ref="BJ3:BJ41" si="10">$AZ$22+$AZ$23*BH3</f>
        <v>37786.091810470229</v>
      </c>
      <c r="BN3" s="12" t="s">
        <v>25</v>
      </c>
      <c r="BO3" s="12"/>
      <c r="BX3">
        <v>2</v>
      </c>
      <c r="BY3" s="11">
        <f t="shared" ref="BY3:BY41" si="11">$BO$23+$BO$24*BX3</f>
        <v>35088.20631992758</v>
      </c>
      <c r="BZ3" s="11">
        <f t="shared" ref="BZ3:BZ41" si="12">$BP$23+$BP$24*BX3</f>
        <v>33485.551178349146</v>
      </c>
    </row>
    <row r="4" spans="1:78" ht="15" thickBot="1" x14ac:dyDescent="0.4">
      <c r="A4" s="1">
        <v>3</v>
      </c>
      <c r="B4">
        <v>1</v>
      </c>
      <c r="C4">
        <v>1</v>
      </c>
      <c r="D4">
        <v>35</v>
      </c>
      <c r="E4" s="3">
        <v>0</v>
      </c>
      <c r="F4" s="3" t="s">
        <v>9</v>
      </c>
      <c r="G4" s="3" t="s">
        <v>11</v>
      </c>
      <c r="H4">
        <v>12</v>
      </c>
      <c r="I4" s="4">
        <v>33200</v>
      </c>
      <c r="J4" s="4"/>
      <c r="L4" s="4">
        <v>33200</v>
      </c>
      <c r="M4">
        <v>12</v>
      </c>
      <c r="N4">
        <f t="shared" si="1"/>
        <v>1</v>
      </c>
      <c r="O4" s="13" t="s">
        <v>11</v>
      </c>
      <c r="P4" s="14">
        <v>-8011.8857765342318</v>
      </c>
      <c r="R4" s="4">
        <v>33200</v>
      </c>
      <c r="S4">
        <v>12</v>
      </c>
      <c r="T4">
        <f t="shared" si="2"/>
        <v>0</v>
      </c>
      <c r="U4" s="13" t="s">
        <v>10</v>
      </c>
      <c r="V4" s="14">
        <v>8011.8857765342318</v>
      </c>
      <c r="W4" s="9"/>
      <c r="X4" s="4">
        <v>33200</v>
      </c>
      <c r="Y4">
        <v>12</v>
      </c>
      <c r="Z4" s="3">
        <v>0</v>
      </c>
      <c r="AA4">
        <f t="shared" si="3"/>
        <v>1</v>
      </c>
      <c r="AB4" s="10">
        <f t="shared" si="4"/>
        <v>1</v>
      </c>
      <c r="AC4" s="10">
        <f t="shared" si="5"/>
        <v>0</v>
      </c>
      <c r="AD4" s="10">
        <f t="shared" si="6"/>
        <v>0</v>
      </c>
      <c r="AE4" s="10">
        <f t="shared" si="7"/>
        <v>0</v>
      </c>
      <c r="AF4" t="s">
        <v>4</v>
      </c>
      <c r="AG4" s="9">
        <v>362.23417837091228</v>
      </c>
      <c r="AH4" s="9"/>
      <c r="AI4" s="9"/>
      <c r="AJ4" s="9"/>
      <c r="AK4" s="9"/>
      <c r="AL4" s="9"/>
      <c r="AM4" s="9"/>
      <c r="AN4" s="9"/>
      <c r="AP4" s="4">
        <v>33200</v>
      </c>
      <c r="AQ4">
        <v>12</v>
      </c>
      <c r="AR4">
        <f t="shared" si="0"/>
        <v>1</v>
      </c>
      <c r="AS4">
        <f t="shared" si="8"/>
        <v>12</v>
      </c>
      <c r="AU4" s="10"/>
      <c r="AV4" s="10"/>
      <c r="AX4" t="s">
        <v>26</v>
      </c>
      <c r="AY4">
        <v>0.70068015619882607</v>
      </c>
      <c r="BH4">
        <v>3</v>
      </c>
      <c r="BI4" s="11">
        <f t="shared" si="9"/>
        <v>30755.35698139025</v>
      </c>
      <c r="BJ4" s="11">
        <f t="shared" si="10"/>
        <v>38767.242757924483</v>
      </c>
      <c r="BN4" t="s">
        <v>26</v>
      </c>
      <c r="BO4">
        <v>0.79913035128783927</v>
      </c>
      <c r="BX4">
        <v>3</v>
      </c>
      <c r="BY4" s="11">
        <f t="shared" si="11"/>
        <v>35368.169670738273</v>
      </c>
      <c r="BZ4" s="11">
        <f t="shared" si="12"/>
        <v>35013.312897736541</v>
      </c>
    </row>
    <row r="5" spans="1:78" x14ac:dyDescent="0.35">
      <c r="A5" s="1">
        <v>4</v>
      </c>
      <c r="B5">
        <v>2</v>
      </c>
      <c r="C5">
        <v>1</v>
      </c>
      <c r="D5">
        <v>40</v>
      </c>
      <c r="E5" s="3">
        <v>7</v>
      </c>
      <c r="F5" s="3" t="s">
        <v>9</v>
      </c>
      <c r="G5" s="3" t="s">
        <v>11</v>
      </c>
      <c r="H5">
        <v>8</v>
      </c>
      <c r="I5" s="4">
        <v>30600</v>
      </c>
      <c r="J5" s="4"/>
      <c r="L5" s="4">
        <v>30600</v>
      </c>
      <c r="M5">
        <v>8</v>
      </c>
      <c r="N5">
        <f t="shared" si="1"/>
        <v>1</v>
      </c>
      <c r="R5" s="4">
        <v>30600</v>
      </c>
      <c r="S5">
        <v>8</v>
      </c>
      <c r="T5">
        <f t="shared" si="2"/>
        <v>0</v>
      </c>
      <c r="X5" s="4">
        <v>30600</v>
      </c>
      <c r="Y5">
        <v>8</v>
      </c>
      <c r="Z5" s="3">
        <v>7</v>
      </c>
      <c r="AA5">
        <f t="shared" si="3"/>
        <v>1</v>
      </c>
      <c r="AB5" s="10">
        <f t="shared" si="4"/>
        <v>0</v>
      </c>
      <c r="AC5" s="10">
        <f t="shared" si="5"/>
        <v>1</v>
      </c>
      <c r="AD5" s="10">
        <f t="shared" si="6"/>
        <v>0</v>
      </c>
      <c r="AE5" s="10">
        <f t="shared" si="7"/>
        <v>0</v>
      </c>
      <c r="AF5" t="s">
        <v>11</v>
      </c>
      <c r="AG5" s="9">
        <v>-4501.322074198677</v>
      </c>
      <c r="AP5" s="4">
        <v>30600</v>
      </c>
      <c r="AQ5">
        <v>8</v>
      </c>
      <c r="AR5">
        <f t="shared" si="0"/>
        <v>1</v>
      </c>
      <c r="AS5">
        <f t="shared" si="8"/>
        <v>8</v>
      </c>
      <c r="AU5" s="10"/>
      <c r="AV5" s="10"/>
      <c r="AX5" t="s">
        <v>27</v>
      </c>
      <c r="AY5">
        <v>0.49095268129081132</v>
      </c>
      <c r="BH5">
        <v>4</v>
      </c>
      <c r="BI5" s="11">
        <f t="shared" si="9"/>
        <v>31736.507928844501</v>
      </c>
      <c r="BJ5" s="11">
        <f t="shared" si="10"/>
        <v>39748.39370537873</v>
      </c>
      <c r="BN5" t="s">
        <v>27</v>
      </c>
      <c r="BO5">
        <v>0.63860931834942547</v>
      </c>
      <c r="BX5">
        <v>4</v>
      </c>
      <c r="BY5" s="11">
        <f t="shared" si="11"/>
        <v>35648.133021548958</v>
      </c>
      <c r="BZ5" s="11">
        <f t="shared" si="12"/>
        <v>36541.074617123937</v>
      </c>
    </row>
    <row r="6" spans="1:78" x14ac:dyDescent="0.35">
      <c r="A6" s="1">
        <v>5</v>
      </c>
      <c r="B6">
        <v>3</v>
      </c>
      <c r="C6">
        <v>1</v>
      </c>
      <c r="D6">
        <v>28</v>
      </c>
      <c r="E6" s="3">
        <v>0</v>
      </c>
      <c r="F6" s="3" t="s">
        <v>9</v>
      </c>
      <c r="G6" s="3" t="s">
        <v>10</v>
      </c>
      <c r="H6">
        <v>3</v>
      </c>
      <c r="I6" s="4">
        <v>29000</v>
      </c>
      <c r="J6" s="4"/>
      <c r="L6" s="4">
        <v>29000</v>
      </c>
      <c r="M6">
        <v>3</v>
      </c>
      <c r="N6">
        <f t="shared" si="1"/>
        <v>0</v>
      </c>
      <c r="R6" s="4">
        <v>29000</v>
      </c>
      <c r="S6">
        <v>3</v>
      </c>
      <c r="T6">
        <f t="shared" si="2"/>
        <v>1</v>
      </c>
      <c r="X6" s="4">
        <v>29000</v>
      </c>
      <c r="Y6">
        <v>3</v>
      </c>
      <c r="Z6" s="3">
        <v>0</v>
      </c>
      <c r="AA6">
        <f t="shared" si="3"/>
        <v>0</v>
      </c>
      <c r="AB6" s="10">
        <f t="shared" si="4"/>
        <v>0</v>
      </c>
      <c r="AC6" s="10">
        <f t="shared" si="5"/>
        <v>0</v>
      </c>
      <c r="AD6" s="10">
        <f t="shared" si="6"/>
        <v>0</v>
      </c>
      <c r="AE6" s="10">
        <f t="shared" si="7"/>
        <v>0</v>
      </c>
      <c r="AF6" t="s">
        <v>15</v>
      </c>
      <c r="AG6" s="9">
        <v>-4764.5564512011961</v>
      </c>
      <c r="AP6" s="4">
        <v>29000</v>
      </c>
      <c r="AQ6">
        <v>3</v>
      </c>
      <c r="AR6">
        <f t="shared" si="0"/>
        <v>0</v>
      </c>
      <c r="AS6">
        <f t="shared" si="8"/>
        <v>0</v>
      </c>
      <c r="AU6" s="10"/>
      <c r="AV6" s="10"/>
      <c r="AX6" t="s">
        <v>28</v>
      </c>
      <c r="AY6">
        <v>0.48598636598633144</v>
      </c>
      <c r="BH6">
        <v>5</v>
      </c>
      <c r="BI6" s="11">
        <f t="shared" si="9"/>
        <v>32717.658876298752</v>
      </c>
      <c r="BJ6" s="11">
        <f t="shared" si="10"/>
        <v>40729.544652832985</v>
      </c>
      <c r="BN6" t="s">
        <v>28</v>
      </c>
      <c r="BO6">
        <v>0.6332947495016229</v>
      </c>
      <c r="BX6">
        <v>5</v>
      </c>
      <c r="BY6" s="11">
        <f t="shared" si="11"/>
        <v>35928.096372359643</v>
      </c>
      <c r="BZ6" s="11">
        <f t="shared" si="12"/>
        <v>38068.836336511333</v>
      </c>
    </row>
    <row r="7" spans="1:78" x14ac:dyDescent="0.35">
      <c r="A7" s="1">
        <v>6</v>
      </c>
      <c r="B7">
        <v>3</v>
      </c>
      <c r="C7">
        <v>1</v>
      </c>
      <c r="D7">
        <v>24</v>
      </c>
      <c r="E7" s="3">
        <v>0</v>
      </c>
      <c r="F7" s="3" t="s">
        <v>9</v>
      </c>
      <c r="G7" s="3" t="s">
        <v>11</v>
      </c>
      <c r="H7">
        <v>3</v>
      </c>
      <c r="I7" s="4">
        <v>30500</v>
      </c>
      <c r="J7" s="4"/>
      <c r="L7" s="4">
        <v>30500</v>
      </c>
      <c r="M7">
        <v>3</v>
      </c>
      <c r="N7">
        <f t="shared" si="1"/>
        <v>1</v>
      </c>
      <c r="R7" s="4">
        <v>30500</v>
      </c>
      <c r="S7">
        <v>3</v>
      </c>
      <c r="T7">
        <f t="shared" si="2"/>
        <v>0</v>
      </c>
      <c r="X7" s="4">
        <v>30500</v>
      </c>
      <c r="Y7">
        <v>3</v>
      </c>
      <c r="Z7" s="3">
        <v>0</v>
      </c>
      <c r="AA7">
        <f t="shared" si="3"/>
        <v>1</v>
      </c>
      <c r="AB7" s="10">
        <f t="shared" si="4"/>
        <v>0</v>
      </c>
      <c r="AC7" s="10">
        <f t="shared" si="5"/>
        <v>0</v>
      </c>
      <c r="AD7" s="10">
        <f t="shared" si="6"/>
        <v>0</v>
      </c>
      <c r="AE7" s="10">
        <f t="shared" si="7"/>
        <v>0</v>
      </c>
      <c r="AF7" t="s">
        <v>16</v>
      </c>
      <c r="AG7" s="9">
        <v>-4604.3146402496232</v>
      </c>
      <c r="AP7" s="4">
        <v>30500</v>
      </c>
      <c r="AQ7">
        <v>3</v>
      </c>
      <c r="AR7">
        <f t="shared" si="0"/>
        <v>1</v>
      </c>
      <c r="AS7">
        <f t="shared" si="8"/>
        <v>3</v>
      </c>
      <c r="AU7" s="10"/>
      <c r="AV7" s="10"/>
      <c r="AX7" t="s">
        <v>29</v>
      </c>
      <c r="AY7">
        <v>8070.0707565796602</v>
      </c>
      <c r="BH7">
        <v>6</v>
      </c>
      <c r="BI7" s="11">
        <f t="shared" si="9"/>
        <v>33698.809823753007</v>
      </c>
      <c r="BJ7" s="11">
        <f t="shared" si="10"/>
        <v>41710.695600287232</v>
      </c>
      <c r="BN7" t="s">
        <v>29</v>
      </c>
      <c r="BO7">
        <v>6816.2982880892077</v>
      </c>
      <c r="BX7">
        <v>6</v>
      </c>
      <c r="BY7" s="11">
        <f t="shared" si="11"/>
        <v>36208.059723170329</v>
      </c>
      <c r="BZ7" s="11">
        <f t="shared" si="12"/>
        <v>39596.598055898736</v>
      </c>
    </row>
    <row r="8" spans="1:78" ht="15" thickBot="1" x14ac:dyDescent="0.4">
      <c r="A8" s="1">
        <v>7</v>
      </c>
      <c r="B8">
        <v>3</v>
      </c>
      <c r="C8">
        <v>1</v>
      </c>
      <c r="D8">
        <v>27</v>
      </c>
      <c r="E8" s="3">
        <v>0</v>
      </c>
      <c r="F8" s="3" t="s">
        <v>9</v>
      </c>
      <c r="G8" s="3" t="s">
        <v>11</v>
      </c>
      <c r="H8">
        <v>4</v>
      </c>
      <c r="I8" s="4">
        <v>30000</v>
      </c>
      <c r="J8" s="4"/>
      <c r="L8" s="4">
        <v>30000</v>
      </c>
      <c r="M8">
        <v>4</v>
      </c>
      <c r="N8">
        <f t="shared" si="1"/>
        <v>1</v>
      </c>
      <c r="R8" s="4">
        <v>30000</v>
      </c>
      <c r="S8">
        <v>4</v>
      </c>
      <c r="T8">
        <f t="shared" si="2"/>
        <v>0</v>
      </c>
      <c r="X8" s="4">
        <v>30000</v>
      </c>
      <c r="Y8">
        <v>4</v>
      </c>
      <c r="Z8" s="3">
        <v>0</v>
      </c>
      <c r="AA8">
        <f t="shared" si="3"/>
        <v>1</v>
      </c>
      <c r="AB8" s="10">
        <f t="shared" si="4"/>
        <v>0</v>
      </c>
      <c r="AC8" s="10">
        <f t="shared" si="5"/>
        <v>0</v>
      </c>
      <c r="AD8" s="10">
        <f t="shared" si="6"/>
        <v>0</v>
      </c>
      <c r="AE8" s="10">
        <f t="shared" si="7"/>
        <v>0</v>
      </c>
      <c r="AF8" t="s">
        <v>17</v>
      </c>
      <c r="AG8" s="9">
        <v>2555.2845657405755</v>
      </c>
      <c r="AP8" s="4">
        <v>30000</v>
      </c>
      <c r="AQ8">
        <v>4</v>
      </c>
      <c r="AR8">
        <f t="shared" si="0"/>
        <v>1</v>
      </c>
      <c r="AS8">
        <f t="shared" si="8"/>
        <v>4</v>
      </c>
      <c r="AU8" s="10"/>
      <c r="AV8" s="10"/>
      <c r="AX8" s="13" t="s">
        <v>30</v>
      </c>
      <c r="AY8" s="13">
        <v>208</v>
      </c>
      <c r="BH8">
        <v>7</v>
      </c>
      <c r="BI8" s="11">
        <f t="shared" si="9"/>
        <v>34679.960771207254</v>
      </c>
      <c r="BJ8" s="11">
        <f t="shared" si="10"/>
        <v>42691.846547741487</v>
      </c>
      <c r="BN8" s="13" t="s">
        <v>30</v>
      </c>
      <c r="BO8" s="13">
        <v>208</v>
      </c>
      <c r="BX8">
        <v>7</v>
      </c>
      <c r="BY8" s="11">
        <f t="shared" si="11"/>
        <v>36488.023073981014</v>
      </c>
      <c r="BZ8" s="11">
        <f t="shared" si="12"/>
        <v>41124.359775286131</v>
      </c>
    </row>
    <row r="9" spans="1:78" ht="15" thickBot="1" x14ac:dyDescent="0.4">
      <c r="A9" s="1">
        <v>8</v>
      </c>
      <c r="B9">
        <v>3</v>
      </c>
      <c r="C9">
        <v>1</v>
      </c>
      <c r="D9">
        <v>33</v>
      </c>
      <c r="E9" s="3">
        <v>2</v>
      </c>
      <c r="F9" s="3" t="s">
        <v>9</v>
      </c>
      <c r="G9" s="3" t="s">
        <v>10</v>
      </c>
      <c r="H9">
        <v>8</v>
      </c>
      <c r="I9" s="4">
        <v>27000</v>
      </c>
      <c r="J9" s="4"/>
      <c r="L9" s="4">
        <v>27000</v>
      </c>
      <c r="M9">
        <v>8</v>
      </c>
      <c r="N9">
        <f t="shared" si="1"/>
        <v>0</v>
      </c>
      <c r="R9" s="4">
        <v>27000</v>
      </c>
      <c r="S9">
        <v>8</v>
      </c>
      <c r="T9">
        <f t="shared" si="2"/>
        <v>1</v>
      </c>
      <c r="X9" s="4">
        <v>27000</v>
      </c>
      <c r="Y9">
        <v>8</v>
      </c>
      <c r="Z9" s="3">
        <v>2</v>
      </c>
      <c r="AA9">
        <f t="shared" si="3"/>
        <v>0</v>
      </c>
      <c r="AB9" s="10">
        <f t="shared" si="4"/>
        <v>0</v>
      </c>
      <c r="AC9" s="10">
        <f t="shared" si="5"/>
        <v>0</v>
      </c>
      <c r="AD9" s="10">
        <f t="shared" si="6"/>
        <v>0</v>
      </c>
      <c r="AE9" s="10">
        <f t="shared" si="7"/>
        <v>0</v>
      </c>
      <c r="AF9" s="13" t="s">
        <v>18</v>
      </c>
      <c r="AG9" s="14">
        <v>7005.6525286138103</v>
      </c>
      <c r="AP9" s="4">
        <v>27000</v>
      </c>
      <c r="AQ9">
        <v>8</v>
      </c>
      <c r="AR9">
        <f t="shared" si="0"/>
        <v>0</v>
      </c>
      <c r="AS9">
        <f t="shared" si="8"/>
        <v>0</v>
      </c>
      <c r="AU9" s="10"/>
      <c r="AV9" s="10"/>
      <c r="BH9">
        <v>8</v>
      </c>
      <c r="BI9" s="11">
        <f t="shared" si="9"/>
        <v>35661.111718661508</v>
      </c>
      <c r="BJ9" s="11">
        <f t="shared" si="10"/>
        <v>43672.997495195741</v>
      </c>
      <c r="BX9">
        <v>8</v>
      </c>
      <c r="BY9" s="11">
        <f t="shared" si="11"/>
        <v>36767.986424791699</v>
      </c>
      <c r="BZ9" s="11">
        <f t="shared" si="12"/>
        <v>42652.121494673527</v>
      </c>
    </row>
    <row r="10" spans="1:78" ht="15" thickBot="1" x14ac:dyDescent="0.4">
      <c r="A10" s="1">
        <v>9</v>
      </c>
      <c r="B10">
        <v>1</v>
      </c>
      <c r="C10">
        <v>1</v>
      </c>
      <c r="D10">
        <v>62</v>
      </c>
      <c r="E10" s="3">
        <v>0</v>
      </c>
      <c r="F10" s="3" t="s">
        <v>9</v>
      </c>
      <c r="G10" s="3" t="s">
        <v>11</v>
      </c>
      <c r="H10">
        <v>4</v>
      </c>
      <c r="I10" s="4">
        <v>34000</v>
      </c>
      <c r="J10" s="4"/>
      <c r="L10" s="4">
        <v>34000</v>
      </c>
      <c r="M10">
        <v>4</v>
      </c>
      <c r="N10">
        <f t="shared" si="1"/>
        <v>1</v>
      </c>
      <c r="R10" s="4">
        <v>34000</v>
      </c>
      <c r="S10">
        <v>4</v>
      </c>
      <c r="T10">
        <f t="shared" si="2"/>
        <v>0</v>
      </c>
      <c r="X10" s="4">
        <v>34000</v>
      </c>
      <c r="Y10">
        <v>4</v>
      </c>
      <c r="Z10" s="3">
        <v>0</v>
      </c>
      <c r="AA10">
        <f t="shared" si="3"/>
        <v>1</v>
      </c>
      <c r="AB10" s="10">
        <f t="shared" si="4"/>
        <v>1</v>
      </c>
      <c r="AC10" s="10">
        <f t="shared" si="5"/>
        <v>0</v>
      </c>
      <c r="AD10" s="10">
        <f t="shared" si="6"/>
        <v>0</v>
      </c>
      <c r="AE10" s="10">
        <f t="shared" si="7"/>
        <v>0</v>
      </c>
      <c r="AP10" s="4">
        <v>34000</v>
      </c>
      <c r="AQ10">
        <v>4</v>
      </c>
      <c r="AR10">
        <f t="shared" si="0"/>
        <v>1</v>
      </c>
      <c r="AS10">
        <f t="shared" si="8"/>
        <v>4</v>
      </c>
      <c r="AU10" s="10"/>
      <c r="AV10" s="10"/>
      <c r="AX10" t="s">
        <v>31</v>
      </c>
      <c r="BH10">
        <v>9</v>
      </c>
      <c r="BI10" s="11">
        <f t="shared" si="9"/>
        <v>36642.262666115756</v>
      </c>
      <c r="BJ10" s="11">
        <f t="shared" si="10"/>
        <v>44654.148442649988</v>
      </c>
      <c r="BN10" t="s">
        <v>31</v>
      </c>
      <c r="BX10">
        <v>9</v>
      </c>
      <c r="BY10" s="11">
        <f t="shared" si="11"/>
        <v>37047.949775602392</v>
      </c>
      <c r="BZ10" s="11">
        <f t="shared" si="12"/>
        <v>44179.88321406093</v>
      </c>
    </row>
    <row r="11" spans="1:78" x14ac:dyDescent="0.35">
      <c r="A11" s="1">
        <v>10</v>
      </c>
      <c r="B11">
        <v>3</v>
      </c>
      <c r="C11">
        <v>1</v>
      </c>
      <c r="D11">
        <v>31</v>
      </c>
      <c r="E11" s="3">
        <v>0</v>
      </c>
      <c r="F11" s="3" t="s">
        <v>9</v>
      </c>
      <c r="G11" s="3" t="s">
        <v>11</v>
      </c>
      <c r="H11">
        <v>9</v>
      </c>
      <c r="I11" s="4">
        <v>29500</v>
      </c>
      <c r="J11" s="4"/>
      <c r="L11" s="4">
        <v>29500</v>
      </c>
      <c r="M11">
        <v>9</v>
      </c>
      <c r="N11">
        <f t="shared" si="1"/>
        <v>1</v>
      </c>
      <c r="R11" s="4">
        <v>29500</v>
      </c>
      <c r="S11">
        <v>9</v>
      </c>
      <c r="T11">
        <f t="shared" si="2"/>
        <v>0</v>
      </c>
      <c r="X11" s="4">
        <v>29500</v>
      </c>
      <c r="Y11">
        <v>9</v>
      </c>
      <c r="Z11" s="3">
        <v>0</v>
      </c>
      <c r="AA11">
        <f t="shared" si="3"/>
        <v>1</v>
      </c>
      <c r="AB11" s="10">
        <f t="shared" si="4"/>
        <v>0</v>
      </c>
      <c r="AC11" s="10">
        <f t="shared" si="5"/>
        <v>0</v>
      </c>
      <c r="AD11" s="10">
        <f t="shared" si="6"/>
        <v>0</v>
      </c>
      <c r="AE11" s="10">
        <f t="shared" si="7"/>
        <v>0</v>
      </c>
      <c r="AP11" s="4">
        <v>29500</v>
      </c>
      <c r="AQ11">
        <v>9</v>
      </c>
      <c r="AR11">
        <f t="shared" si="0"/>
        <v>1</v>
      </c>
      <c r="AS11">
        <f t="shared" si="8"/>
        <v>9</v>
      </c>
      <c r="AU11" s="10"/>
      <c r="AV11" s="10"/>
      <c r="AX11" s="6"/>
      <c r="AY11" s="6" t="s">
        <v>32</v>
      </c>
      <c r="AZ11" s="6" t="s">
        <v>33</v>
      </c>
      <c r="BA11" s="6" t="s">
        <v>34</v>
      </c>
      <c r="BB11" s="6" t="s">
        <v>35</v>
      </c>
      <c r="BC11" s="6" t="s">
        <v>36</v>
      </c>
      <c r="BH11">
        <v>10</v>
      </c>
      <c r="BI11" s="11">
        <f t="shared" si="9"/>
        <v>37623.41361357001</v>
      </c>
      <c r="BJ11" s="11">
        <f t="shared" si="10"/>
        <v>45635.299390104243</v>
      </c>
      <c r="BN11" s="6"/>
      <c r="BO11" s="6" t="s">
        <v>32</v>
      </c>
      <c r="BP11" s="6" t="s">
        <v>33</v>
      </c>
      <c r="BQ11" s="6" t="s">
        <v>34</v>
      </c>
      <c r="BR11" s="6" t="s">
        <v>35</v>
      </c>
      <c r="BS11" s="6" t="s">
        <v>36</v>
      </c>
      <c r="BX11">
        <v>10</v>
      </c>
      <c r="BY11" s="11">
        <f t="shared" si="11"/>
        <v>37327.913126413077</v>
      </c>
      <c r="BZ11" s="11">
        <f t="shared" si="12"/>
        <v>45707.644933448326</v>
      </c>
    </row>
    <row r="12" spans="1:78" x14ac:dyDescent="0.35">
      <c r="A12" s="1">
        <v>11</v>
      </c>
      <c r="B12">
        <v>3</v>
      </c>
      <c r="C12">
        <v>1</v>
      </c>
      <c r="D12">
        <v>34</v>
      </c>
      <c r="E12" s="3">
        <v>2</v>
      </c>
      <c r="F12" s="3" t="s">
        <v>9</v>
      </c>
      <c r="G12" s="3" t="s">
        <v>11</v>
      </c>
      <c r="H12">
        <v>9</v>
      </c>
      <c r="I12" s="4">
        <v>26800</v>
      </c>
      <c r="J12" s="4"/>
      <c r="L12" s="4">
        <v>26800</v>
      </c>
      <c r="M12">
        <v>9</v>
      </c>
      <c r="N12">
        <f t="shared" si="1"/>
        <v>1</v>
      </c>
      <c r="R12" s="4">
        <v>26800</v>
      </c>
      <c r="S12">
        <v>9</v>
      </c>
      <c r="T12">
        <f t="shared" si="2"/>
        <v>0</v>
      </c>
      <c r="X12" s="4">
        <v>26800</v>
      </c>
      <c r="Y12">
        <v>9</v>
      </c>
      <c r="Z12" s="3">
        <v>2</v>
      </c>
      <c r="AA12">
        <f t="shared" si="3"/>
        <v>1</v>
      </c>
      <c r="AB12" s="10">
        <f t="shared" si="4"/>
        <v>0</v>
      </c>
      <c r="AC12" s="10">
        <f t="shared" si="5"/>
        <v>0</v>
      </c>
      <c r="AD12" s="10">
        <f t="shared" si="6"/>
        <v>0</v>
      </c>
      <c r="AE12" s="10">
        <f t="shared" si="7"/>
        <v>0</v>
      </c>
      <c r="AP12" s="4">
        <v>26800</v>
      </c>
      <c r="AQ12">
        <v>9</v>
      </c>
      <c r="AR12">
        <f t="shared" si="0"/>
        <v>1</v>
      </c>
      <c r="AS12">
        <f t="shared" si="8"/>
        <v>9</v>
      </c>
      <c r="AU12" s="10"/>
      <c r="AV12" s="10"/>
      <c r="AX12" t="s">
        <v>37</v>
      </c>
      <c r="AY12">
        <v>2</v>
      </c>
      <c r="AZ12">
        <v>12876268617.447779</v>
      </c>
      <c r="BA12">
        <v>6438134308.7238894</v>
      </c>
      <c r="BB12">
        <v>98.856526658294328</v>
      </c>
      <c r="BC12">
        <v>8.7641703355496895E-31</v>
      </c>
      <c r="BH12">
        <v>11</v>
      </c>
      <c r="BI12" s="11">
        <f t="shared" si="9"/>
        <v>38604.564561024257</v>
      </c>
      <c r="BJ12" s="11">
        <f t="shared" si="10"/>
        <v>46616.45033755849</v>
      </c>
      <c r="BN12" t="s">
        <v>37</v>
      </c>
      <c r="BO12">
        <v>3</v>
      </c>
      <c r="BP12">
        <v>16748875070.918825</v>
      </c>
      <c r="BQ12">
        <v>5582958356.9729414</v>
      </c>
      <c r="BR12">
        <v>120.16201815006562</v>
      </c>
      <c r="BS12">
        <v>7.5127920614387383E-45</v>
      </c>
      <c r="BX12">
        <v>11</v>
      </c>
      <c r="BY12" s="11">
        <f t="shared" si="11"/>
        <v>37607.876477223763</v>
      </c>
      <c r="BZ12" s="11">
        <f t="shared" si="12"/>
        <v>47235.406652835722</v>
      </c>
    </row>
    <row r="13" spans="1:78" x14ac:dyDescent="0.35">
      <c r="A13" s="1">
        <v>12</v>
      </c>
      <c r="B13">
        <v>2</v>
      </c>
      <c r="C13">
        <v>1</v>
      </c>
      <c r="D13">
        <v>37</v>
      </c>
      <c r="E13" s="3">
        <v>8</v>
      </c>
      <c r="F13" s="3" t="s">
        <v>9</v>
      </c>
      <c r="G13" s="3" t="s">
        <v>11</v>
      </c>
      <c r="H13">
        <v>8</v>
      </c>
      <c r="I13" s="4">
        <v>31300</v>
      </c>
      <c r="J13" s="4"/>
      <c r="L13" s="4">
        <v>31300</v>
      </c>
      <c r="M13">
        <v>8</v>
      </c>
      <c r="N13">
        <f t="shared" si="1"/>
        <v>1</v>
      </c>
      <c r="R13" s="4">
        <v>31300</v>
      </c>
      <c r="S13">
        <v>8</v>
      </c>
      <c r="T13">
        <f t="shared" si="2"/>
        <v>0</v>
      </c>
      <c r="X13" s="4">
        <v>31300</v>
      </c>
      <c r="Y13">
        <v>8</v>
      </c>
      <c r="Z13" s="3">
        <v>8</v>
      </c>
      <c r="AA13">
        <f t="shared" si="3"/>
        <v>1</v>
      </c>
      <c r="AB13" s="10">
        <f t="shared" si="4"/>
        <v>0</v>
      </c>
      <c r="AC13" s="10">
        <f t="shared" si="5"/>
        <v>1</v>
      </c>
      <c r="AD13" s="10">
        <f t="shared" si="6"/>
        <v>0</v>
      </c>
      <c r="AE13" s="10">
        <f t="shared" si="7"/>
        <v>0</v>
      </c>
      <c r="AG13" s="2" t="s">
        <v>1</v>
      </c>
      <c r="AH13" t="s">
        <v>15</v>
      </c>
      <c r="AI13" t="s">
        <v>16</v>
      </c>
      <c r="AJ13" t="s">
        <v>58</v>
      </c>
      <c r="AK13" t="s">
        <v>17</v>
      </c>
      <c r="AL13" t="s">
        <v>18</v>
      </c>
      <c r="AP13" s="4">
        <v>31300</v>
      </c>
      <c r="AQ13">
        <v>8</v>
      </c>
      <c r="AR13">
        <f t="shared" si="0"/>
        <v>1</v>
      </c>
      <c r="AS13">
        <f t="shared" si="8"/>
        <v>8</v>
      </c>
      <c r="AU13" s="10"/>
      <c r="AV13" s="10"/>
      <c r="AX13" t="s">
        <v>38</v>
      </c>
      <c r="AY13">
        <v>205</v>
      </c>
      <c r="AZ13">
        <v>13350838613.321451</v>
      </c>
      <c r="BA13">
        <v>65126042.016202204</v>
      </c>
      <c r="BH13">
        <v>12</v>
      </c>
      <c r="BI13" s="11">
        <f t="shared" si="9"/>
        <v>39585.715508478512</v>
      </c>
      <c r="BJ13" s="11">
        <f t="shared" si="10"/>
        <v>47597.601285012744</v>
      </c>
      <c r="BN13" t="s">
        <v>38</v>
      </c>
      <c r="BO13">
        <v>204</v>
      </c>
      <c r="BP13">
        <v>9478232159.8504047</v>
      </c>
      <c r="BQ13">
        <v>46461922.352207869</v>
      </c>
      <c r="BX13">
        <v>12</v>
      </c>
      <c r="BY13" s="11">
        <f t="shared" si="11"/>
        <v>37887.839828034448</v>
      </c>
      <c r="BZ13" s="11">
        <f t="shared" si="12"/>
        <v>48763.168372223125</v>
      </c>
    </row>
    <row r="14" spans="1:78" ht="15" thickBot="1" x14ac:dyDescent="0.4">
      <c r="A14" s="1">
        <v>13</v>
      </c>
      <c r="B14">
        <v>2</v>
      </c>
      <c r="C14">
        <v>1</v>
      </c>
      <c r="D14">
        <v>37</v>
      </c>
      <c r="E14" s="3">
        <v>0</v>
      </c>
      <c r="F14" s="3" t="s">
        <v>9</v>
      </c>
      <c r="G14" s="3" t="s">
        <v>11</v>
      </c>
      <c r="H14">
        <v>9</v>
      </c>
      <c r="I14" s="4">
        <v>31200</v>
      </c>
      <c r="J14" s="4"/>
      <c r="L14" s="4">
        <v>31200</v>
      </c>
      <c r="M14">
        <v>9</v>
      </c>
      <c r="N14">
        <f t="shared" si="1"/>
        <v>1</v>
      </c>
      <c r="R14" s="4">
        <v>31200</v>
      </c>
      <c r="S14">
        <v>9</v>
      </c>
      <c r="T14">
        <f t="shared" si="2"/>
        <v>0</v>
      </c>
      <c r="X14" s="4">
        <v>31200</v>
      </c>
      <c r="Y14">
        <v>9</v>
      </c>
      <c r="Z14" s="3">
        <v>0</v>
      </c>
      <c r="AA14">
        <f t="shared" si="3"/>
        <v>1</v>
      </c>
      <c r="AB14" s="10">
        <f t="shared" si="4"/>
        <v>0</v>
      </c>
      <c r="AC14" s="10">
        <f t="shared" si="5"/>
        <v>1</v>
      </c>
      <c r="AD14" s="10">
        <f t="shared" si="6"/>
        <v>0</v>
      </c>
      <c r="AE14" s="10">
        <f t="shared" si="7"/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P14" s="4">
        <v>31200</v>
      </c>
      <c r="AQ14">
        <v>9</v>
      </c>
      <c r="AR14">
        <f t="shared" si="0"/>
        <v>1</v>
      </c>
      <c r="AS14">
        <f t="shared" si="8"/>
        <v>9</v>
      </c>
      <c r="AU14" s="10"/>
      <c r="AV14" s="10"/>
      <c r="AX14" s="13" t="s">
        <v>39</v>
      </c>
      <c r="AY14" s="13">
        <v>207</v>
      </c>
      <c r="AZ14" s="13">
        <v>26227107230.76923</v>
      </c>
      <c r="BA14" s="13"/>
      <c r="BB14" s="13"/>
      <c r="BC14" s="13"/>
      <c r="BH14">
        <v>13</v>
      </c>
      <c r="BI14" s="11">
        <f t="shared" si="9"/>
        <v>40566.866455932759</v>
      </c>
      <c r="BJ14" s="11">
        <f t="shared" si="10"/>
        <v>48578.752232466999</v>
      </c>
      <c r="BN14" s="13" t="s">
        <v>39</v>
      </c>
      <c r="BO14" s="13">
        <v>207</v>
      </c>
      <c r="BP14" s="13">
        <v>26227107230.76923</v>
      </c>
      <c r="BQ14" s="13"/>
      <c r="BR14" s="13"/>
      <c r="BS14" s="13"/>
      <c r="BX14">
        <v>13</v>
      </c>
      <c r="BY14" s="11">
        <f t="shared" si="11"/>
        <v>38167.803178845134</v>
      </c>
      <c r="BZ14" s="11">
        <f t="shared" si="12"/>
        <v>50290.93009161052</v>
      </c>
    </row>
    <row r="15" spans="1:78" ht="15" thickBot="1" x14ac:dyDescent="0.4">
      <c r="A15" s="1">
        <v>14</v>
      </c>
      <c r="B15">
        <v>2</v>
      </c>
      <c r="C15">
        <v>1</v>
      </c>
      <c r="D15">
        <v>58</v>
      </c>
      <c r="E15" s="3">
        <v>6</v>
      </c>
      <c r="F15" s="3" t="s">
        <v>9</v>
      </c>
      <c r="G15" s="3" t="s">
        <v>11</v>
      </c>
      <c r="H15">
        <v>10</v>
      </c>
      <c r="I15" s="4">
        <v>34700</v>
      </c>
      <c r="J15" s="4"/>
      <c r="L15" s="4">
        <v>34700</v>
      </c>
      <c r="M15">
        <v>10</v>
      </c>
      <c r="N15">
        <f t="shared" si="1"/>
        <v>1</v>
      </c>
      <c r="R15" s="4">
        <v>34700</v>
      </c>
      <c r="S15">
        <v>10</v>
      </c>
      <c r="T15">
        <f t="shared" si="2"/>
        <v>0</v>
      </c>
      <c r="X15" s="4">
        <v>34700</v>
      </c>
      <c r="Y15">
        <v>10</v>
      </c>
      <c r="Z15" s="3">
        <v>6</v>
      </c>
      <c r="AA15">
        <f t="shared" si="3"/>
        <v>1</v>
      </c>
      <c r="AB15" s="10">
        <f t="shared" si="4"/>
        <v>0</v>
      </c>
      <c r="AC15" s="10">
        <f t="shared" si="5"/>
        <v>1</v>
      </c>
      <c r="AD15" s="10">
        <f t="shared" si="6"/>
        <v>0</v>
      </c>
      <c r="AE15" s="10">
        <f t="shared" si="7"/>
        <v>0</v>
      </c>
      <c r="AG15">
        <v>2</v>
      </c>
      <c r="AH15">
        <v>0</v>
      </c>
      <c r="AI15">
        <v>1</v>
      </c>
      <c r="AJ15">
        <v>0</v>
      </c>
      <c r="AK15">
        <v>0</v>
      </c>
      <c r="AL15">
        <v>0</v>
      </c>
      <c r="AP15" s="4">
        <v>34700</v>
      </c>
      <c r="AQ15">
        <v>10</v>
      </c>
      <c r="AR15">
        <f t="shared" si="0"/>
        <v>1</v>
      </c>
      <c r="AS15">
        <f t="shared" si="8"/>
        <v>10</v>
      </c>
      <c r="AU15" s="10"/>
      <c r="AV15" s="10"/>
      <c r="BH15">
        <v>14</v>
      </c>
      <c r="BI15" s="11">
        <f t="shared" si="9"/>
        <v>41548.017403387013</v>
      </c>
      <c r="BJ15" s="11">
        <f t="shared" si="10"/>
        <v>49559.903179921246</v>
      </c>
      <c r="BX15">
        <v>14</v>
      </c>
      <c r="BY15" s="11">
        <f t="shared" si="11"/>
        <v>38447.766529655826</v>
      </c>
      <c r="BZ15" s="11">
        <f t="shared" si="12"/>
        <v>51818.691810997916</v>
      </c>
    </row>
    <row r="16" spans="1:78" x14ac:dyDescent="0.35">
      <c r="A16" s="1">
        <v>15</v>
      </c>
      <c r="B16">
        <v>3</v>
      </c>
      <c r="C16">
        <v>1</v>
      </c>
      <c r="D16">
        <v>33</v>
      </c>
      <c r="E16" s="3">
        <v>0</v>
      </c>
      <c r="F16" s="3" t="s">
        <v>9</v>
      </c>
      <c r="G16" s="3" t="s">
        <v>11</v>
      </c>
      <c r="H16">
        <v>4</v>
      </c>
      <c r="I16" s="4">
        <v>30000</v>
      </c>
      <c r="J16" s="4"/>
      <c r="L16" s="4">
        <v>30000</v>
      </c>
      <c r="M16">
        <v>4</v>
      </c>
      <c r="N16">
        <f t="shared" si="1"/>
        <v>1</v>
      </c>
      <c r="R16" s="4">
        <v>30000</v>
      </c>
      <c r="S16">
        <v>4</v>
      </c>
      <c r="T16">
        <f t="shared" si="2"/>
        <v>0</v>
      </c>
      <c r="X16" s="4">
        <v>30000</v>
      </c>
      <c r="Y16">
        <v>4</v>
      </c>
      <c r="Z16" s="3">
        <v>0</v>
      </c>
      <c r="AA16">
        <f t="shared" si="3"/>
        <v>1</v>
      </c>
      <c r="AB16" s="10">
        <f t="shared" si="4"/>
        <v>0</v>
      </c>
      <c r="AC16" s="10">
        <f t="shared" si="5"/>
        <v>0</v>
      </c>
      <c r="AD16" s="10">
        <f t="shared" si="6"/>
        <v>0</v>
      </c>
      <c r="AE16" s="10">
        <f t="shared" si="7"/>
        <v>0</v>
      </c>
      <c r="AG16">
        <v>3</v>
      </c>
      <c r="AH16">
        <v>0</v>
      </c>
      <c r="AI16">
        <v>0</v>
      </c>
      <c r="AJ16">
        <v>1</v>
      </c>
      <c r="AK16">
        <v>0</v>
      </c>
      <c r="AL16">
        <v>0</v>
      </c>
      <c r="AP16" s="4">
        <v>30000</v>
      </c>
      <c r="AQ16">
        <v>4</v>
      </c>
      <c r="AR16">
        <f t="shared" si="0"/>
        <v>1</v>
      </c>
      <c r="AS16">
        <f t="shared" si="8"/>
        <v>4</v>
      </c>
      <c r="AU16" s="10"/>
      <c r="AV16" s="10"/>
      <c r="AX16" s="6"/>
      <c r="AY16" s="6" t="s">
        <v>14</v>
      </c>
      <c r="AZ16" s="6" t="s">
        <v>29</v>
      </c>
      <c r="BA16" s="6" t="s">
        <v>40</v>
      </c>
      <c r="BB16" s="6" t="s">
        <v>41</v>
      </c>
      <c r="BC16" s="6" t="s">
        <v>42</v>
      </c>
      <c r="BD16" s="6" t="s">
        <v>43</v>
      </c>
      <c r="BE16" s="6" t="s">
        <v>44</v>
      </c>
      <c r="BF16" s="6" t="s">
        <v>45</v>
      </c>
      <c r="BH16">
        <v>15</v>
      </c>
      <c r="BI16" s="11">
        <f t="shared" si="9"/>
        <v>42529.168350841268</v>
      </c>
      <c r="BJ16" s="11">
        <f t="shared" si="10"/>
        <v>50541.054127375501</v>
      </c>
      <c r="BN16" s="6"/>
      <c r="BO16" s="6" t="s">
        <v>14</v>
      </c>
      <c r="BP16" s="6" t="s">
        <v>29</v>
      </c>
      <c r="BQ16" s="6" t="s">
        <v>40</v>
      </c>
      <c r="BR16" s="6" t="s">
        <v>41</v>
      </c>
      <c r="BS16" s="6" t="s">
        <v>42</v>
      </c>
      <c r="BT16" s="6" t="s">
        <v>43</v>
      </c>
      <c r="BU16" s="6" t="s">
        <v>44</v>
      </c>
      <c r="BV16" s="6" t="s">
        <v>45</v>
      </c>
      <c r="BX16">
        <v>15</v>
      </c>
      <c r="BY16" s="11">
        <f t="shared" si="11"/>
        <v>38727.729880466512</v>
      </c>
      <c r="BZ16" s="11">
        <f t="shared" si="12"/>
        <v>53346.453530385319</v>
      </c>
    </row>
    <row r="17" spans="1:78" x14ac:dyDescent="0.35">
      <c r="A17" s="1">
        <v>16</v>
      </c>
      <c r="B17">
        <v>3</v>
      </c>
      <c r="C17">
        <v>1</v>
      </c>
      <c r="D17">
        <v>27</v>
      </c>
      <c r="E17" s="3">
        <v>0</v>
      </c>
      <c r="F17" s="3" t="s">
        <v>9</v>
      </c>
      <c r="G17" s="3" t="s">
        <v>11</v>
      </c>
      <c r="H17">
        <v>3</v>
      </c>
      <c r="I17" s="4">
        <v>31000</v>
      </c>
      <c r="J17" s="4"/>
      <c r="L17" s="4">
        <v>31000</v>
      </c>
      <c r="M17">
        <v>3</v>
      </c>
      <c r="N17">
        <f t="shared" si="1"/>
        <v>1</v>
      </c>
      <c r="R17" s="4">
        <v>31000</v>
      </c>
      <c r="S17">
        <v>3</v>
      </c>
      <c r="T17">
        <f t="shared" si="2"/>
        <v>0</v>
      </c>
      <c r="X17" s="4">
        <v>31000</v>
      </c>
      <c r="Y17">
        <v>3</v>
      </c>
      <c r="Z17" s="3">
        <v>0</v>
      </c>
      <c r="AA17">
        <f t="shared" si="3"/>
        <v>1</v>
      </c>
      <c r="AB17" s="10">
        <f t="shared" si="4"/>
        <v>0</v>
      </c>
      <c r="AC17" s="10">
        <f t="shared" si="5"/>
        <v>0</v>
      </c>
      <c r="AD17" s="10">
        <f t="shared" si="6"/>
        <v>0</v>
      </c>
      <c r="AE17" s="10">
        <f t="shared" si="7"/>
        <v>0</v>
      </c>
      <c r="AG17">
        <v>4</v>
      </c>
      <c r="AH17">
        <v>0</v>
      </c>
      <c r="AI17">
        <v>0</v>
      </c>
      <c r="AJ17">
        <v>0</v>
      </c>
      <c r="AK17">
        <v>1</v>
      </c>
      <c r="AL17">
        <v>0</v>
      </c>
      <c r="AP17" s="4">
        <v>31000</v>
      </c>
      <c r="AQ17">
        <v>3</v>
      </c>
      <c r="AR17">
        <f t="shared" si="0"/>
        <v>1</v>
      </c>
      <c r="AS17">
        <f t="shared" si="8"/>
        <v>3</v>
      </c>
      <c r="AU17" s="10"/>
      <c r="AV17" s="10"/>
      <c r="AX17" t="s">
        <v>24</v>
      </c>
      <c r="AY17" s="10">
        <v>35823.789915561727</v>
      </c>
      <c r="AZ17">
        <v>1259.1058293339117</v>
      </c>
      <c r="BA17">
        <v>28.451770360330329</v>
      </c>
      <c r="BB17">
        <v>4.0533554287661561E-73</v>
      </c>
      <c r="BC17">
        <v>33341.332456502649</v>
      </c>
      <c r="BD17">
        <v>38306.247374620805</v>
      </c>
      <c r="BE17">
        <v>33341.332456502649</v>
      </c>
      <c r="BF17">
        <v>38306.247374620805</v>
      </c>
      <c r="BH17">
        <v>16</v>
      </c>
      <c r="BI17" s="11">
        <f t="shared" si="9"/>
        <v>43510.319298295515</v>
      </c>
      <c r="BJ17" s="11">
        <f t="shared" si="10"/>
        <v>51522.205074829748</v>
      </c>
      <c r="BN17" t="s">
        <v>24</v>
      </c>
      <c r="BO17" s="10">
        <v>30430.027739574347</v>
      </c>
      <c r="BP17">
        <v>1216.5743315089112</v>
      </c>
      <c r="BQ17">
        <v>25.012879979008051</v>
      </c>
      <c r="BR17">
        <v>4.5972412184725727E-64</v>
      </c>
      <c r="BS17">
        <v>28031.355710976211</v>
      </c>
      <c r="BT17">
        <v>32828.699768172482</v>
      </c>
      <c r="BU17">
        <v>28031.355710976211</v>
      </c>
      <c r="BV17">
        <v>32828.699768172482</v>
      </c>
      <c r="BX17">
        <v>16</v>
      </c>
      <c r="BY17" s="11">
        <f t="shared" si="11"/>
        <v>39007.693231277197</v>
      </c>
      <c r="BZ17" s="11">
        <f t="shared" si="12"/>
        <v>54874.215249772715</v>
      </c>
    </row>
    <row r="18" spans="1:78" x14ac:dyDescent="0.35">
      <c r="A18" s="1">
        <v>17</v>
      </c>
      <c r="B18">
        <v>3</v>
      </c>
      <c r="C18">
        <v>1</v>
      </c>
      <c r="D18">
        <v>30</v>
      </c>
      <c r="E18" s="3">
        <v>0</v>
      </c>
      <c r="F18" s="3" t="s">
        <v>9</v>
      </c>
      <c r="G18" s="3" t="s">
        <v>11</v>
      </c>
      <c r="H18">
        <v>6</v>
      </c>
      <c r="I18" s="4">
        <v>27000</v>
      </c>
      <c r="J18" s="4"/>
      <c r="L18" s="4">
        <v>27000</v>
      </c>
      <c r="M18">
        <v>6</v>
      </c>
      <c r="N18">
        <f t="shared" si="1"/>
        <v>1</v>
      </c>
      <c r="R18" s="4">
        <v>27000</v>
      </c>
      <c r="S18">
        <v>6</v>
      </c>
      <c r="T18">
        <f t="shared" si="2"/>
        <v>0</v>
      </c>
      <c r="X18" s="4">
        <v>27000</v>
      </c>
      <c r="Y18">
        <v>6</v>
      </c>
      <c r="Z18" s="3">
        <v>0</v>
      </c>
      <c r="AA18">
        <f t="shared" si="3"/>
        <v>1</v>
      </c>
      <c r="AB18" s="10">
        <f t="shared" si="4"/>
        <v>0</v>
      </c>
      <c r="AC18" s="10">
        <f t="shared" si="5"/>
        <v>0</v>
      </c>
      <c r="AD18" s="10">
        <f t="shared" si="6"/>
        <v>0</v>
      </c>
      <c r="AE18" s="10">
        <f t="shared" si="7"/>
        <v>0</v>
      </c>
      <c r="AG18">
        <v>5</v>
      </c>
      <c r="AH18">
        <v>0</v>
      </c>
      <c r="AI18">
        <v>0</v>
      </c>
      <c r="AJ18">
        <v>0</v>
      </c>
      <c r="AK18">
        <v>0</v>
      </c>
      <c r="AL18">
        <v>1</v>
      </c>
      <c r="AP18" s="4">
        <v>27000</v>
      </c>
      <c r="AQ18">
        <v>6</v>
      </c>
      <c r="AR18">
        <f t="shared" si="0"/>
        <v>1</v>
      </c>
      <c r="AS18">
        <f t="shared" si="8"/>
        <v>6</v>
      </c>
      <c r="AU18" s="10"/>
      <c r="AV18" s="10"/>
      <c r="AX18" t="s">
        <v>7</v>
      </c>
      <c r="AY18" s="10">
        <v>981.15094745425142</v>
      </c>
      <c r="AZ18">
        <v>80.284529341467803</v>
      </c>
      <c r="BA18">
        <v>12.220921708106429</v>
      </c>
      <c r="BB18">
        <v>3.6994890305393509E-26</v>
      </c>
      <c r="BC18">
        <v>822.8616884678097</v>
      </c>
      <c r="BD18">
        <v>1139.4402064406931</v>
      </c>
      <c r="BE18">
        <v>822.8616884678097</v>
      </c>
      <c r="BF18">
        <v>1139.4402064406931</v>
      </c>
      <c r="BH18">
        <v>17</v>
      </c>
      <c r="BI18" s="11">
        <f t="shared" si="9"/>
        <v>44491.47024574977</v>
      </c>
      <c r="BJ18" s="11">
        <f t="shared" si="10"/>
        <v>52503.356022284002</v>
      </c>
      <c r="BN18" t="s">
        <v>7</v>
      </c>
      <c r="BO18" s="10">
        <v>1527.761719387398</v>
      </c>
      <c r="BP18">
        <v>90.460337690990642</v>
      </c>
      <c r="BQ18">
        <v>16.888746586445198</v>
      </c>
      <c r="BR18">
        <v>1.3008318163915795E-40</v>
      </c>
      <c r="BS18">
        <v>1349.4046095116735</v>
      </c>
      <c r="BT18">
        <v>1706.1188292631225</v>
      </c>
      <c r="BU18">
        <v>1349.4046095116735</v>
      </c>
      <c r="BV18">
        <v>1706.1188292631225</v>
      </c>
      <c r="BX18">
        <v>17</v>
      </c>
      <c r="BY18" s="11">
        <f t="shared" si="11"/>
        <v>39287.656582087882</v>
      </c>
      <c r="BZ18" s="11">
        <f t="shared" si="12"/>
        <v>56401.97696916011</v>
      </c>
    </row>
    <row r="19" spans="1:78" ht="15" thickBot="1" x14ac:dyDescent="0.4">
      <c r="A19" s="1">
        <v>18</v>
      </c>
      <c r="B19">
        <v>2</v>
      </c>
      <c r="C19">
        <v>1</v>
      </c>
      <c r="D19">
        <v>37</v>
      </c>
      <c r="E19" s="3">
        <v>9</v>
      </c>
      <c r="F19" s="3" t="s">
        <v>9</v>
      </c>
      <c r="G19" s="3" t="s">
        <v>11</v>
      </c>
      <c r="H19">
        <v>8</v>
      </c>
      <c r="I19" s="4">
        <v>29600</v>
      </c>
      <c r="J19" s="4"/>
      <c r="L19" s="4">
        <v>29600</v>
      </c>
      <c r="M19">
        <v>8</v>
      </c>
      <c r="N19">
        <f t="shared" si="1"/>
        <v>1</v>
      </c>
      <c r="R19" s="4">
        <v>29600</v>
      </c>
      <c r="S19">
        <v>8</v>
      </c>
      <c r="T19">
        <f t="shared" si="2"/>
        <v>0</v>
      </c>
      <c r="X19" s="4">
        <v>29600</v>
      </c>
      <c r="Y19">
        <v>8</v>
      </c>
      <c r="Z19" s="3">
        <v>9</v>
      </c>
      <c r="AA19">
        <f t="shared" si="3"/>
        <v>1</v>
      </c>
      <c r="AB19" s="10">
        <f t="shared" si="4"/>
        <v>0</v>
      </c>
      <c r="AC19" s="10">
        <f t="shared" si="5"/>
        <v>1</v>
      </c>
      <c r="AD19" s="10">
        <f t="shared" si="6"/>
        <v>0</v>
      </c>
      <c r="AE19" s="10">
        <f t="shared" si="7"/>
        <v>0</v>
      </c>
      <c r="AP19" s="4">
        <v>29600</v>
      </c>
      <c r="AQ19">
        <v>8</v>
      </c>
      <c r="AR19">
        <f t="shared" si="0"/>
        <v>1</v>
      </c>
      <c r="AS19">
        <f t="shared" si="8"/>
        <v>8</v>
      </c>
      <c r="AU19" s="10"/>
      <c r="AV19" s="10"/>
      <c r="AX19" s="13" t="s">
        <v>11</v>
      </c>
      <c r="AY19" s="15">
        <v>-8011.8857765342318</v>
      </c>
      <c r="AZ19" s="13">
        <v>1193.0886604255188</v>
      </c>
      <c r="BA19" s="13">
        <v>-6.7152476109166672</v>
      </c>
      <c r="BB19" s="13">
        <v>1.8094349818786809E-10</v>
      </c>
      <c r="BC19" s="13">
        <v>-10364.183554361985</v>
      </c>
      <c r="BD19" s="13">
        <v>-5659.5879987064782</v>
      </c>
      <c r="BE19" s="13">
        <v>-10364.183554361985</v>
      </c>
      <c r="BF19" s="13">
        <v>-5659.5879987064782</v>
      </c>
      <c r="BH19">
        <v>18</v>
      </c>
      <c r="BI19" s="11">
        <f t="shared" si="9"/>
        <v>45472.621193204017</v>
      </c>
      <c r="BJ19" s="11">
        <f t="shared" si="10"/>
        <v>53484.506969738257</v>
      </c>
      <c r="BN19" t="s">
        <v>11</v>
      </c>
      <c r="BO19" s="10">
        <v>4098.2518787318595</v>
      </c>
      <c r="BP19">
        <v>1665.8420192275171</v>
      </c>
      <c r="BQ19">
        <v>2.4601683901768174</v>
      </c>
      <c r="BR19">
        <v>1.4718816468130266E-2</v>
      </c>
      <c r="BS19">
        <v>813.77632134565283</v>
      </c>
      <c r="BT19">
        <v>7382.7274361180662</v>
      </c>
      <c r="BU19">
        <v>813.77632134565283</v>
      </c>
      <c r="BV19">
        <v>7382.7274361180662</v>
      </c>
      <c r="BX19">
        <v>18</v>
      </c>
      <c r="BY19" s="11">
        <f t="shared" si="11"/>
        <v>39567.619932898568</v>
      </c>
      <c r="BZ19" s="11">
        <f t="shared" si="12"/>
        <v>57929.738688547513</v>
      </c>
    </row>
    <row r="20" spans="1:78" ht="15" thickBot="1" x14ac:dyDescent="0.4">
      <c r="A20" s="1">
        <v>19</v>
      </c>
      <c r="B20">
        <v>3</v>
      </c>
      <c r="C20">
        <v>1</v>
      </c>
      <c r="D20">
        <v>44</v>
      </c>
      <c r="E20" s="3">
        <v>6</v>
      </c>
      <c r="F20" s="3" t="s">
        <v>9</v>
      </c>
      <c r="G20" s="3" t="s">
        <v>11</v>
      </c>
      <c r="H20">
        <v>5</v>
      </c>
      <c r="I20" s="4">
        <v>32600</v>
      </c>
      <c r="J20" s="4"/>
      <c r="L20" s="4">
        <v>32600</v>
      </c>
      <c r="M20">
        <v>5</v>
      </c>
      <c r="N20">
        <f t="shared" si="1"/>
        <v>1</v>
      </c>
      <c r="R20" s="4">
        <v>32600</v>
      </c>
      <c r="S20">
        <v>5</v>
      </c>
      <c r="T20">
        <f t="shared" si="2"/>
        <v>0</v>
      </c>
      <c r="X20" s="4">
        <v>32600</v>
      </c>
      <c r="Y20">
        <v>5</v>
      </c>
      <c r="Z20" s="3">
        <v>6</v>
      </c>
      <c r="AA20">
        <f t="shared" si="3"/>
        <v>1</v>
      </c>
      <c r="AB20" s="10">
        <f t="shared" si="4"/>
        <v>0</v>
      </c>
      <c r="AC20" s="10">
        <f t="shared" si="5"/>
        <v>0</v>
      </c>
      <c r="AD20" s="10">
        <f t="shared" si="6"/>
        <v>0</v>
      </c>
      <c r="AE20" s="10">
        <f t="shared" si="7"/>
        <v>0</v>
      </c>
      <c r="AP20" s="4">
        <v>32600</v>
      </c>
      <c r="AQ20">
        <v>5</v>
      </c>
      <c r="AR20">
        <f t="shared" si="0"/>
        <v>1</v>
      </c>
      <c r="AS20">
        <f t="shared" si="8"/>
        <v>5</v>
      </c>
      <c r="AU20" s="10"/>
      <c r="AV20" s="10"/>
      <c r="BH20">
        <v>19</v>
      </c>
      <c r="BI20" s="11">
        <f t="shared" si="9"/>
        <v>46453.772140658271</v>
      </c>
      <c r="BJ20" s="11">
        <f t="shared" si="10"/>
        <v>54465.657917192504</v>
      </c>
      <c r="BN20" s="13" t="s">
        <v>20</v>
      </c>
      <c r="BO20" s="15">
        <v>-1247.7983685767113</v>
      </c>
      <c r="BP20" s="13">
        <v>136.67570363100995</v>
      </c>
      <c r="BQ20" s="13">
        <v>-9.1296282764744578</v>
      </c>
      <c r="BR20" s="13">
        <v>6.8335454999331893E-17</v>
      </c>
      <c r="BS20" s="13">
        <v>-1517.2765079700139</v>
      </c>
      <c r="BT20" s="13">
        <v>-978.32022918340874</v>
      </c>
      <c r="BU20" s="13">
        <v>-1517.2765079700139</v>
      </c>
      <c r="BV20" s="13">
        <v>-978.32022918340874</v>
      </c>
      <c r="BX20">
        <v>19</v>
      </c>
      <c r="BY20" s="11">
        <f t="shared" si="11"/>
        <v>39847.58328370926</v>
      </c>
      <c r="BZ20" s="11">
        <f t="shared" si="12"/>
        <v>59457.500407934909</v>
      </c>
    </row>
    <row r="21" spans="1:78" x14ac:dyDescent="0.35">
      <c r="A21" s="1">
        <v>20</v>
      </c>
      <c r="B21">
        <v>2</v>
      </c>
      <c r="C21">
        <v>1</v>
      </c>
      <c r="D21">
        <v>29</v>
      </c>
      <c r="E21" s="3">
        <v>3</v>
      </c>
      <c r="F21" s="3" t="s">
        <v>9</v>
      </c>
      <c r="G21" s="3" t="s">
        <v>11</v>
      </c>
      <c r="H21">
        <v>4</v>
      </c>
      <c r="I21" s="4">
        <v>29600</v>
      </c>
      <c r="J21" s="4"/>
      <c r="L21" s="4">
        <v>29600</v>
      </c>
      <c r="M21">
        <v>4</v>
      </c>
      <c r="N21">
        <f t="shared" si="1"/>
        <v>1</v>
      </c>
      <c r="R21" s="4">
        <v>29600</v>
      </c>
      <c r="S21">
        <v>4</v>
      </c>
      <c r="T21">
        <f t="shared" si="2"/>
        <v>0</v>
      </c>
      <c r="X21" s="4">
        <v>29600</v>
      </c>
      <c r="Y21">
        <v>4</v>
      </c>
      <c r="Z21" s="3">
        <v>3</v>
      </c>
      <c r="AA21">
        <f t="shared" si="3"/>
        <v>1</v>
      </c>
      <c r="AB21" s="10">
        <f t="shared" si="4"/>
        <v>0</v>
      </c>
      <c r="AC21" s="10">
        <f t="shared" si="5"/>
        <v>1</v>
      </c>
      <c r="AD21" s="10">
        <f t="shared" si="6"/>
        <v>0</v>
      </c>
      <c r="AE21" s="10">
        <f t="shared" si="7"/>
        <v>0</v>
      </c>
      <c r="AP21" s="4">
        <v>29600</v>
      </c>
      <c r="AQ21">
        <v>4</v>
      </c>
      <c r="AR21">
        <f t="shared" si="0"/>
        <v>1</v>
      </c>
      <c r="AS21">
        <f t="shared" si="8"/>
        <v>4</v>
      </c>
      <c r="AU21" s="10"/>
      <c r="AV21" s="10"/>
      <c r="AY21" s="3" t="s">
        <v>11</v>
      </c>
      <c r="AZ21" s="3" t="s">
        <v>10</v>
      </c>
      <c r="BH21">
        <v>20</v>
      </c>
      <c r="BI21" s="11">
        <f t="shared" si="9"/>
        <v>47434.923088112526</v>
      </c>
      <c r="BJ21" s="11">
        <f t="shared" si="10"/>
        <v>55446.808864646751</v>
      </c>
      <c r="BX21">
        <v>20</v>
      </c>
      <c r="BY21" s="11">
        <f t="shared" si="11"/>
        <v>40127.546634519946</v>
      </c>
      <c r="BZ21" s="11">
        <f t="shared" si="12"/>
        <v>60985.262127322305</v>
      </c>
    </row>
    <row r="22" spans="1:78" x14ac:dyDescent="0.35">
      <c r="A22" s="1">
        <v>21</v>
      </c>
      <c r="B22">
        <v>3</v>
      </c>
      <c r="C22">
        <v>1</v>
      </c>
      <c r="D22">
        <v>36</v>
      </c>
      <c r="E22" s="3">
        <v>2</v>
      </c>
      <c r="F22" s="3" t="s">
        <v>9</v>
      </c>
      <c r="G22" s="3" t="s">
        <v>11</v>
      </c>
      <c r="H22">
        <v>4</v>
      </c>
      <c r="I22" s="4">
        <v>29500</v>
      </c>
      <c r="J22" s="4"/>
      <c r="L22" s="4">
        <v>29500</v>
      </c>
      <c r="M22">
        <v>4</v>
      </c>
      <c r="N22">
        <f t="shared" si="1"/>
        <v>1</v>
      </c>
      <c r="R22" s="4">
        <v>29500</v>
      </c>
      <c r="S22">
        <v>4</v>
      </c>
      <c r="T22">
        <f t="shared" si="2"/>
        <v>0</v>
      </c>
      <c r="X22" s="4">
        <v>29500</v>
      </c>
      <c r="Y22">
        <v>4</v>
      </c>
      <c r="Z22" s="3">
        <v>2</v>
      </c>
      <c r="AA22">
        <f t="shared" si="3"/>
        <v>1</v>
      </c>
      <c r="AB22" s="10">
        <f t="shared" si="4"/>
        <v>0</v>
      </c>
      <c r="AC22" s="10">
        <f t="shared" si="5"/>
        <v>0</v>
      </c>
      <c r="AD22" s="10">
        <f t="shared" si="6"/>
        <v>0</v>
      </c>
      <c r="AE22" s="10">
        <f t="shared" si="7"/>
        <v>0</v>
      </c>
      <c r="AP22" s="4">
        <v>29500</v>
      </c>
      <c r="AQ22">
        <v>4</v>
      </c>
      <c r="AR22">
        <f t="shared" si="0"/>
        <v>1</v>
      </c>
      <c r="AS22">
        <f t="shared" si="8"/>
        <v>4</v>
      </c>
      <c r="AU22" s="10"/>
      <c r="AV22" s="10"/>
      <c r="AX22" t="s">
        <v>24</v>
      </c>
      <c r="AY22" s="10">
        <f>AY17+AY19</f>
        <v>27811.904139027494</v>
      </c>
      <c r="AZ22" s="10">
        <f>AY17</f>
        <v>35823.789915561727</v>
      </c>
      <c r="BH22">
        <v>21</v>
      </c>
      <c r="BI22" s="11">
        <f t="shared" si="9"/>
        <v>48416.074035566773</v>
      </c>
      <c r="BJ22" s="11">
        <f t="shared" si="10"/>
        <v>56427.959812101006</v>
      </c>
      <c r="BO22" t="s">
        <v>11</v>
      </c>
      <c r="BP22" t="s">
        <v>10</v>
      </c>
      <c r="BX22">
        <v>21</v>
      </c>
      <c r="BY22" s="11">
        <f t="shared" si="11"/>
        <v>40407.509985330631</v>
      </c>
      <c r="BZ22" s="11">
        <f t="shared" si="12"/>
        <v>62513.023846709708</v>
      </c>
    </row>
    <row r="23" spans="1:78" x14ac:dyDescent="0.35">
      <c r="A23" s="1">
        <v>22</v>
      </c>
      <c r="B23">
        <v>2</v>
      </c>
      <c r="C23">
        <v>1</v>
      </c>
      <c r="D23">
        <v>28</v>
      </c>
      <c r="E23" s="3">
        <v>3</v>
      </c>
      <c r="F23" s="3" t="s">
        <v>9</v>
      </c>
      <c r="G23" s="3" t="s">
        <v>10</v>
      </c>
      <c r="H23">
        <v>3</v>
      </c>
      <c r="I23" s="4">
        <v>31000</v>
      </c>
      <c r="J23" s="4"/>
      <c r="L23" s="4">
        <v>31000</v>
      </c>
      <c r="M23">
        <v>3</v>
      </c>
      <c r="N23">
        <f t="shared" si="1"/>
        <v>0</v>
      </c>
      <c r="R23" s="4">
        <v>31000</v>
      </c>
      <c r="S23">
        <v>3</v>
      </c>
      <c r="T23">
        <f t="shared" si="2"/>
        <v>1</v>
      </c>
      <c r="X23" s="4">
        <v>31000</v>
      </c>
      <c r="Y23">
        <v>3</v>
      </c>
      <c r="Z23" s="3">
        <v>3</v>
      </c>
      <c r="AA23">
        <f t="shared" si="3"/>
        <v>0</v>
      </c>
      <c r="AB23" s="10">
        <f t="shared" si="4"/>
        <v>0</v>
      </c>
      <c r="AC23" s="10">
        <f t="shared" si="5"/>
        <v>1</v>
      </c>
      <c r="AD23" s="10">
        <f t="shared" si="6"/>
        <v>0</v>
      </c>
      <c r="AE23" s="10">
        <f t="shared" si="7"/>
        <v>0</v>
      </c>
      <c r="AP23" s="4">
        <v>31000</v>
      </c>
      <c r="AQ23">
        <v>3</v>
      </c>
      <c r="AR23">
        <f t="shared" si="0"/>
        <v>0</v>
      </c>
      <c r="AS23">
        <f t="shared" si="8"/>
        <v>0</v>
      </c>
      <c r="AU23" s="10"/>
      <c r="AV23" s="10"/>
      <c r="AX23" t="s">
        <v>46</v>
      </c>
      <c r="AY23" s="10">
        <f>AY18</f>
        <v>981.15094745425142</v>
      </c>
      <c r="AZ23" s="10">
        <f>AY18</f>
        <v>981.15094745425142</v>
      </c>
      <c r="BH23">
        <v>22</v>
      </c>
      <c r="BI23" s="11">
        <f t="shared" si="9"/>
        <v>49397.22498302102</v>
      </c>
      <c r="BJ23" s="11">
        <f t="shared" si="10"/>
        <v>57409.11075955526</v>
      </c>
      <c r="BN23" t="s">
        <v>24</v>
      </c>
      <c r="BO23" s="10">
        <f>BO17+BO19</f>
        <v>34528.279618306209</v>
      </c>
      <c r="BP23" s="10">
        <f>BO17</f>
        <v>30430.027739574347</v>
      </c>
      <c r="BX23">
        <v>22</v>
      </c>
      <c r="BY23" s="11">
        <f t="shared" si="11"/>
        <v>40687.473336141316</v>
      </c>
      <c r="BZ23" s="11">
        <f t="shared" si="12"/>
        <v>64040.785566097104</v>
      </c>
    </row>
    <row r="24" spans="1:78" x14ac:dyDescent="0.35">
      <c r="A24" s="1">
        <v>23</v>
      </c>
      <c r="B24">
        <v>1</v>
      </c>
      <c r="C24">
        <v>1</v>
      </c>
      <c r="D24">
        <v>45</v>
      </c>
      <c r="E24" s="3">
        <v>0</v>
      </c>
      <c r="F24" s="3" t="s">
        <v>9</v>
      </c>
      <c r="G24" s="3" t="s">
        <v>11</v>
      </c>
      <c r="H24">
        <v>5</v>
      </c>
      <c r="I24" s="4">
        <v>28500</v>
      </c>
      <c r="J24" s="4"/>
      <c r="L24" s="4">
        <v>28500</v>
      </c>
      <c r="M24">
        <v>5</v>
      </c>
      <c r="N24">
        <f t="shared" si="1"/>
        <v>1</v>
      </c>
      <c r="R24" s="4">
        <v>28500</v>
      </c>
      <c r="S24">
        <v>5</v>
      </c>
      <c r="T24">
        <f t="shared" si="2"/>
        <v>0</v>
      </c>
      <c r="X24" s="4">
        <v>28500</v>
      </c>
      <c r="Y24">
        <v>5</v>
      </c>
      <c r="Z24" s="3">
        <v>0</v>
      </c>
      <c r="AA24">
        <f t="shared" si="3"/>
        <v>1</v>
      </c>
      <c r="AB24" s="10">
        <f t="shared" si="4"/>
        <v>1</v>
      </c>
      <c r="AC24" s="10">
        <f t="shared" si="5"/>
        <v>0</v>
      </c>
      <c r="AD24" s="10">
        <f t="shared" si="6"/>
        <v>0</v>
      </c>
      <c r="AE24" s="10">
        <f t="shared" si="7"/>
        <v>0</v>
      </c>
      <c r="AP24" s="4">
        <v>28500</v>
      </c>
      <c r="AQ24">
        <v>5</v>
      </c>
      <c r="AR24">
        <f t="shared" si="0"/>
        <v>1</v>
      </c>
      <c r="AS24">
        <f t="shared" si="8"/>
        <v>5</v>
      </c>
      <c r="AU24" s="10"/>
      <c r="AV24" s="10"/>
      <c r="BH24">
        <v>23</v>
      </c>
      <c r="BI24" s="11">
        <f t="shared" si="9"/>
        <v>50378.375930475275</v>
      </c>
      <c r="BJ24" s="11">
        <f>$AZ$22+$AZ$23*BH24</f>
        <v>58390.261707009515</v>
      </c>
      <c r="BN24" t="s">
        <v>46</v>
      </c>
      <c r="BO24" s="10">
        <f>BO18+BO20</f>
        <v>279.96335081068673</v>
      </c>
      <c r="BP24" s="10">
        <f>BO18</f>
        <v>1527.761719387398</v>
      </c>
      <c r="BX24">
        <v>23</v>
      </c>
      <c r="BY24" s="11">
        <f t="shared" si="11"/>
        <v>40967.436686952002</v>
      </c>
      <c r="BZ24" s="11">
        <f t="shared" si="12"/>
        <v>65568.547285484499</v>
      </c>
    </row>
    <row r="25" spans="1:78" x14ac:dyDescent="0.35">
      <c r="A25" s="1">
        <v>24</v>
      </c>
      <c r="B25">
        <v>2</v>
      </c>
      <c r="C25">
        <v>1</v>
      </c>
      <c r="D25">
        <v>33</v>
      </c>
      <c r="E25" s="3">
        <v>4</v>
      </c>
      <c r="F25" s="3" t="s">
        <v>9</v>
      </c>
      <c r="G25" s="3" t="s">
        <v>10</v>
      </c>
      <c r="H25">
        <v>3</v>
      </c>
      <c r="I25" s="4">
        <v>26700</v>
      </c>
      <c r="J25" s="4"/>
      <c r="L25" s="4">
        <v>26700</v>
      </c>
      <c r="M25">
        <v>3</v>
      </c>
      <c r="N25">
        <f t="shared" si="1"/>
        <v>0</v>
      </c>
      <c r="R25" s="4">
        <v>26700</v>
      </c>
      <c r="S25">
        <v>3</v>
      </c>
      <c r="T25">
        <f t="shared" si="2"/>
        <v>1</v>
      </c>
      <c r="X25" s="4">
        <v>26700</v>
      </c>
      <c r="Y25">
        <v>3</v>
      </c>
      <c r="Z25" s="3">
        <v>4</v>
      </c>
      <c r="AA25">
        <f t="shared" si="3"/>
        <v>0</v>
      </c>
      <c r="AB25" s="10">
        <f t="shared" si="4"/>
        <v>0</v>
      </c>
      <c r="AC25" s="10">
        <f t="shared" si="5"/>
        <v>1</v>
      </c>
      <c r="AD25" s="10">
        <f t="shared" si="6"/>
        <v>0</v>
      </c>
      <c r="AE25" s="10">
        <f t="shared" si="7"/>
        <v>0</v>
      </c>
      <c r="AP25" s="4">
        <v>26700</v>
      </c>
      <c r="AQ25">
        <v>3</v>
      </c>
      <c r="AR25">
        <f t="shared" si="0"/>
        <v>0</v>
      </c>
      <c r="AS25">
        <f t="shared" si="8"/>
        <v>0</v>
      </c>
      <c r="AU25" s="10"/>
      <c r="AV25" s="10"/>
      <c r="BH25">
        <v>24</v>
      </c>
      <c r="BI25" s="11">
        <f t="shared" si="9"/>
        <v>51359.526877929529</v>
      </c>
      <c r="BJ25" s="11">
        <f t="shared" si="10"/>
        <v>59371.412654463762</v>
      </c>
      <c r="BX25">
        <v>24</v>
      </c>
      <c r="BY25" s="11">
        <f t="shared" si="11"/>
        <v>41247.400037762694</v>
      </c>
      <c r="BZ25" s="11">
        <f t="shared" si="12"/>
        <v>67096.309004871902</v>
      </c>
    </row>
    <row r="26" spans="1:78" x14ac:dyDescent="0.35">
      <c r="A26" s="1">
        <v>25</v>
      </c>
      <c r="B26">
        <v>3</v>
      </c>
      <c r="C26">
        <v>1</v>
      </c>
      <c r="D26">
        <v>24</v>
      </c>
      <c r="E26" s="3">
        <v>1</v>
      </c>
      <c r="F26" s="3" t="s">
        <v>9</v>
      </c>
      <c r="G26" s="3" t="s">
        <v>10</v>
      </c>
      <c r="H26">
        <v>3</v>
      </c>
      <c r="I26" s="4">
        <v>30750</v>
      </c>
      <c r="J26" s="4"/>
      <c r="L26" s="4">
        <v>30750</v>
      </c>
      <c r="M26">
        <v>3</v>
      </c>
      <c r="N26">
        <f t="shared" si="1"/>
        <v>0</v>
      </c>
      <c r="R26" s="4">
        <v>30750</v>
      </c>
      <c r="S26">
        <v>3</v>
      </c>
      <c r="T26">
        <f t="shared" si="2"/>
        <v>1</v>
      </c>
      <c r="X26" s="4">
        <v>30750</v>
      </c>
      <c r="Y26">
        <v>3</v>
      </c>
      <c r="Z26" s="3">
        <v>1</v>
      </c>
      <c r="AA26">
        <f t="shared" si="3"/>
        <v>0</v>
      </c>
      <c r="AB26" s="10">
        <f t="shared" si="4"/>
        <v>0</v>
      </c>
      <c r="AC26" s="10">
        <f t="shared" si="5"/>
        <v>0</v>
      </c>
      <c r="AD26" s="10">
        <f t="shared" si="6"/>
        <v>0</v>
      </c>
      <c r="AE26" s="10">
        <f t="shared" si="7"/>
        <v>0</v>
      </c>
      <c r="AP26" s="4">
        <v>30750</v>
      </c>
      <c r="AQ26">
        <v>3</v>
      </c>
      <c r="AR26">
        <f t="shared" si="0"/>
        <v>0</v>
      </c>
      <c r="AS26">
        <f t="shared" si="8"/>
        <v>0</v>
      </c>
      <c r="AU26" s="10"/>
      <c r="AV26" s="10"/>
      <c r="BH26">
        <v>25</v>
      </c>
      <c r="BI26" s="11">
        <f t="shared" si="9"/>
        <v>52340.677825383784</v>
      </c>
      <c r="BJ26" s="11">
        <f t="shared" si="10"/>
        <v>60352.563601918009</v>
      </c>
      <c r="BX26">
        <v>25</v>
      </c>
      <c r="BY26" s="11">
        <f t="shared" si="11"/>
        <v>41527.36338857338</v>
      </c>
      <c r="BZ26" s="11">
        <f t="shared" si="12"/>
        <v>68624.070724259305</v>
      </c>
    </row>
    <row r="27" spans="1:78" x14ac:dyDescent="0.35">
      <c r="A27" s="1">
        <v>26</v>
      </c>
      <c r="B27">
        <v>3</v>
      </c>
      <c r="C27">
        <v>1</v>
      </c>
      <c r="D27">
        <v>27</v>
      </c>
      <c r="E27" s="3">
        <v>1</v>
      </c>
      <c r="F27" s="3" t="s">
        <v>9</v>
      </c>
      <c r="G27" s="3" t="s">
        <v>10</v>
      </c>
      <c r="H27">
        <v>3</v>
      </c>
      <c r="I27" s="4">
        <v>29500</v>
      </c>
      <c r="J27" s="4"/>
      <c r="L27" s="4">
        <v>29500</v>
      </c>
      <c r="M27">
        <v>3</v>
      </c>
      <c r="N27">
        <f t="shared" si="1"/>
        <v>0</v>
      </c>
      <c r="R27" s="4">
        <v>29500</v>
      </c>
      <c r="S27">
        <v>3</v>
      </c>
      <c r="T27">
        <f t="shared" si="2"/>
        <v>1</v>
      </c>
      <c r="X27" s="4">
        <v>29500</v>
      </c>
      <c r="Y27">
        <v>3</v>
      </c>
      <c r="Z27" s="3">
        <v>1</v>
      </c>
      <c r="AA27">
        <f t="shared" si="3"/>
        <v>0</v>
      </c>
      <c r="AB27" s="10">
        <f t="shared" si="4"/>
        <v>0</v>
      </c>
      <c r="AC27" s="10">
        <f t="shared" si="5"/>
        <v>0</v>
      </c>
      <c r="AD27" s="10">
        <f t="shared" si="6"/>
        <v>0</v>
      </c>
      <c r="AE27" s="10">
        <f t="shared" si="7"/>
        <v>0</v>
      </c>
      <c r="AP27" s="4">
        <v>29500</v>
      </c>
      <c r="AQ27">
        <v>3</v>
      </c>
      <c r="AR27">
        <f t="shared" si="0"/>
        <v>0</v>
      </c>
      <c r="AS27">
        <f t="shared" si="8"/>
        <v>0</v>
      </c>
      <c r="AU27" s="10"/>
      <c r="AV27" s="10"/>
      <c r="BH27">
        <v>26</v>
      </c>
      <c r="BI27" s="11">
        <f t="shared" si="9"/>
        <v>53321.828772838031</v>
      </c>
      <c r="BJ27" s="11">
        <f t="shared" si="10"/>
        <v>61333.714549372264</v>
      </c>
      <c r="BX27">
        <v>26</v>
      </c>
      <c r="BY27" s="11">
        <f t="shared" si="11"/>
        <v>41807.326739384065</v>
      </c>
      <c r="BZ27" s="11">
        <f t="shared" si="12"/>
        <v>70151.832443646694</v>
      </c>
    </row>
    <row r="28" spans="1:78" x14ac:dyDescent="0.35">
      <c r="A28" s="1">
        <v>27</v>
      </c>
      <c r="B28">
        <v>2</v>
      </c>
      <c r="C28">
        <v>1</v>
      </c>
      <c r="D28">
        <v>60</v>
      </c>
      <c r="E28" s="3">
        <v>6</v>
      </c>
      <c r="F28" s="3" t="s">
        <v>9</v>
      </c>
      <c r="G28" s="3" t="s">
        <v>11</v>
      </c>
      <c r="H28">
        <v>16</v>
      </c>
      <c r="I28" s="4">
        <v>42200</v>
      </c>
      <c r="J28" s="4"/>
      <c r="L28" s="4">
        <v>42200</v>
      </c>
      <c r="M28">
        <v>16</v>
      </c>
      <c r="N28">
        <f t="shared" si="1"/>
        <v>1</v>
      </c>
      <c r="R28" s="4">
        <v>42200</v>
      </c>
      <c r="S28">
        <v>16</v>
      </c>
      <c r="T28">
        <f t="shared" si="2"/>
        <v>0</v>
      </c>
      <c r="X28" s="4">
        <v>42200</v>
      </c>
      <c r="Y28">
        <v>16</v>
      </c>
      <c r="Z28" s="3">
        <v>6</v>
      </c>
      <c r="AA28">
        <f t="shared" si="3"/>
        <v>1</v>
      </c>
      <c r="AB28" s="10">
        <f t="shared" si="4"/>
        <v>0</v>
      </c>
      <c r="AC28" s="10">
        <f t="shared" si="5"/>
        <v>1</v>
      </c>
      <c r="AD28" s="10">
        <f t="shared" si="6"/>
        <v>0</v>
      </c>
      <c r="AE28" s="10">
        <f t="shared" si="7"/>
        <v>0</v>
      </c>
      <c r="AP28" s="4">
        <v>42200</v>
      </c>
      <c r="AQ28">
        <v>16</v>
      </c>
      <c r="AR28">
        <f t="shared" si="0"/>
        <v>1</v>
      </c>
      <c r="AS28">
        <f t="shared" si="8"/>
        <v>16</v>
      </c>
      <c r="AU28" s="10"/>
      <c r="AV28" s="10"/>
      <c r="BH28">
        <v>27</v>
      </c>
      <c r="BI28" s="11">
        <f t="shared" si="9"/>
        <v>54302.979720292278</v>
      </c>
      <c r="BJ28" s="11">
        <f t="shared" si="10"/>
        <v>62314.865496826518</v>
      </c>
      <c r="BX28">
        <v>27</v>
      </c>
      <c r="BY28" s="11">
        <f t="shared" si="11"/>
        <v>42087.290090194751</v>
      </c>
      <c r="BZ28" s="11">
        <f t="shared" si="12"/>
        <v>71679.594163034082</v>
      </c>
    </row>
    <row r="29" spans="1:78" x14ac:dyDescent="0.35">
      <c r="A29" s="1">
        <v>28</v>
      </c>
      <c r="B29">
        <v>1</v>
      </c>
      <c r="C29">
        <v>1</v>
      </c>
      <c r="D29">
        <v>48</v>
      </c>
      <c r="E29" s="3">
        <v>0</v>
      </c>
      <c r="F29" s="3" t="s">
        <v>9</v>
      </c>
      <c r="G29" s="3" t="s">
        <v>11</v>
      </c>
      <c r="H29">
        <v>13</v>
      </c>
      <c r="I29" s="4">
        <v>37600</v>
      </c>
      <c r="J29" s="4"/>
      <c r="L29" s="4">
        <v>37600</v>
      </c>
      <c r="M29">
        <v>13</v>
      </c>
      <c r="N29">
        <f t="shared" si="1"/>
        <v>1</v>
      </c>
      <c r="R29" s="4">
        <v>37600</v>
      </c>
      <c r="S29">
        <v>13</v>
      </c>
      <c r="T29">
        <f t="shared" si="2"/>
        <v>0</v>
      </c>
      <c r="X29" s="4">
        <v>37600</v>
      </c>
      <c r="Y29">
        <v>13</v>
      </c>
      <c r="Z29" s="3">
        <v>0</v>
      </c>
      <c r="AA29">
        <f t="shared" si="3"/>
        <v>1</v>
      </c>
      <c r="AB29" s="10">
        <f t="shared" si="4"/>
        <v>1</v>
      </c>
      <c r="AC29" s="10">
        <f t="shared" si="5"/>
        <v>0</v>
      </c>
      <c r="AD29" s="10">
        <f t="shared" si="6"/>
        <v>0</v>
      </c>
      <c r="AE29" s="10">
        <f t="shared" si="7"/>
        <v>0</v>
      </c>
      <c r="AP29" s="4">
        <v>37600</v>
      </c>
      <c r="AQ29">
        <v>13</v>
      </c>
      <c r="AR29">
        <f t="shared" si="0"/>
        <v>1</v>
      </c>
      <c r="AS29">
        <f t="shared" si="8"/>
        <v>13</v>
      </c>
      <c r="AU29" s="10"/>
      <c r="AV29" s="10"/>
      <c r="BH29">
        <v>28</v>
      </c>
      <c r="BI29" s="11">
        <f t="shared" si="9"/>
        <v>55284.130667746533</v>
      </c>
      <c r="BJ29" s="11">
        <f t="shared" si="10"/>
        <v>63296.016444280765</v>
      </c>
      <c r="BX29">
        <v>28</v>
      </c>
      <c r="BY29" s="11">
        <f t="shared" si="11"/>
        <v>42367.253441005436</v>
      </c>
      <c r="BZ29" s="11">
        <f t="shared" si="12"/>
        <v>73207.355882421485</v>
      </c>
    </row>
    <row r="30" spans="1:78" x14ac:dyDescent="0.35">
      <c r="A30" s="1">
        <v>29</v>
      </c>
      <c r="B30">
        <v>1</v>
      </c>
      <c r="C30">
        <v>1</v>
      </c>
      <c r="D30">
        <v>40</v>
      </c>
      <c r="E30" s="3">
        <v>6</v>
      </c>
      <c r="F30" s="3" t="s">
        <v>9</v>
      </c>
      <c r="G30" s="3" t="s">
        <v>11</v>
      </c>
      <c r="H30">
        <v>12</v>
      </c>
      <c r="I30" s="4">
        <v>34000</v>
      </c>
      <c r="J30" s="4"/>
      <c r="L30" s="4">
        <v>34000</v>
      </c>
      <c r="M30">
        <v>12</v>
      </c>
      <c r="N30">
        <f t="shared" si="1"/>
        <v>1</v>
      </c>
      <c r="R30" s="4">
        <v>34000</v>
      </c>
      <c r="S30">
        <v>12</v>
      </c>
      <c r="T30">
        <f t="shared" si="2"/>
        <v>0</v>
      </c>
      <c r="X30" s="4">
        <v>34000</v>
      </c>
      <c r="Y30">
        <v>12</v>
      </c>
      <c r="Z30" s="3">
        <v>6</v>
      </c>
      <c r="AA30">
        <f t="shared" si="3"/>
        <v>1</v>
      </c>
      <c r="AB30" s="10">
        <f t="shared" si="4"/>
        <v>1</v>
      </c>
      <c r="AC30" s="10">
        <f t="shared" si="5"/>
        <v>0</v>
      </c>
      <c r="AD30" s="10">
        <f t="shared" si="6"/>
        <v>0</v>
      </c>
      <c r="AE30" s="10">
        <f t="shared" si="7"/>
        <v>0</v>
      </c>
      <c r="AP30" s="4">
        <v>34000</v>
      </c>
      <c r="AQ30">
        <v>12</v>
      </c>
      <c r="AR30">
        <f t="shared" si="0"/>
        <v>1</v>
      </c>
      <c r="AS30">
        <f t="shared" si="8"/>
        <v>12</v>
      </c>
      <c r="AU30" s="10"/>
      <c r="AV30" s="10"/>
      <c r="BH30">
        <v>29</v>
      </c>
      <c r="BI30" s="11">
        <f t="shared" si="9"/>
        <v>56265.281615200787</v>
      </c>
      <c r="BJ30" s="11">
        <f t="shared" si="10"/>
        <v>64277.16739173502</v>
      </c>
      <c r="BX30">
        <v>29</v>
      </c>
      <c r="BY30" s="11">
        <f t="shared" si="11"/>
        <v>42647.216791816129</v>
      </c>
      <c r="BZ30" s="11">
        <f t="shared" si="12"/>
        <v>74735.117601808888</v>
      </c>
    </row>
    <row r="31" spans="1:78" x14ac:dyDescent="0.35">
      <c r="A31" s="1">
        <v>30</v>
      </c>
      <c r="B31">
        <v>2</v>
      </c>
      <c r="C31">
        <v>1</v>
      </c>
      <c r="D31">
        <v>33</v>
      </c>
      <c r="E31" s="3">
        <v>7</v>
      </c>
      <c r="F31" s="3" t="s">
        <v>9</v>
      </c>
      <c r="G31" s="3" t="s">
        <v>11</v>
      </c>
      <c r="H31">
        <v>4</v>
      </c>
      <c r="I31" s="4">
        <v>33000</v>
      </c>
      <c r="J31" s="4"/>
      <c r="L31" s="4">
        <v>33000</v>
      </c>
      <c r="M31">
        <v>4</v>
      </c>
      <c r="N31">
        <f t="shared" si="1"/>
        <v>1</v>
      </c>
      <c r="R31" s="4">
        <v>33000</v>
      </c>
      <c r="S31">
        <v>4</v>
      </c>
      <c r="T31">
        <f t="shared" si="2"/>
        <v>0</v>
      </c>
      <c r="X31" s="4">
        <v>33000</v>
      </c>
      <c r="Y31">
        <v>4</v>
      </c>
      <c r="Z31" s="3">
        <v>7</v>
      </c>
      <c r="AA31">
        <f t="shared" si="3"/>
        <v>1</v>
      </c>
      <c r="AB31" s="10">
        <f t="shared" si="4"/>
        <v>0</v>
      </c>
      <c r="AC31" s="10">
        <f t="shared" si="5"/>
        <v>1</v>
      </c>
      <c r="AD31" s="10">
        <f t="shared" si="6"/>
        <v>0</v>
      </c>
      <c r="AE31" s="10">
        <f t="shared" si="7"/>
        <v>0</v>
      </c>
      <c r="AP31" s="4">
        <v>33000</v>
      </c>
      <c r="AQ31">
        <v>4</v>
      </c>
      <c r="AR31">
        <f t="shared" si="0"/>
        <v>1</v>
      </c>
      <c r="AS31">
        <f t="shared" si="8"/>
        <v>4</v>
      </c>
      <c r="AU31" s="10"/>
      <c r="AV31" s="10"/>
      <c r="BH31">
        <v>30</v>
      </c>
      <c r="BI31" s="11">
        <f t="shared" si="9"/>
        <v>57246.432562655042</v>
      </c>
      <c r="BJ31" s="11">
        <f t="shared" si="10"/>
        <v>65258.318339189267</v>
      </c>
      <c r="BX31">
        <v>30</v>
      </c>
      <c r="BY31" s="11">
        <f t="shared" si="11"/>
        <v>42927.180142626807</v>
      </c>
      <c r="BZ31" s="11">
        <f t="shared" si="12"/>
        <v>76262.879321196291</v>
      </c>
    </row>
    <row r="32" spans="1:78" x14ac:dyDescent="0.35">
      <c r="A32" s="1">
        <v>31</v>
      </c>
      <c r="B32">
        <v>1</v>
      </c>
      <c r="C32">
        <v>1</v>
      </c>
      <c r="D32">
        <v>35</v>
      </c>
      <c r="E32" s="3">
        <v>4</v>
      </c>
      <c r="F32" s="3" t="s">
        <v>9</v>
      </c>
      <c r="G32" s="3" t="s">
        <v>11</v>
      </c>
      <c r="H32">
        <v>7</v>
      </c>
      <c r="I32" s="4">
        <v>28760</v>
      </c>
      <c r="J32" s="4"/>
      <c r="L32" s="4">
        <v>28760</v>
      </c>
      <c r="M32">
        <v>7</v>
      </c>
      <c r="N32">
        <f t="shared" si="1"/>
        <v>1</v>
      </c>
      <c r="R32" s="4">
        <v>28760</v>
      </c>
      <c r="S32">
        <v>7</v>
      </c>
      <c r="T32">
        <f t="shared" si="2"/>
        <v>0</v>
      </c>
      <c r="X32" s="4">
        <v>28760</v>
      </c>
      <c r="Y32">
        <v>7</v>
      </c>
      <c r="Z32" s="3">
        <v>4</v>
      </c>
      <c r="AA32">
        <f t="shared" si="3"/>
        <v>1</v>
      </c>
      <c r="AB32" s="10">
        <f t="shared" si="4"/>
        <v>1</v>
      </c>
      <c r="AC32" s="10">
        <f t="shared" si="5"/>
        <v>0</v>
      </c>
      <c r="AD32" s="10">
        <f t="shared" si="6"/>
        <v>0</v>
      </c>
      <c r="AE32" s="10">
        <f t="shared" si="7"/>
        <v>0</v>
      </c>
      <c r="AP32" s="4">
        <v>28760</v>
      </c>
      <c r="AQ32">
        <v>7</v>
      </c>
      <c r="AR32">
        <f t="shared" si="0"/>
        <v>1</v>
      </c>
      <c r="AS32">
        <f t="shared" si="8"/>
        <v>7</v>
      </c>
      <c r="AU32" s="10"/>
      <c r="AV32" s="10"/>
      <c r="BH32">
        <v>31</v>
      </c>
      <c r="BI32" s="11">
        <f t="shared" si="9"/>
        <v>58227.583510109289</v>
      </c>
      <c r="BJ32" s="11">
        <f t="shared" si="10"/>
        <v>66239.469286643522</v>
      </c>
      <c r="BX32">
        <v>31</v>
      </c>
      <c r="BY32" s="11">
        <f t="shared" si="11"/>
        <v>43207.143493437499</v>
      </c>
      <c r="BZ32" s="11">
        <f t="shared" si="12"/>
        <v>77790.641040583694</v>
      </c>
    </row>
    <row r="33" spans="1:78" x14ac:dyDescent="0.35">
      <c r="A33" s="1">
        <v>32</v>
      </c>
      <c r="B33">
        <v>1</v>
      </c>
      <c r="C33">
        <v>1</v>
      </c>
      <c r="D33">
        <v>44</v>
      </c>
      <c r="E33" s="3">
        <v>0</v>
      </c>
      <c r="F33" s="3" t="s">
        <v>9</v>
      </c>
      <c r="G33" s="3" t="s">
        <v>11</v>
      </c>
      <c r="H33">
        <v>11</v>
      </c>
      <c r="I33" s="4">
        <v>35400</v>
      </c>
      <c r="J33" s="4"/>
      <c r="L33" s="4">
        <v>35400</v>
      </c>
      <c r="M33">
        <v>11</v>
      </c>
      <c r="N33">
        <f t="shared" si="1"/>
        <v>1</v>
      </c>
      <c r="R33" s="4">
        <v>35400</v>
      </c>
      <c r="S33">
        <v>11</v>
      </c>
      <c r="T33">
        <f t="shared" si="2"/>
        <v>0</v>
      </c>
      <c r="X33" s="4">
        <v>35400</v>
      </c>
      <c r="Y33">
        <v>11</v>
      </c>
      <c r="Z33" s="3">
        <v>0</v>
      </c>
      <c r="AA33">
        <f t="shared" si="3"/>
        <v>1</v>
      </c>
      <c r="AB33" s="10">
        <f t="shared" si="4"/>
        <v>1</v>
      </c>
      <c r="AC33" s="10">
        <f t="shared" si="5"/>
        <v>0</v>
      </c>
      <c r="AD33" s="10">
        <f t="shared" si="6"/>
        <v>0</v>
      </c>
      <c r="AE33" s="10">
        <f t="shared" si="7"/>
        <v>0</v>
      </c>
      <c r="AP33" s="4">
        <v>35400</v>
      </c>
      <c r="AQ33">
        <v>11</v>
      </c>
      <c r="AR33">
        <f t="shared" si="0"/>
        <v>1</v>
      </c>
      <c r="AS33">
        <f t="shared" si="8"/>
        <v>11</v>
      </c>
      <c r="AU33" s="10"/>
      <c r="AV33" s="10"/>
      <c r="BH33">
        <v>32</v>
      </c>
      <c r="BI33" s="11">
        <f t="shared" si="9"/>
        <v>59208.734457563536</v>
      </c>
      <c r="BJ33" s="11">
        <f t="shared" si="10"/>
        <v>67220.620234097776</v>
      </c>
      <c r="BX33">
        <v>32</v>
      </c>
      <c r="BY33" s="11">
        <f t="shared" si="11"/>
        <v>43487.106844248185</v>
      </c>
      <c r="BZ33" s="11">
        <f t="shared" si="12"/>
        <v>79318.402759971083</v>
      </c>
    </row>
    <row r="34" spans="1:78" x14ac:dyDescent="0.35">
      <c r="A34" s="1">
        <v>33</v>
      </c>
      <c r="B34">
        <v>3</v>
      </c>
      <c r="C34">
        <v>1</v>
      </c>
      <c r="D34">
        <v>43</v>
      </c>
      <c r="E34" s="3">
        <v>8</v>
      </c>
      <c r="F34" s="3" t="s">
        <v>9</v>
      </c>
      <c r="G34" s="3" t="s">
        <v>10</v>
      </c>
      <c r="H34">
        <v>3</v>
      </c>
      <c r="I34" s="4">
        <v>31000</v>
      </c>
      <c r="J34" s="4"/>
      <c r="L34" s="4">
        <v>31000</v>
      </c>
      <c r="M34">
        <v>3</v>
      </c>
      <c r="N34">
        <f t="shared" si="1"/>
        <v>0</v>
      </c>
      <c r="R34" s="4">
        <v>31000</v>
      </c>
      <c r="S34">
        <v>3</v>
      </c>
      <c r="T34">
        <f t="shared" si="2"/>
        <v>1</v>
      </c>
      <c r="X34" s="4">
        <v>31000</v>
      </c>
      <c r="Y34">
        <v>3</v>
      </c>
      <c r="Z34" s="3">
        <v>8</v>
      </c>
      <c r="AA34">
        <f t="shared" si="3"/>
        <v>0</v>
      </c>
      <c r="AB34" s="10">
        <f t="shared" si="4"/>
        <v>0</v>
      </c>
      <c r="AC34" s="10">
        <f t="shared" si="5"/>
        <v>0</v>
      </c>
      <c r="AD34" s="10">
        <f t="shared" si="6"/>
        <v>0</v>
      </c>
      <c r="AE34" s="10">
        <f t="shared" si="7"/>
        <v>0</v>
      </c>
      <c r="AP34" s="4">
        <v>31000</v>
      </c>
      <c r="AQ34">
        <v>3</v>
      </c>
      <c r="AR34">
        <f t="shared" si="0"/>
        <v>0</v>
      </c>
      <c r="AS34">
        <f t="shared" si="8"/>
        <v>0</v>
      </c>
      <c r="AU34" s="10"/>
      <c r="AV34" s="10"/>
      <c r="BH34">
        <v>33</v>
      </c>
      <c r="BI34" s="11">
        <f t="shared" si="9"/>
        <v>60189.885405017791</v>
      </c>
      <c r="BJ34" s="11">
        <f t="shared" si="10"/>
        <v>68201.771181552031</v>
      </c>
      <c r="BX34">
        <v>33</v>
      </c>
      <c r="BY34" s="11">
        <f t="shared" si="11"/>
        <v>43767.07019505887</v>
      </c>
      <c r="BZ34" s="11">
        <f t="shared" si="12"/>
        <v>80846.164479358471</v>
      </c>
    </row>
    <row r="35" spans="1:78" x14ac:dyDescent="0.35">
      <c r="A35" s="1">
        <v>34</v>
      </c>
      <c r="B35">
        <v>2</v>
      </c>
      <c r="C35">
        <v>1</v>
      </c>
      <c r="D35">
        <v>46</v>
      </c>
      <c r="E35" s="3">
        <v>2</v>
      </c>
      <c r="F35" s="3" t="s">
        <v>9</v>
      </c>
      <c r="G35" s="3" t="s">
        <v>11</v>
      </c>
      <c r="H35">
        <v>18</v>
      </c>
      <c r="I35" s="4">
        <v>38800</v>
      </c>
      <c r="J35" s="4"/>
      <c r="L35" s="4">
        <v>38800</v>
      </c>
      <c r="M35">
        <v>18</v>
      </c>
      <c r="N35">
        <f t="shared" si="1"/>
        <v>1</v>
      </c>
      <c r="R35" s="4">
        <v>38800</v>
      </c>
      <c r="S35">
        <v>18</v>
      </c>
      <c r="T35">
        <f t="shared" si="2"/>
        <v>0</v>
      </c>
      <c r="X35" s="4">
        <v>38800</v>
      </c>
      <c r="Y35">
        <v>18</v>
      </c>
      <c r="Z35" s="3">
        <v>2</v>
      </c>
      <c r="AA35">
        <f t="shared" si="3"/>
        <v>1</v>
      </c>
      <c r="AB35" s="10">
        <f t="shared" si="4"/>
        <v>0</v>
      </c>
      <c r="AC35" s="10">
        <f t="shared" si="5"/>
        <v>1</v>
      </c>
      <c r="AD35" s="10">
        <f t="shared" si="6"/>
        <v>0</v>
      </c>
      <c r="AE35" s="10">
        <f t="shared" si="7"/>
        <v>0</v>
      </c>
      <c r="AP35" s="4">
        <v>38800</v>
      </c>
      <c r="AQ35">
        <v>18</v>
      </c>
      <c r="AR35">
        <f t="shared" si="0"/>
        <v>1</v>
      </c>
      <c r="AS35">
        <f t="shared" si="8"/>
        <v>18</v>
      </c>
      <c r="AU35" s="10"/>
      <c r="AV35" s="10"/>
      <c r="BH35">
        <v>34</v>
      </c>
      <c r="BI35" s="11">
        <f t="shared" si="9"/>
        <v>61171.036352472045</v>
      </c>
      <c r="BJ35" s="11">
        <f t="shared" si="10"/>
        <v>69182.922129006271</v>
      </c>
      <c r="BX35">
        <v>34</v>
      </c>
      <c r="BY35" s="11">
        <f t="shared" si="11"/>
        <v>44047.033545869563</v>
      </c>
      <c r="BZ35" s="11">
        <f t="shared" si="12"/>
        <v>82373.926198745874</v>
      </c>
    </row>
    <row r="36" spans="1:78" x14ac:dyDescent="0.35">
      <c r="A36" s="1">
        <v>35</v>
      </c>
      <c r="B36">
        <v>2</v>
      </c>
      <c r="C36">
        <v>1</v>
      </c>
      <c r="D36">
        <v>42</v>
      </c>
      <c r="E36" s="3">
        <v>0</v>
      </c>
      <c r="F36" s="3" t="s">
        <v>9</v>
      </c>
      <c r="G36" s="3" t="s">
        <v>11</v>
      </c>
      <c r="H36">
        <v>14</v>
      </c>
      <c r="I36" s="4">
        <v>34300</v>
      </c>
      <c r="J36" s="4"/>
      <c r="L36" s="4">
        <v>34300</v>
      </c>
      <c r="M36">
        <v>14</v>
      </c>
      <c r="N36">
        <f t="shared" si="1"/>
        <v>1</v>
      </c>
      <c r="R36" s="4">
        <v>34300</v>
      </c>
      <c r="S36">
        <v>14</v>
      </c>
      <c r="T36">
        <f t="shared" si="2"/>
        <v>0</v>
      </c>
      <c r="X36" s="4">
        <v>34300</v>
      </c>
      <c r="Y36">
        <v>14</v>
      </c>
      <c r="Z36" s="3">
        <v>0</v>
      </c>
      <c r="AA36">
        <f t="shared" si="3"/>
        <v>1</v>
      </c>
      <c r="AB36" s="10">
        <f t="shared" si="4"/>
        <v>0</v>
      </c>
      <c r="AC36" s="10">
        <f t="shared" si="5"/>
        <v>1</v>
      </c>
      <c r="AD36" s="10">
        <f t="shared" si="6"/>
        <v>0</v>
      </c>
      <c r="AE36" s="10">
        <f t="shared" si="7"/>
        <v>0</v>
      </c>
      <c r="AP36" s="4">
        <v>34300</v>
      </c>
      <c r="AQ36">
        <v>14</v>
      </c>
      <c r="AR36">
        <f t="shared" si="0"/>
        <v>1</v>
      </c>
      <c r="AS36">
        <f t="shared" si="8"/>
        <v>14</v>
      </c>
      <c r="AU36" s="10"/>
      <c r="AV36" s="10"/>
      <c r="BH36">
        <v>35</v>
      </c>
      <c r="BI36" s="11">
        <f t="shared" si="9"/>
        <v>62152.187299926292</v>
      </c>
      <c r="BJ36" s="11">
        <f t="shared" si="10"/>
        <v>70164.073076460525</v>
      </c>
      <c r="BX36">
        <v>35</v>
      </c>
      <c r="BY36" s="11">
        <f t="shared" si="11"/>
        <v>44326.996896680241</v>
      </c>
      <c r="BZ36" s="11">
        <f t="shared" si="12"/>
        <v>83901.687918133277</v>
      </c>
    </row>
    <row r="37" spans="1:78" x14ac:dyDescent="0.35">
      <c r="A37" s="1">
        <v>36</v>
      </c>
      <c r="B37">
        <v>1</v>
      </c>
      <c r="C37">
        <v>1</v>
      </c>
      <c r="D37">
        <v>47</v>
      </c>
      <c r="E37" s="3">
        <v>0</v>
      </c>
      <c r="F37" s="3" t="s">
        <v>9</v>
      </c>
      <c r="G37" s="3" t="s">
        <v>11</v>
      </c>
      <c r="H37">
        <v>19</v>
      </c>
      <c r="I37" s="4">
        <v>35000</v>
      </c>
      <c r="J37" s="4"/>
      <c r="L37" s="4">
        <v>35000</v>
      </c>
      <c r="M37">
        <v>19</v>
      </c>
      <c r="N37">
        <f t="shared" si="1"/>
        <v>1</v>
      </c>
      <c r="R37" s="4">
        <v>35000</v>
      </c>
      <c r="S37">
        <v>19</v>
      </c>
      <c r="T37">
        <f t="shared" si="2"/>
        <v>0</v>
      </c>
      <c r="X37" s="4">
        <v>35000</v>
      </c>
      <c r="Y37">
        <v>19</v>
      </c>
      <c r="Z37" s="3">
        <v>0</v>
      </c>
      <c r="AA37">
        <f t="shared" si="3"/>
        <v>1</v>
      </c>
      <c r="AB37" s="10">
        <f t="shared" si="4"/>
        <v>1</v>
      </c>
      <c r="AC37" s="10">
        <f t="shared" si="5"/>
        <v>0</v>
      </c>
      <c r="AD37" s="10">
        <f t="shared" si="6"/>
        <v>0</v>
      </c>
      <c r="AE37" s="10">
        <f t="shared" si="7"/>
        <v>0</v>
      </c>
      <c r="AP37" s="4">
        <v>35000</v>
      </c>
      <c r="AQ37">
        <v>19</v>
      </c>
      <c r="AR37">
        <f t="shared" si="0"/>
        <v>1</v>
      </c>
      <c r="AS37">
        <f t="shared" si="8"/>
        <v>19</v>
      </c>
      <c r="AU37" s="10"/>
      <c r="AV37" s="10"/>
      <c r="BH37">
        <v>36</v>
      </c>
      <c r="BI37" s="11">
        <f t="shared" si="9"/>
        <v>63133.338247380547</v>
      </c>
      <c r="BJ37" s="11">
        <f t="shared" si="10"/>
        <v>71145.22402391478</v>
      </c>
      <c r="BX37">
        <v>36</v>
      </c>
      <c r="BY37" s="11">
        <f t="shared" si="11"/>
        <v>44606.960247490933</v>
      </c>
      <c r="BZ37" s="11">
        <f t="shared" si="12"/>
        <v>85429.44963752068</v>
      </c>
    </row>
    <row r="38" spans="1:78" x14ac:dyDescent="0.35">
      <c r="A38" s="1">
        <v>37</v>
      </c>
      <c r="B38">
        <v>3</v>
      </c>
      <c r="C38">
        <v>1</v>
      </c>
      <c r="D38">
        <v>25</v>
      </c>
      <c r="E38" s="3">
        <v>2</v>
      </c>
      <c r="F38" s="3" t="s">
        <v>12</v>
      </c>
      <c r="G38" s="3" t="s">
        <v>11</v>
      </c>
      <c r="H38">
        <v>3</v>
      </c>
      <c r="I38" s="4">
        <v>34600</v>
      </c>
      <c r="J38" s="4"/>
      <c r="L38" s="4">
        <v>34600</v>
      </c>
      <c r="M38">
        <v>3</v>
      </c>
      <c r="N38">
        <f t="shared" si="1"/>
        <v>1</v>
      </c>
      <c r="R38" s="4">
        <v>34600</v>
      </c>
      <c r="S38">
        <v>3</v>
      </c>
      <c r="T38">
        <f t="shared" si="2"/>
        <v>0</v>
      </c>
      <c r="X38" s="4">
        <v>34600</v>
      </c>
      <c r="Y38">
        <v>3</v>
      </c>
      <c r="Z38" s="3">
        <v>2</v>
      </c>
      <c r="AA38">
        <f t="shared" si="3"/>
        <v>1</v>
      </c>
      <c r="AB38" s="10">
        <f t="shared" si="4"/>
        <v>0</v>
      </c>
      <c r="AC38" s="10">
        <f t="shared" si="5"/>
        <v>0</v>
      </c>
      <c r="AD38" s="10">
        <f t="shared" si="6"/>
        <v>0</v>
      </c>
      <c r="AE38" s="10">
        <f t="shared" si="7"/>
        <v>0</v>
      </c>
      <c r="AP38" s="4">
        <v>34600</v>
      </c>
      <c r="AQ38">
        <v>3</v>
      </c>
      <c r="AR38">
        <f t="shared" si="0"/>
        <v>1</v>
      </c>
      <c r="AS38">
        <f t="shared" si="8"/>
        <v>3</v>
      </c>
      <c r="AU38" s="10"/>
      <c r="AV38" s="10"/>
      <c r="BH38">
        <v>37</v>
      </c>
      <c r="BI38" s="11">
        <f t="shared" si="9"/>
        <v>64114.489194834794</v>
      </c>
      <c r="BJ38" s="11">
        <f t="shared" si="10"/>
        <v>72126.374971369019</v>
      </c>
      <c r="BX38">
        <v>37</v>
      </c>
      <c r="BY38" s="11">
        <f t="shared" si="11"/>
        <v>44886.923598301619</v>
      </c>
      <c r="BZ38" s="11">
        <f t="shared" si="12"/>
        <v>86957.211356908083</v>
      </c>
    </row>
    <row r="39" spans="1:78" x14ac:dyDescent="0.35">
      <c r="A39" s="1">
        <v>38</v>
      </c>
      <c r="B39">
        <v>2</v>
      </c>
      <c r="C39">
        <v>1</v>
      </c>
      <c r="D39">
        <v>30</v>
      </c>
      <c r="E39" s="3">
        <v>4</v>
      </c>
      <c r="F39" s="3" t="s">
        <v>9</v>
      </c>
      <c r="G39" s="3" t="s">
        <v>11</v>
      </c>
      <c r="H39">
        <v>2</v>
      </c>
      <c r="I39" s="4">
        <v>28500</v>
      </c>
      <c r="J39" s="4"/>
      <c r="L39" s="4">
        <v>28500</v>
      </c>
      <c r="M39">
        <v>2</v>
      </c>
      <c r="N39">
        <f t="shared" si="1"/>
        <v>1</v>
      </c>
      <c r="R39" s="4">
        <v>28500</v>
      </c>
      <c r="S39">
        <v>2</v>
      </c>
      <c r="T39">
        <f t="shared" si="2"/>
        <v>0</v>
      </c>
      <c r="X39" s="4">
        <v>28500</v>
      </c>
      <c r="Y39">
        <v>2</v>
      </c>
      <c r="Z39" s="3">
        <v>4</v>
      </c>
      <c r="AA39">
        <f t="shared" si="3"/>
        <v>1</v>
      </c>
      <c r="AB39" s="10">
        <f t="shared" si="4"/>
        <v>0</v>
      </c>
      <c r="AC39" s="10">
        <f t="shared" si="5"/>
        <v>1</v>
      </c>
      <c r="AD39" s="10">
        <f t="shared" si="6"/>
        <v>0</v>
      </c>
      <c r="AE39" s="10">
        <f t="shared" si="7"/>
        <v>0</v>
      </c>
      <c r="AP39" s="4">
        <v>28500</v>
      </c>
      <c r="AQ39">
        <v>2</v>
      </c>
      <c r="AR39">
        <f t="shared" si="0"/>
        <v>1</v>
      </c>
      <c r="AS39">
        <f t="shared" si="8"/>
        <v>2</v>
      </c>
      <c r="AU39" s="10"/>
      <c r="AV39" s="10"/>
      <c r="BH39">
        <v>38</v>
      </c>
      <c r="BI39" s="11">
        <f t="shared" si="9"/>
        <v>65095.640142289049</v>
      </c>
      <c r="BJ39" s="11">
        <f t="shared" si="10"/>
        <v>73107.525918823289</v>
      </c>
      <c r="BX39">
        <v>38</v>
      </c>
      <c r="BY39" s="11">
        <f t="shared" si="11"/>
        <v>45166.886949112304</v>
      </c>
      <c r="BZ39" s="11">
        <f t="shared" si="12"/>
        <v>88484.973076295471</v>
      </c>
    </row>
    <row r="40" spans="1:78" x14ac:dyDescent="0.35">
      <c r="A40" s="1">
        <v>39</v>
      </c>
      <c r="B40">
        <v>1</v>
      </c>
      <c r="C40">
        <v>1</v>
      </c>
      <c r="D40">
        <v>40</v>
      </c>
      <c r="E40" s="3">
        <v>0</v>
      </c>
      <c r="F40" s="3" t="s">
        <v>9</v>
      </c>
      <c r="G40" s="3" t="s">
        <v>11</v>
      </c>
      <c r="H40">
        <v>11</v>
      </c>
      <c r="I40" s="4">
        <v>29500</v>
      </c>
      <c r="J40" s="4"/>
      <c r="L40" s="4">
        <v>29500</v>
      </c>
      <c r="M40">
        <v>11</v>
      </c>
      <c r="N40">
        <f t="shared" si="1"/>
        <v>1</v>
      </c>
      <c r="R40" s="4">
        <v>29500</v>
      </c>
      <c r="S40">
        <v>11</v>
      </c>
      <c r="T40">
        <f t="shared" si="2"/>
        <v>0</v>
      </c>
      <c r="X40" s="4">
        <v>29500</v>
      </c>
      <c r="Y40">
        <v>11</v>
      </c>
      <c r="Z40" s="3">
        <v>0</v>
      </c>
      <c r="AA40">
        <f t="shared" si="3"/>
        <v>1</v>
      </c>
      <c r="AB40" s="10">
        <f t="shared" si="4"/>
        <v>1</v>
      </c>
      <c r="AC40" s="10">
        <f t="shared" si="5"/>
        <v>0</v>
      </c>
      <c r="AD40" s="10">
        <f t="shared" si="6"/>
        <v>0</v>
      </c>
      <c r="AE40" s="10">
        <f t="shared" si="7"/>
        <v>0</v>
      </c>
      <c r="AP40" s="4">
        <v>29500</v>
      </c>
      <c r="AQ40">
        <v>11</v>
      </c>
      <c r="AR40">
        <f t="shared" si="0"/>
        <v>1</v>
      </c>
      <c r="AS40">
        <f t="shared" si="8"/>
        <v>11</v>
      </c>
      <c r="AU40" s="10"/>
      <c r="AV40" s="10"/>
      <c r="BH40">
        <v>39</v>
      </c>
      <c r="BI40" s="11">
        <f t="shared" si="9"/>
        <v>66076.791089743303</v>
      </c>
      <c r="BJ40" s="11">
        <f t="shared" si="10"/>
        <v>74088.676866277528</v>
      </c>
      <c r="BX40">
        <v>39</v>
      </c>
      <c r="BY40" s="11">
        <f t="shared" si="11"/>
        <v>45446.85029992299</v>
      </c>
      <c r="BZ40" s="11">
        <f t="shared" si="12"/>
        <v>90012.73479568286</v>
      </c>
    </row>
    <row r="41" spans="1:78" x14ac:dyDescent="0.35">
      <c r="A41" s="1">
        <v>40</v>
      </c>
      <c r="B41">
        <v>3</v>
      </c>
      <c r="C41">
        <v>1</v>
      </c>
      <c r="D41">
        <v>26</v>
      </c>
      <c r="E41" s="3">
        <v>2</v>
      </c>
      <c r="F41" s="3" t="s">
        <v>9</v>
      </c>
      <c r="G41" s="3" t="s">
        <v>10</v>
      </c>
      <c r="H41">
        <v>3</v>
      </c>
      <c r="I41" s="4">
        <v>30500</v>
      </c>
      <c r="J41" s="4"/>
      <c r="L41" s="4">
        <v>30500</v>
      </c>
      <c r="M41">
        <v>3</v>
      </c>
      <c r="N41">
        <f t="shared" si="1"/>
        <v>0</v>
      </c>
      <c r="R41" s="4">
        <v>30500</v>
      </c>
      <c r="S41">
        <v>3</v>
      </c>
      <c r="T41">
        <f t="shared" si="2"/>
        <v>1</v>
      </c>
      <c r="X41" s="4">
        <v>30500</v>
      </c>
      <c r="Y41">
        <v>3</v>
      </c>
      <c r="Z41" s="3">
        <v>2</v>
      </c>
      <c r="AA41">
        <f t="shared" si="3"/>
        <v>0</v>
      </c>
      <c r="AB41" s="10">
        <f t="shared" si="4"/>
        <v>0</v>
      </c>
      <c r="AC41" s="10">
        <f t="shared" si="5"/>
        <v>0</v>
      </c>
      <c r="AD41" s="10">
        <f t="shared" si="6"/>
        <v>0</v>
      </c>
      <c r="AE41" s="10">
        <f t="shared" si="7"/>
        <v>0</v>
      </c>
      <c r="AP41" s="4">
        <v>30500</v>
      </c>
      <c r="AQ41">
        <v>3</v>
      </c>
      <c r="AR41">
        <f t="shared" si="0"/>
        <v>0</v>
      </c>
      <c r="AS41">
        <f t="shared" si="8"/>
        <v>0</v>
      </c>
      <c r="AU41" s="10"/>
      <c r="AV41" s="10"/>
      <c r="BH41">
        <v>40</v>
      </c>
      <c r="BI41" s="11">
        <f t="shared" si="9"/>
        <v>67057.942037197558</v>
      </c>
      <c r="BJ41" s="11">
        <f t="shared" si="10"/>
        <v>75069.827813731783</v>
      </c>
      <c r="BX41">
        <v>40</v>
      </c>
      <c r="BY41" s="11">
        <f t="shared" si="11"/>
        <v>45726.813650733675</v>
      </c>
      <c r="BZ41" s="11">
        <f t="shared" si="12"/>
        <v>91540.496515070263</v>
      </c>
    </row>
    <row r="42" spans="1:78" x14ac:dyDescent="0.35">
      <c r="A42" s="1">
        <v>41</v>
      </c>
      <c r="B42">
        <v>3</v>
      </c>
      <c r="C42">
        <v>1</v>
      </c>
      <c r="D42">
        <v>32</v>
      </c>
      <c r="E42" s="3">
        <v>1</v>
      </c>
      <c r="F42" s="3" t="s">
        <v>9</v>
      </c>
      <c r="G42" s="3" t="s">
        <v>11</v>
      </c>
      <c r="H42">
        <v>5</v>
      </c>
      <c r="I42" s="4">
        <v>34200</v>
      </c>
      <c r="J42" s="4"/>
      <c r="L42" s="4">
        <v>34200</v>
      </c>
      <c r="M42">
        <v>5</v>
      </c>
      <c r="N42">
        <f t="shared" si="1"/>
        <v>1</v>
      </c>
      <c r="R42" s="4">
        <v>34200</v>
      </c>
      <c r="S42">
        <v>5</v>
      </c>
      <c r="T42">
        <f t="shared" si="2"/>
        <v>0</v>
      </c>
      <c r="X42" s="4">
        <v>34200</v>
      </c>
      <c r="Y42">
        <v>5</v>
      </c>
      <c r="Z42" s="3">
        <v>1</v>
      </c>
      <c r="AA42">
        <f t="shared" si="3"/>
        <v>1</v>
      </c>
      <c r="AB42" s="10">
        <f t="shared" si="4"/>
        <v>0</v>
      </c>
      <c r="AC42" s="10">
        <f t="shared" si="5"/>
        <v>0</v>
      </c>
      <c r="AD42" s="10">
        <f t="shared" si="6"/>
        <v>0</v>
      </c>
      <c r="AE42" s="10">
        <f t="shared" si="7"/>
        <v>0</v>
      </c>
      <c r="AP42" s="4">
        <v>34200</v>
      </c>
      <c r="AQ42">
        <v>5</v>
      </c>
      <c r="AR42">
        <f t="shared" si="0"/>
        <v>1</v>
      </c>
      <c r="AS42">
        <f t="shared" si="8"/>
        <v>5</v>
      </c>
      <c r="AU42" s="10"/>
      <c r="AV42" s="10"/>
    </row>
    <row r="43" spans="1:78" x14ac:dyDescent="0.35">
      <c r="A43" s="1">
        <v>42</v>
      </c>
      <c r="B43">
        <v>1</v>
      </c>
      <c r="C43">
        <v>1</v>
      </c>
      <c r="D43">
        <v>51</v>
      </c>
      <c r="E43" s="3">
        <v>0</v>
      </c>
      <c r="F43" s="3" t="s">
        <v>9</v>
      </c>
      <c r="G43" s="3" t="s">
        <v>11</v>
      </c>
      <c r="H43">
        <v>15</v>
      </c>
      <c r="I43" s="4">
        <v>43600</v>
      </c>
      <c r="J43" s="4"/>
      <c r="L43" s="4">
        <v>43600</v>
      </c>
      <c r="M43">
        <v>15</v>
      </c>
      <c r="N43">
        <f t="shared" si="1"/>
        <v>1</v>
      </c>
      <c r="R43" s="4">
        <v>43600</v>
      </c>
      <c r="S43">
        <v>15</v>
      </c>
      <c r="T43">
        <f t="shared" si="2"/>
        <v>0</v>
      </c>
      <c r="X43" s="4">
        <v>43600</v>
      </c>
      <c r="Y43">
        <v>15</v>
      </c>
      <c r="Z43" s="3">
        <v>0</v>
      </c>
      <c r="AA43">
        <f t="shared" si="3"/>
        <v>1</v>
      </c>
      <c r="AB43" s="10">
        <f t="shared" si="4"/>
        <v>1</v>
      </c>
      <c r="AC43" s="10">
        <f t="shared" si="5"/>
        <v>0</v>
      </c>
      <c r="AD43" s="10">
        <f t="shared" si="6"/>
        <v>0</v>
      </c>
      <c r="AE43" s="10">
        <f t="shared" si="7"/>
        <v>0</v>
      </c>
      <c r="AP43" s="4">
        <v>43600</v>
      </c>
      <c r="AQ43">
        <v>15</v>
      </c>
      <c r="AR43">
        <f t="shared" si="0"/>
        <v>1</v>
      </c>
      <c r="AS43">
        <f t="shared" si="8"/>
        <v>15</v>
      </c>
      <c r="AU43" s="10"/>
      <c r="AV43" s="10"/>
    </row>
    <row r="44" spans="1:78" x14ac:dyDescent="0.35">
      <c r="A44" s="1">
        <v>43</v>
      </c>
      <c r="B44">
        <v>5</v>
      </c>
      <c r="C44">
        <v>1</v>
      </c>
      <c r="D44">
        <v>35</v>
      </c>
      <c r="E44" s="3">
        <v>0</v>
      </c>
      <c r="F44" s="3" t="s">
        <v>12</v>
      </c>
      <c r="G44" s="3" t="s">
        <v>11</v>
      </c>
      <c r="H44">
        <v>7</v>
      </c>
      <c r="I44" s="4">
        <v>33500</v>
      </c>
      <c r="J44" s="4"/>
      <c r="L44" s="4">
        <v>33500</v>
      </c>
      <c r="M44">
        <v>7</v>
      </c>
      <c r="N44">
        <f t="shared" si="1"/>
        <v>1</v>
      </c>
      <c r="R44" s="4">
        <v>33500</v>
      </c>
      <c r="S44">
        <v>7</v>
      </c>
      <c r="T44">
        <f t="shared" si="2"/>
        <v>0</v>
      </c>
      <c r="X44" s="4">
        <v>33500</v>
      </c>
      <c r="Y44">
        <v>7</v>
      </c>
      <c r="Z44" s="3">
        <v>0</v>
      </c>
      <c r="AA44">
        <f t="shared" si="3"/>
        <v>1</v>
      </c>
      <c r="AB44" s="10">
        <f t="shared" si="4"/>
        <v>0</v>
      </c>
      <c r="AC44" s="10">
        <f t="shared" si="5"/>
        <v>0</v>
      </c>
      <c r="AD44" s="10">
        <f t="shared" si="6"/>
        <v>0</v>
      </c>
      <c r="AE44" s="10">
        <f t="shared" si="7"/>
        <v>1</v>
      </c>
      <c r="AP44" s="4">
        <v>33500</v>
      </c>
      <c r="AQ44">
        <v>7</v>
      </c>
      <c r="AR44">
        <f t="shared" si="0"/>
        <v>1</v>
      </c>
      <c r="AS44">
        <f t="shared" si="8"/>
        <v>7</v>
      </c>
      <c r="AU44" s="10"/>
      <c r="AV44" s="10"/>
    </row>
    <row r="45" spans="1:78" x14ac:dyDescent="0.35">
      <c r="A45" s="1">
        <v>44</v>
      </c>
      <c r="B45">
        <v>3</v>
      </c>
      <c r="C45">
        <v>1</v>
      </c>
      <c r="D45">
        <v>37</v>
      </c>
      <c r="E45" s="3">
        <v>1</v>
      </c>
      <c r="F45" s="3" t="s">
        <v>9</v>
      </c>
      <c r="G45" s="3" t="s">
        <v>11</v>
      </c>
      <c r="H45">
        <v>12</v>
      </c>
      <c r="I45" s="4">
        <v>33000</v>
      </c>
      <c r="J45" s="4"/>
      <c r="L45" s="4">
        <v>33000</v>
      </c>
      <c r="M45">
        <v>12</v>
      </c>
      <c r="N45">
        <f t="shared" si="1"/>
        <v>1</v>
      </c>
      <c r="R45" s="4">
        <v>33000</v>
      </c>
      <c r="S45">
        <v>12</v>
      </c>
      <c r="T45">
        <f t="shared" si="2"/>
        <v>0</v>
      </c>
      <c r="X45" s="4">
        <v>33000</v>
      </c>
      <c r="Y45">
        <v>12</v>
      </c>
      <c r="Z45" s="3">
        <v>1</v>
      </c>
      <c r="AA45">
        <f t="shared" si="3"/>
        <v>1</v>
      </c>
      <c r="AB45" s="10">
        <f t="shared" si="4"/>
        <v>0</v>
      </c>
      <c r="AC45" s="10">
        <f t="shared" si="5"/>
        <v>0</v>
      </c>
      <c r="AD45" s="10">
        <f t="shared" si="6"/>
        <v>0</v>
      </c>
      <c r="AE45" s="10">
        <f t="shared" si="7"/>
        <v>0</v>
      </c>
      <c r="AP45" s="4">
        <v>33000</v>
      </c>
      <c r="AQ45">
        <v>12</v>
      </c>
      <c r="AR45">
        <f t="shared" si="0"/>
        <v>1</v>
      </c>
      <c r="AS45">
        <f t="shared" si="8"/>
        <v>12</v>
      </c>
      <c r="AU45" s="10"/>
      <c r="AV45" s="10"/>
    </row>
    <row r="46" spans="1:78" x14ac:dyDescent="0.35">
      <c r="A46" s="1">
        <v>45</v>
      </c>
      <c r="B46">
        <v>1</v>
      </c>
      <c r="C46">
        <v>1</v>
      </c>
      <c r="D46">
        <v>44</v>
      </c>
      <c r="E46" s="3">
        <v>0</v>
      </c>
      <c r="F46" s="3" t="s">
        <v>9</v>
      </c>
      <c r="G46" s="3" t="s">
        <v>11</v>
      </c>
      <c r="H46">
        <v>18</v>
      </c>
      <c r="I46" s="4">
        <v>45300</v>
      </c>
      <c r="J46" s="4"/>
      <c r="L46" s="4">
        <v>45300</v>
      </c>
      <c r="M46">
        <v>18</v>
      </c>
      <c r="N46">
        <f t="shared" si="1"/>
        <v>1</v>
      </c>
      <c r="R46" s="4">
        <v>45300</v>
      </c>
      <c r="S46">
        <v>18</v>
      </c>
      <c r="T46">
        <f t="shared" si="2"/>
        <v>0</v>
      </c>
      <c r="X46" s="4">
        <v>45300</v>
      </c>
      <c r="Y46">
        <v>18</v>
      </c>
      <c r="Z46" s="3">
        <v>0</v>
      </c>
      <c r="AA46">
        <f t="shared" si="3"/>
        <v>1</v>
      </c>
      <c r="AB46" s="10">
        <f t="shared" si="4"/>
        <v>1</v>
      </c>
      <c r="AC46" s="10">
        <f t="shared" si="5"/>
        <v>0</v>
      </c>
      <c r="AD46" s="10">
        <f t="shared" si="6"/>
        <v>0</v>
      </c>
      <c r="AE46" s="10">
        <f t="shared" si="7"/>
        <v>0</v>
      </c>
      <c r="AP46" s="4">
        <v>45300</v>
      </c>
      <c r="AQ46">
        <v>18</v>
      </c>
      <c r="AR46">
        <f t="shared" si="0"/>
        <v>1</v>
      </c>
      <c r="AS46">
        <f t="shared" si="8"/>
        <v>18</v>
      </c>
      <c r="AU46" s="10"/>
      <c r="AV46" s="10"/>
    </row>
    <row r="47" spans="1:78" x14ac:dyDescent="0.35">
      <c r="A47" s="1">
        <v>46</v>
      </c>
      <c r="B47">
        <v>1</v>
      </c>
      <c r="C47">
        <v>1</v>
      </c>
      <c r="D47">
        <v>53</v>
      </c>
      <c r="E47" s="3">
        <v>3</v>
      </c>
      <c r="F47" s="3" t="s">
        <v>9</v>
      </c>
      <c r="G47" s="3" t="s">
        <v>10</v>
      </c>
      <c r="H47">
        <v>17</v>
      </c>
      <c r="I47" s="4">
        <v>38800</v>
      </c>
      <c r="J47" s="4"/>
      <c r="L47" s="4">
        <v>38800</v>
      </c>
      <c r="M47">
        <v>17</v>
      </c>
      <c r="N47">
        <f t="shared" si="1"/>
        <v>0</v>
      </c>
      <c r="R47" s="4">
        <v>38800</v>
      </c>
      <c r="S47">
        <v>17</v>
      </c>
      <c r="T47">
        <f t="shared" si="2"/>
        <v>1</v>
      </c>
      <c r="X47" s="4">
        <v>38800</v>
      </c>
      <c r="Y47">
        <v>17</v>
      </c>
      <c r="Z47" s="3">
        <v>3</v>
      </c>
      <c r="AA47">
        <f t="shared" si="3"/>
        <v>0</v>
      </c>
      <c r="AB47" s="10">
        <f t="shared" si="4"/>
        <v>1</v>
      </c>
      <c r="AC47" s="10">
        <f t="shared" si="5"/>
        <v>0</v>
      </c>
      <c r="AD47" s="10">
        <f t="shared" si="6"/>
        <v>0</v>
      </c>
      <c r="AE47" s="10">
        <f t="shared" si="7"/>
        <v>0</v>
      </c>
      <c r="AP47" s="4">
        <v>38800</v>
      </c>
      <c r="AQ47">
        <v>17</v>
      </c>
      <c r="AR47">
        <f t="shared" si="0"/>
        <v>0</v>
      </c>
      <c r="AS47">
        <f t="shared" si="8"/>
        <v>0</v>
      </c>
      <c r="AU47" s="10"/>
      <c r="AV47" s="10"/>
    </row>
    <row r="48" spans="1:78" x14ac:dyDescent="0.35">
      <c r="A48" s="1">
        <v>47</v>
      </c>
      <c r="B48">
        <v>1</v>
      </c>
      <c r="C48">
        <v>1</v>
      </c>
      <c r="D48">
        <v>40</v>
      </c>
      <c r="E48" s="3">
        <v>0</v>
      </c>
      <c r="F48" s="3" t="s">
        <v>9</v>
      </c>
      <c r="G48" s="3" t="s">
        <v>11</v>
      </c>
      <c r="H48">
        <v>10</v>
      </c>
      <c r="I48" s="4">
        <v>29900</v>
      </c>
      <c r="J48" s="4"/>
      <c r="L48" s="4">
        <v>29900</v>
      </c>
      <c r="M48">
        <v>10</v>
      </c>
      <c r="N48">
        <f t="shared" si="1"/>
        <v>1</v>
      </c>
      <c r="R48" s="4">
        <v>29900</v>
      </c>
      <c r="S48">
        <v>10</v>
      </c>
      <c r="T48">
        <f t="shared" si="2"/>
        <v>0</v>
      </c>
      <c r="X48" s="4">
        <v>29900</v>
      </c>
      <c r="Y48">
        <v>10</v>
      </c>
      <c r="Z48" s="3">
        <v>0</v>
      </c>
      <c r="AA48">
        <f t="shared" si="3"/>
        <v>1</v>
      </c>
      <c r="AB48" s="10">
        <f t="shared" si="4"/>
        <v>1</v>
      </c>
      <c r="AC48" s="10">
        <f t="shared" si="5"/>
        <v>0</v>
      </c>
      <c r="AD48" s="10">
        <f t="shared" si="6"/>
        <v>0</v>
      </c>
      <c r="AE48" s="10">
        <f t="shared" si="7"/>
        <v>0</v>
      </c>
      <c r="AP48" s="4">
        <v>29900</v>
      </c>
      <c r="AQ48">
        <v>10</v>
      </c>
      <c r="AR48">
        <f t="shared" si="0"/>
        <v>1</v>
      </c>
      <c r="AS48">
        <f t="shared" si="8"/>
        <v>10</v>
      </c>
      <c r="AU48" s="10"/>
      <c r="AV48" s="10"/>
    </row>
    <row r="49" spans="1:48" x14ac:dyDescent="0.35">
      <c r="A49" s="1">
        <v>48</v>
      </c>
      <c r="B49">
        <v>3</v>
      </c>
      <c r="C49">
        <v>1</v>
      </c>
      <c r="D49">
        <v>51</v>
      </c>
      <c r="E49" s="3">
        <v>10</v>
      </c>
      <c r="F49" s="3" t="s">
        <v>9</v>
      </c>
      <c r="G49" s="3" t="s">
        <v>10</v>
      </c>
      <c r="H49">
        <v>5</v>
      </c>
      <c r="I49" s="4">
        <v>31200</v>
      </c>
      <c r="J49" s="4"/>
      <c r="L49" s="4">
        <v>31200</v>
      </c>
      <c r="M49">
        <v>5</v>
      </c>
      <c r="N49">
        <f t="shared" si="1"/>
        <v>0</v>
      </c>
      <c r="R49" s="4">
        <v>31200</v>
      </c>
      <c r="S49">
        <v>5</v>
      </c>
      <c r="T49">
        <f t="shared" si="2"/>
        <v>1</v>
      </c>
      <c r="X49" s="4">
        <v>31200</v>
      </c>
      <c r="Y49">
        <v>5</v>
      </c>
      <c r="Z49" s="3">
        <v>10</v>
      </c>
      <c r="AA49">
        <f t="shared" si="3"/>
        <v>0</v>
      </c>
      <c r="AB49" s="10">
        <f t="shared" si="4"/>
        <v>0</v>
      </c>
      <c r="AC49" s="10">
        <f t="shared" si="5"/>
        <v>0</v>
      </c>
      <c r="AD49" s="10">
        <f t="shared" si="6"/>
        <v>0</v>
      </c>
      <c r="AE49" s="10">
        <f t="shared" si="7"/>
        <v>0</v>
      </c>
      <c r="AP49" s="4">
        <v>31200</v>
      </c>
      <c r="AQ49">
        <v>5</v>
      </c>
      <c r="AR49">
        <f t="shared" si="0"/>
        <v>0</v>
      </c>
      <c r="AS49">
        <f t="shared" si="8"/>
        <v>0</v>
      </c>
      <c r="AU49" s="10"/>
      <c r="AV49" s="10"/>
    </row>
    <row r="50" spans="1:48" x14ac:dyDescent="0.35">
      <c r="A50" s="1">
        <v>49</v>
      </c>
      <c r="B50">
        <v>1</v>
      </c>
      <c r="C50">
        <v>1</v>
      </c>
      <c r="D50">
        <v>42</v>
      </c>
      <c r="E50" s="3">
        <v>0</v>
      </c>
      <c r="F50" s="3" t="s">
        <v>9</v>
      </c>
      <c r="G50" s="3" t="s">
        <v>11</v>
      </c>
      <c r="H50">
        <v>15</v>
      </c>
      <c r="I50" s="4">
        <v>34000</v>
      </c>
      <c r="J50" s="4"/>
      <c r="L50" s="4">
        <v>34000</v>
      </c>
      <c r="M50">
        <v>15</v>
      </c>
      <c r="N50">
        <f t="shared" si="1"/>
        <v>1</v>
      </c>
      <c r="R50" s="4">
        <v>34000</v>
      </c>
      <c r="S50">
        <v>15</v>
      </c>
      <c r="T50">
        <f t="shared" si="2"/>
        <v>0</v>
      </c>
      <c r="X50" s="4">
        <v>34000</v>
      </c>
      <c r="Y50">
        <v>15</v>
      </c>
      <c r="Z50" s="3">
        <v>0</v>
      </c>
      <c r="AA50">
        <f t="shared" si="3"/>
        <v>1</v>
      </c>
      <c r="AB50" s="10">
        <f t="shared" si="4"/>
        <v>1</v>
      </c>
      <c r="AC50" s="10">
        <f t="shared" si="5"/>
        <v>0</v>
      </c>
      <c r="AD50" s="10">
        <f t="shared" si="6"/>
        <v>0</v>
      </c>
      <c r="AE50" s="10">
        <f t="shared" si="7"/>
        <v>0</v>
      </c>
      <c r="AP50" s="4">
        <v>34000</v>
      </c>
      <c r="AQ50">
        <v>15</v>
      </c>
      <c r="AR50">
        <f t="shared" si="0"/>
        <v>1</v>
      </c>
      <c r="AS50">
        <f t="shared" si="8"/>
        <v>15</v>
      </c>
      <c r="AU50" s="10"/>
      <c r="AV50" s="10"/>
    </row>
    <row r="51" spans="1:48" x14ac:dyDescent="0.35">
      <c r="A51" s="1">
        <v>50</v>
      </c>
      <c r="B51">
        <v>2</v>
      </c>
      <c r="C51">
        <v>1</v>
      </c>
      <c r="D51">
        <v>53</v>
      </c>
      <c r="E51" s="3">
        <v>0</v>
      </c>
      <c r="F51" s="3" t="s">
        <v>9</v>
      </c>
      <c r="G51" s="3" t="s">
        <v>11</v>
      </c>
      <c r="H51">
        <v>2</v>
      </c>
      <c r="I51" s="4">
        <v>30450</v>
      </c>
      <c r="J51" s="4"/>
      <c r="L51" s="4">
        <v>30450</v>
      </c>
      <c r="M51">
        <v>2</v>
      </c>
      <c r="N51">
        <f t="shared" si="1"/>
        <v>1</v>
      </c>
      <c r="R51" s="4">
        <v>30450</v>
      </c>
      <c r="S51">
        <v>2</v>
      </c>
      <c r="T51">
        <f t="shared" si="2"/>
        <v>0</v>
      </c>
      <c r="X51" s="4">
        <v>30450</v>
      </c>
      <c r="Y51">
        <v>2</v>
      </c>
      <c r="Z51" s="3">
        <v>0</v>
      </c>
      <c r="AA51">
        <f t="shared" si="3"/>
        <v>1</v>
      </c>
      <c r="AB51" s="10">
        <f t="shared" si="4"/>
        <v>0</v>
      </c>
      <c r="AC51" s="10">
        <f t="shared" si="5"/>
        <v>1</v>
      </c>
      <c r="AD51" s="10">
        <f t="shared" si="6"/>
        <v>0</v>
      </c>
      <c r="AE51" s="10">
        <f t="shared" si="7"/>
        <v>0</v>
      </c>
      <c r="AP51" s="4">
        <v>30450</v>
      </c>
      <c r="AQ51">
        <v>2</v>
      </c>
      <c r="AR51">
        <f t="shared" si="0"/>
        <v>1</v>
      </c>
      <c r="AS51">
        <f t="shared" si="8"/>
        <v>2</v>
      </c>
      <c r="AU51" s="10"/>
      <c r="AV51" s="10"/>
    </row>
    <row r="52" spans="1:48" x14ac:dyDescent="0.35">
      <c r="A52" s="1">
        <v>51</v>
      </c>
      <c r="B52">
        <v>1</v>
      </c>
      <c r="C52">
        <v>1</v>
      </c>
      <c r="D52">
        <v>58</v>
      </c>
      <c r="E52" s="3">
        <v>3</v>
      </c>
      <c r="F52" s="3" t="s">
        <v>9</v>
      </c>
      <c r="G52" s="3" t="s">
        <v>10</v>
      </c>
      <c r="H52">
        <v>3</v>
      </c>
      <c r="I52" s="4">
        <v>35500</v>
      </c>
      <c r="J52" s="4"/>
      <c r="L52" s="4">
        <v>35500</v>
      </c>
      <c r="M52">
        <v>3</v>
      </c>
      <c r="N52">
        <f t="shared" si="1"/>
        <v>0</v>
      </c>
      <c r="R52" s="4">
        <v>35500</v>
      </c>
      <c r="S52">
        <v>3</v>
      </c>
      <c r="T52">
        <f t="shared" si="2"/>
        <v>1</v>
      </c>
      <c r="X52" s="4">
        <v>35500</v>
      </c>
      <c r="Y52">
        <v>3</v>
      </c>
      <c r="Z52" s="3">
        <v>3</v>
      </c>
      <c r="AA52">
        <f t="shared" si="3"/>
        <v>0</v>
      </c>
      <c r="AB52" s="10">
        <f t="shared" si="4"/>
        <v>1</v>
      </c>
      <c r="AC52" s="10">
        <f t="shared" si="5"/>
        <v>0</v>
      </c>
      <c r="AD52" s="10">
        <f t="shared" si="6"/>
        <v>0</v>
      </c>
      <c r="AE52" s="10">
        <f t="shared" si="7"/>
        <v>0</v>
      </c>
      <c r="AP52" s="4">
        <v>35500</v>
      </c>
      <c r="AQ52">
        <v>3</v>
      </c>
      <c r="AR52">
        <f t="shared" si="0"/>
        <v>0</v>
      </c>
      <c r="AS52">
        <f t="shared" si="8"/>
        <v>0</v>
      </c>
      <c r="AU52" s="10"/>
      <c r="AV52" s="10"/>
    </row>
    <row r="53" spans="1:48" x14ac:dyDescent="0.35">
      <c r="A53" s="1">
        <v>52</v>
      </c>
      <c r="B53">
        <v>1</v>
      </c>
      <c r="C53">
        <v>1</v>
      </c>
      <c r="D53">
        <v>44</v>
      </c>
      <c r="E53" s="3">
        <v>10</v>
      </c>
      <c r="F53" s="3" t="s">
        <v>12</v>
      </c>
      <c r="G53" s="3" t="s">
        <v>11</v>
      </c>
      <c r="H53">
        <v>4</v>
      </c>
      <c r="I53" s="4">
        <v>34000</v>
      </c>
      <c r="J53" s="4"/>
      <c r="L53" s="4">
        <v>34000</v>
      </c>
      <c r="M53">
        <v>4</v>
      </c>
      <c r="N53">
        <f t="shared" si="1"/>
        <v>1</v>
      </c>
      <c r="R53" s="4">
        <v>34000</v>
      </c>
      <c r="S53">
        <v>4</v>
      </c>
      <c r="T53">
        <f t="shared" si="2"/>
        <v>0</v>
      </c>
      <c r="X53" s="4">
        <v>34000</v>
      </c>
      <c r="Y53">
        <v>4</v>
      </c>
      <c r="Z53" s="3">
        <v>10</v>
      </c>
      <c r="AA53">
        <f t="shared" si="3"/>
        <v>1</v>
      </c>
      <c r="AB53" s="10">
        <f t="shared" si="4"/>
        <v>1</v>
      </c>
      <c r="AC53" s="10">
        <f t="shared" si="5"/>
        <v>0</v>
      </c>
      <c r="AD53" s="10">
        <f t="shared" si="6"/>
        <v>0</v>
      </c>
      <c r="AE53" s="10">
        <f t="shared" si="7"/>
        <v>0</v>
      </c>
      <c r="AP53" s="4">
        <v>34000</v>
      </c>
      <c r="AQ53">
        <v>4</v>
      </c>
      <c r="AR53">
        <f t="shared" si="0"/>
        <v>1</v>
      </c>
      <c r="AS53">
        <f t="shared" si="8"/>
        <v>4</v>
      </c>
      <c r="AU53" s="10"/>
      <c r="AV53" s="10"/>
    </row>
    <row r="54" spans="1:48" x14ac:dyDescent="0.35">
      <c r="A54" s="1">
        <v>53</v>
      </c>
      <c r="B54">
        <v>2</v>
      </c>
      <c r="C54">
        <v>1</v>
      </c>
      <c r="D54">
        <v>31</v>
      </c>
      <c r="E54" s="3">
        <v>0</v>
      </c>
      <c r="F54" s="3" t="s">
        <v>9</v>
      </c>
      <c r="G54" s="3" t="s">
        <v>11</v>
      </c>
      <c r="H54">
        <v>7</v>
      </c>
      <c r="I54" s="4">
        <v>29100</v>
      </c>
      <c r="J54" s="4"/>
      <c r="L54" s="4">
        <v>29100</v>
      </c>
      <c r="M54">
        <v>7</v>
      </c>
      <c r="N54">
        <f t="shared" si="1"/>
        <v>1</v>
      </c>
      <c r="R54" s="4">
        <v>29100</v>
      </c>
      <c r="S54">
        <v>7</v>
      </c>
      <c r="T54">
        <f t="shared" si="2"/>
        <v>0</v>
      </c>
      <c r="X54" s="4">
        <v>29100</v>
      </c>
      <c r="Y54">
        <v>7</v>
      </c>
      <c r="Z54" s="3">
        <v>0</v>
      </c>
      <c r="AA54">
        <f t="shared" si="3"/>
        <v>1</v>
      </c>
      <c r="AB54" s="10">
        <f t="shared" si="4"/>
        <v>0</v>
      </c>
      <c r="AC54" s="10">
        <f t="shared" si="5"/>
        <v>1</v>
      </c>
      <c r="AD54" s="10">
        <f t="shared" si="6"/>
        <v>0</v>
      </c>
      <c r="AE54" s="10">
        <f t="shared" si="7"/>
        <v>0</v>
      </c>
      <c r="AP54" s="4">
        <v>29100</v>
      </c>
      <c r="AQ54">
        <v>7</v>
      </c>
      <c r="AR54">
        <f t="shared" si="0"/>
        <v>1</v>
      </c>
      <c r="AS54">
        <f t="shared" si="8"/>
        <v>7</v>
      </c>
      <c r="AU54" s="10"/>
      <c r="AV54" s="10"/>
    </row>
    <row r="55" spans="1:48" x14ac:dyDescent="0.35">
      <c r="A55" s="1">
        <v>54</v>
      </c>
      <c r="B55">
        <v>1</v>
      </c>
      <c r="C55">
        <v>1</v>
      </c>
      <c r="D55">
        <v>64</v>
      </c>
      <c r="E55" s="3">
        <v>0</v>
      </c>
      <c r="F55" s="3" t="s">
        <v>9</v>
      </c>
      <c r="G55" s="3" t="s">
        <v>11</v>
      </c>
      <c r="H55">
        <v>8</v>
      </c>
      <c r="I55" s="4">
        <v>29650</v>
      </c>
      <c r="J55" s="4"/>
      <c r="L55" s="4">
        <v>29650</v>
      </c>
      <c r="M55">
        <v>8</v>
      </c>
      <c r="N55">
        <f t="shared" si="1"/>
        <v>1</v>
      </c>
      <c r="R55" s="4">
        <v>29650</v>
      </c>
      <c r="S55">
        <v>8</v>
      </c>
      <c r="T55">
        <f t="shared" si="2"/>
        <v>0</v>
      </c>
      <c r="X55" s="4">
        <v>29650</v>
      </c>
      <c r="Y55">
        <v>8</v>
      </c>
      <c r="Z55" s="3">
        <v>0</v>
      </c>
      <c r="AA55">
        <f t="shared" si="3"/>
        <v>1</v>
      </c>
      <c r="AB55" s="10">
        <f t="shared" si="4"/>
        <v>1</v>
      </c>
      <c r="AC55" s="10">
        <f t="shared" si="5"/>
        <v>0</v>
      </c>
      <c r="AD55" s="10">
        <f t="shared" si="6"/>
        <v>0</v>
      </c>
      <c r="AE55" s="10">
        <f t="shared" si="7"/>
        <v>0</v>
      </c>
      <c r="AP55" s="4">
        <v>29650</v>
      </c>
      <c r="AQ55">
        <v>8</v>
      </c>
      <c r="AR55">
        <f t="shared" si="0"/>
        <v>1</v>
      </c>
      <c r="AS55">
        <f t="shared" si="8"/>
        <v>8</v>
      </c>
      <c r="AU55" s="10"/>
      <c r="AV55" s="10"/>
    </row>
    <row r="56" spans="1:48" x14ac:dyDescent="0.35">
      <c r="A56" s="1">
        <v>55</v>
      </c>
      <c r="B56">
        <v>3</v>
      </c>
      <c r="C56">
        <v>1</v>
      </c>
      <c r="D56">
        <v>47</v>
      </c>
      <c r="E56" s="3">
        <v>1</v>
      </c>
      <c r="F56" s="3" t="s">
        <v>9</v>
      </c>
      <c r="G56" s="3" t="s">
        <v>11</v>
      </c>
      <c r="H56">
        <v>15</v>
      </c>
      <c r="I56" s="4">
        <v>29200</v>
      </c>
      <c r="J56" s="4"/>
      <c r="L56" s="4">
        <v>29200</v>
      </c>
      <c r="M56">
        <v>15</v>
      </c>
      <c r="N56">
        <f t="shared" si="1"/>
        <v>1</v>
      </c>
      <c r="R56" s="4">
        <v>29200</v>
      </c>
      <c r="S56">
        <v>15</v>
      </c>
      <c r="T56">
        <f t="shared" si="2"/>
        <v>0</v>
      </c>
      <c r="X56" s="4">
        <v>29200</v>
      </c>
      <c r="Y56">
        <v>15</v>
      </c>
      <c r="Z56" s="3">
        <v>1</v>
      </c>
      <c r="AA56">
        <f t="shared" si="3"/>
        <v>1</v>
      </c>
      <c r="AB56" s="10">
        <f t="shared" si="4"/>
        <v>0</v>
      </c>
      <c r="AC56" s="10">
        <f t="shared" si="5"/>
        <v>0</v>
      </c>
      <c r="AD56" s="10">
        <f t="shared" si="6"/>
        <v>0</v>
      </c>
      <c r="AE56" s="10">
        <f t="shared" si="7"/>
        <v>0</v>
      </c>
      <c r="AP56" s="4">
        <v>29200</v>
      </c>
      <c r="AQ56">
        <v>15</v>
      </c>
      <c r="AR56">
        <f t="shared" si="0"/>
        <v>1</v>
      </c>
      <c r="AS56">
        <f t="shared" si="8"/>
        <v>15</v>
      </c>
      <c r="AU56" s="10"/>
      <c r="AV56" s="10"/>
    </row>
    <row r="57" spans="1:48" x14ac:dyDescent="0.35">
      <c r="A57" s="1">
        <v>56</v>
      </c>
      <c r="B57">
        <v>3</v>
      </c>
      <c r="C57">
        <v>1</v>
      </c>
      <c r="D57">
        <v>37</v>
      </c>
      <c r="E57" s="3">
        <v>0</v>
      </c>
      <c r="F57" s="3" t="s">
        <v>12</v>
      </c>
      <c r="G57" s="3" t="s">
        <v>11</v>
      </c>
      <c r="H57">
        <v>9</v>
      </c>
      <c r="I57" s="4">
        <v>29800</v>
      </c>
      <c r="J57" s="4"/>
      <c r="L57" s="4">
        <v>29800</v>
      </c>
      <c r="M57">
        <v>9</v>
      </c>
      <c r="N57">
        <f t="shared" si="1"/>
        <v>1</v>
      </c>
      <c r="R57" s="4">
        <v>29800</v>
      </c>
      <c r="S57">
        <v>9</v>
      </c>
      <c r="T57">
        <f t="shared" si="2"/>
        <v>0</v>
      </c>
      <c r="X57" s="4">
        <v>29800</v>
      </c>
      <c r="Y57">
        <v>9</v>
      </c>
      <c r="Z57" s="3">
        <v>0</v>
      </c>
      <c r="AA57">
        <f t="shared" si="3"/>
        <v>1</v>
      </c>
      <c r="AB57" s="10">
        <f t="shared" si="4"/>
        <v>0</v>
      </c>
      <c r="AC57" s="10">
        <f t="shared" si="5"/>
        <v>0</v>
      </c>
      <c r="AD57" s="10">
        <f t="shared" si="6"/>
        <v>0</v>
      </c>
      <c r="AE57" s="10">
        <f t="shared" si="7"/>
        <v>0</v>
      </c>
      <c r="AP57" s="4">
        <v>29800</v>
      </c>
      <c r="AQ57">
        <v>9</v>
      </c>
      <c r="AR57">
        <f t="shared" si="0"/>
        <v>1</v>
      </c>
      <c r="AS57">
        <f t="shared" si="8"/>
        <v>9</v>
      </c>
      <c r="AU57" s="10"/>
      <c r="AV57" s="10"/>
    </row>
    <row r="58" spans="1:48" x14ac:dyDescent="0.35">
      <c r="A58" s="1">
        <v>57</v>
      </c>
      <c r="B58">
        <v>2</v>
      </c>
      <c r="C58">
        <v>1</v>
      </c>
      <c r="D58">
        <v>46</v>
      </c>
      <c r="E58" s="3">
        <v>0</v>
      </c>
      <c r="F58" s="3" t="s">
        <v>9</v>
      </c>
      <c r="G58" s="3" t="s">
        <v>11</v>
      </c>
      <c r="H58">
        <v>16</v>
      </c>
      <c r="I58" s="4">
        <v>33500</v>
      </c>
      <c r="J58" s="4"/>
      <c r="L58" s="4">
        <v>33500</v>
      </c>
      <c r="M58">
        <v>16</v>
      </c>
      <c r="N58">
        <f t="shared" si="1"/>
        <v>1</v>
      </c>
      <c r="R58" s="4">
        <v>33500</v>
      </c>
      <c r="S58">
        <v>16</v>
      </c>
      <c r="T58">
        <f t="shared" si="2"/>
        <v>0</v>
      </c>
      <c r="X58" s="4">
        <v>33500</v>
      </c>
      <c r="Y58">
        <v>16</v>
      </c>
      <c r="Z58" s="3">
        <v>0</v>
      </c>
      <c r="AA58">
        <f t="shared" si="3"/>
        <v>1</v>
      </c>
      <c r="AB58" s="10">
        <f t="shared" si="4"/>
        <v>0</v>
      </c>
      <c r="AC58" s="10">
        <f t="shared" si="5"/>
        <v>1</v>
      </c>
      <c r="AD58" s="10">
        <f t="shared" si="6"/>
        <v>0</v>
      </c>
      <c r="AE58" s="10">
        <f t="shared" si="7"/>
        <v>0</v>
      </c>
      <c r="AP58" s="4">
        <v>33500</v>
      </c>
      <c r="AQ58">
        <v>16</v>
      </c>
      <c r="AR58">
        <f t="shared" si="0"/>
        <v>1</v>
      </c>
      <c r="AS58">
        <f t="shared" si="8"/>
        <v>16</v>
      </c>
      <c r="AU58" s="10"/>
      <c r="AV58" s="10"/>
    </row>
    <row r="59" spans="1:48" x14ac:dyDescent="0.35">
      <c r="A59" s="1">
        <v>58</v>
      </c>
      <c r="B59">
        <v>1</v>
      </c>
      <c r="C59">
        <v>1</v>
      </c>
      <c r="D59">
        <v>55</v>
      </c>
      <c r="E59" s="3">
        <v>0</v>
      </c>
      <c r="F59" s="3" t="s">
        <v>9</v>
      </c>
      <c r="G59" s="3" t="s">
        <v>11</v>
      </c>
      <c r="H59">
        <v>8</v>
      </c>
      <c r="I59" s="4">
        <v>34000</v>
      </c>
      <c r="J59" s="4"/>
      <c r="L59" s="4">
        <v>34000</v>
      </c>
      <c r="M59">
        <v>8</v>
      </c>
      <c r="N59">
        <f t="shared" si="1"/>
        <v>1</v>
      </c>
      <c r="R59" s="4">
        <v>34000</v>
      </c>
      <c r="S59">
        <v>8</v>
      </c>
      <c r="T59">
        <f t="shared" si="2"/>
        <v>0</v>
      </c>
      <c r="X59" s="4">
        <v>34000</v>
      </c>
      <c r="Y59">
        <v>8</v>
      </c>
      <c r="Z59" s="3">
        <v>0</v>
      </c>
      <c r="AA59">
        <f t="shared" si="3"/>
        <v>1</v>
      </c>
      <c r="AB59" s="10">
        <f t="shared" si="4"/>
        <v>1</v>
      </c>
      <c r="AC59" s="10">
        <f t="shared" si="5"/>
        <v>0</v>
      </c>
      <c r="AD59" s="10">
        <f t="shared" si="6"/>
        <v>0</v>
      </c>
      <c r="AE59" s="10">
        <f t="shared" si="7"/>
        <v>0</v>
      </c>
      <c r="AP59" s="4">
        <v>34000</v>
      </c>
      <c r="AQ59">
        <v>8</v>
      </c>
      <c r="AR59">
        <f t="shared" si="0"/>
        <v>1</v>
      </c>
      <c r="AS59">
        <f t="shared" si="8"/>
        <v>8</v>
      </c>
      <c r="AU59" s="10"/>
      <c r="AV59" s="10"/>
    </row>
    <row r="60" spans="1:48" x14ac:dyDescent="0.35">
      <c r="A60" s="1">
        <v>59</v>
      </c>
      <c r="B60">
        <v>1</v>
      </c>
      <c r="C60">
        <v>1</v>
      </c>
      <c r="D60">
        <v>39</v>
      </c>
      <c r="E60" s="3">
        <v>0</v>
      </c>
      <c r="F60" s="3" t="s">
        <v>9</v>
      </c>
      <c r="G60" s="3" t="s">
        <v>11</v>
      </c>
      <c r="H60">
        <v>9</v>
      </c>
      <c r="I60" s="4">
        <v>29600</v>
      </c>
      <c r="J60" s="4"/>
      <c r="L60" s="4">
        <v>29600</v>
      </c>
      <c r="M60">
        <v>9</v>
      </c>
      <c r="N60">
        <f t="shared" si="1"/>
        <v>1</v>
      </c>
      <c r="R60" s="4">
        <v>29600</v>
      </c>
      <c r="S60">
        <v>9</v>
      </c>
      <c r="T60">
        <f t="shared" si="2"/>
        <v>0</v>
      </c>
      <c r="X60" s="4">
        <v>29600</v>
      </c>
      <c r="Y60">
        <v>9</v>
      </c>
      <c r="Z60" s="3">
        <v>0</v>
      </c>
      <c r="AA60">
        <f t="shared" si="3"/>
        <v>1</v>
      </c>
      <c r="AB60" s="10">
        <f t="shared" si="4"/>
        <v>1</v>
      </c>
      <c r="AC60" s="10">
        <f t="shared" si="5"/>
        <v>0</v>
      </c>
      <c r="AD60" s="10">
        <f t="shared" si="6"/>
        <v>0</v>
      </c>
      <c r="AE60" s="10">
        <f t="shared" si="7"/>
        <v>0</v>
      </c>
      <c r="AP60" s="4">
        <v>29600</v>
      </c>
      <c r="AQ60">
        <v>9</v>
      </c>
      <c r="AR60">
        <f t="shared" si="0"/>
        <v>1</v>
      </c>
      <c r="AS60">
        <f t="shared" si="8"/>
        <v>9</v>
      </c>
      <c r="AU60" s="10"/>
      <c r="AV60" s="10"/>
    </row>
    <row r="61" spans="1:48" x14ac:dyDescent="0.35">
      <c r="A61" s="1">
        <v>60</v>
      </c>
      <c r="B61">
        <v>3</v>
      </c>
      <c r="C61">
        <v>1</v>
      </c>
      <c r="D61">
        <v>51</v>
      </c>
      <c r="E61" s="3">
        <v>0</v>
      </c>
      <c r="F61" s="3" t="s">
        <v>9</v>
      </c>
      <c r="G61" s="3" t="s">
        <v>11</v>
      </c>
      <c r="H61">
        <v>18</v>
      </c>
      <c r="I61" s="4">
        <v>34000</v>
      </c>
      <c r="J61" s="4"/>
      <c r="L61" s="4">
        <v>34000</v>
      </c>
      <c r="M61">
        <v>18</v>
      </c>
      <c r="N61">
        <f t="shared" si="1"/>
        <v>1</v>
      </c>
      <c r="R61" s="4">
        <v>34000</v>
      </c>
      <c r="S61">
        <v>18</v>
      </c>
      <c r="T61">
        <f t="shared" si="2"/>
        <v>0</v>
      </c>
      <c r="X61" s="4">
        <v>34000</v>
      </c>
      <c r="Y61">
        <v>18</v>
      </c>
      <c r="Z61" s="3">
        <v>0</v>
      </c>
      <c r="AA61">
        <f t="shared" si="3"/>
        <v>1</v>
      </c>
      <c r="AB61" s="10">
        <f t="shared" si="4"/>
        <v>0</v>
      </c>
      <c r="AC61" s="10">
        <f t="shared" si="5"/>
        <v>0</v>
      </c>
      <c r="AD61" s="10">
        <f t="shared" si="6"/>
        <v>0</v>
      </c>
      <c r="AE61" s="10">
        <f t="shared" si="7"/>
        <v>0</v>
      </c>
      <c r="AP61" s="4">
        <v>34000</v>
      </c>
      <c r="AQ61">
        <v>18</v>
      </c>
      <c r="AR61">
        <f t="shared" si="0"/>
        <v>1</v>
      </c>
      <c r="AS61">
        <f t="shared" si="8"/>
        <v>18</v>
      </c>
      <c r="AU61" s="10"/>
      <c r="AV61" s="10"/>
    </row>
    <row r="62" spans="1:48" x14ac:dyDescent="0.35">
      <c r="A62" s="1">
        <v>61</v>
      </c>
      <c r="B62">
        <v>2</v>
      </c>
      <c r="C62">
        <v>2</v>
      </c>
      <c r="D62">
        <v>37</v>
      </c>
      <c r="E62" s="3">
        <v>8</v>
      </c>
      <c r="F62" s="3" t="s">
        <v>9</v>
      </c>
      <c r="G62" s="3" t="s">
        <v>11</v>
      </c>
      <c r="H62">
        <v>3</v>
      </c>
      <c r="I62" s="4">
        <v>37250</v>
      </c>
      <c r="J62" s="4"/>
      <c r="L62" s="4">
        <v>37250</v>
      </c>
      <c r="M62">
        <v>3</v>
      </c>
      <c r="N62">
        <f t="shared" si="1"/>
        <v>1</v>
      </c>
      <c r="R62" s="4">
        <v>37250</v>
      </c>
      <c r="S62">
        <v>3</v>
      </c>
      <c r="T62">
        <f t="shared" si="2"/>
        <v>0</v>
      </c>
      <c r="X62" s="4">
        <v>37250</v>
      </c>
      <c r="Y62">
        <v>3</v>
      </c>
      <c r="Z62" s="3">
        <v>8</v>
      </c>
      <c r="AA62">
        <f t="shared" si="3"/>
        <v>1</v>
      </c>
      <c r="AB62" s="10">
        <f t="shared" si="4"/>
        <v>0</v>
      </c>
      <c r="AC62" s="10">
        <f t="shared" si="5"/>
        <v>1</v>
      </c>
      <c r="AD62" s="10">
        <f t="shared" si="6"/>
        <v>0</v>
      </c>
      <c r="AE62" s="10">
        <f t="shared" si="7"/>
        <v>0</v>
      </c>
      <c r="AP62" s="4">
        <v>37250</v>
      </c>
      <c r="AQ62">
        <v>3</v>
      </c>
      <c r="AR62">
        <f t="shared" si="0"/>
        <v>1</v>
      </c>
      <c r="AS62">
        <f t="shared" si="8"/>
        <v>3</v>
      </c>
      <c r="AU62" s="10"/>
      <c r="AV62" s="10"/>
    </row>
    <row r="63" spans="1:48" x14ac:dyDescent="0.35">
      <c r="A63" s="1">
        <v>62</v>
      </c>
      <c r="B63">
        <v>2</v>
      </c>
      <c r="C63">
        <v>2</v>
      </c>
      <c r="D63">
        <v>30</v>
      </c>
      <c r="E63" s="3">
        <v>3</v>
      </c>
      <c r="F63" s="3" t="s">
        <v>9</v>
      </c>
      <c r="G63" s="3" t="s">
        <v>10</v>
      </c>
      <c r="H63">
        <v>6</v>
      </c>
      <c r="I63" s="4">
        <v>33000</v>
      </c>
      <c r="J63" s="4"/>
      <c r="L63" s="4">
        <v>33000</v>
      </c>
      <c r="M63">
        <v>6</v>
      </c>
      <c r="N63">
        <f t="shared" si="1"/>
        <v>0</v>
      </c>
      <c r="R63" s="4">
        <v>33000</v>
      </c>
      <c r="S63">
        <v>6</v>
      </c>
      <c r="T63">
        <f t="shared" si="2"/>
        <v>1</v>
      </c>
      <c r="X63" s="4">
        <v>33000</v>
      </c>
      <c r="Y63">
        <v>6</v>
      </c>
      <c r="Z63" s="3">
        <v>3</v>
      </c>
      <c r="AA63">
        <f t="shared" si="3"/>
        <v>0</v>
      </c>
      <c r="AB63" s="10">
        <f t="shared" si="4"/>
        <v>0</v>
      </c>
      <c r="AC63" s="10">
        <f t="shared" si="5"/>
        <v>1</v>
      </c>
      <c r="AD63" s="10">
        <f t="shared" si="6"/>
        <v>0</v>
      </c>
      <c r="AE63" s="10">
        <f t="shared" si="7"/>
        <v>0</v>
      </c>
      <c r="AP63" s="4">
        <v>33000</v>
      </c>
      <c r="AQ63">
        <v>6</v>
      </c>
      <c r="AR63">
        <f t="shared" si="0"/>
        <v>0</v>
      </c>
      <c r="AS63">
        <f t="shared" si="8"/>
        <v>0</v>
      </c>
      <c r="AU63" s="10"/>
      <c r="AV63" s="10"/>
    </row>
    <row r="64" spans="1:48" x14ac:dyDescent="0.35">
      <c r="A64" s="1">
        <v>63</v>
      </c>
      <c r="B64">
        <v>3</v>
      </c>
      <c r="C64">
        <v>2</v>
      </c>
      <c r="D64">
        <v>26</v>
      </c>
      <c r="E64" s="3">
        <v>0</v>
      </c>
      <c r="F64" s="3" t="s">
        <v>9</v>
      </c>
      <c r="G64" s="3" t="s">
        <v>11</v>
      </c>
      <c r="H64">
        <v>4</v>
      </c>
      <c r="I64" s="4">
        <v>28600</v>
      </c>
      <c r="J64" s="4"/>
      <c r="L64" s="4">
        <v>28600</v>
      </c>
      <c r="M64">
        <v>4</v>
      </c>
      <c r="N64">
        <f t="shared" si="1"/>
        <v>1</v>
      </c>
      <c r="R64" s="4">
        <v>28600</v>
      </c>
      <c r="S64">
        <v>4</v>
      </c>
      <c r="T64">
        <f t="shared" si="2"/>
        <v>0</v>
      </c>
      <c r="X64" s="4">
        <v>28600</v>
      </c>
      <c r="Y64">
        <v>4</v>
      </c>
      <c r="Z64" s="3">
        <v>0</v>
      </c>
      <c r="AA64">
        <f t="shared" si="3"/>
        <v>1</v>
      </c>
      <c r="AB64" s="10">
        <f t="shared" si="4"/>
        <v>0</v>
      </c>
      <c r="AC64" s="10">
        <f t="shared" si="5"/>
        <v>0</v>
      </c>
      <c r="AD64" s="10">
        <f t="shared" si="6"/>
        <v>0</v>
      </c>
      <c r="AE64" s="10">
        <f t="shared" si="7"/>
        <v>0</v>
      </c>
      <c r="AP64" s="4">
        <v>28600</v>
      </c>
      <c r="AQ64">
        <v>4</v>
      </c>
      <c r="AR64">
        <f t="shared" si="0"/>
        <v>1</v>
      </c>
      <c r="AS64">
        <f t="shared" si="8"/>
        <v>4</v>
      </c>
      <c r="AU64" s="10"/>
      <c r="AV64" s="10"/>
    </row>
    <row r="65" spans="1:48" x14ac:dyDescent="0.35">
      <c r="A65" s="1">
        <v>64</v>
      </c>
      <c r="B65">
        <v>5</v>
      </c>
      <c r="C65">
        <v>2</v>
      </c>
      <c r="D65">
        <v>41</v>
      </c>
      <c r="E65" s="3">
        <v>1</v>
      </c>
      <c r="F65" s="3" t="s">
        <v>12</v>
      </c>
      <c r="G65" s="3" t="s">
        <v>11</v>
      </c>
      <c r="H65">
        <v>5</v>
      </c>
      <c r="I65" s="4">
        <v>36000</v>
      </c>
      <c r="J65" s="4"/>
      <c r="L65" s="4">
        <v>36000</v>
      </c>
      <c r="M65">
        <v>5</v>
      </c>
      <c r="N65">
        <f t="shared" si="1"/>
        <v>1</v>
      </c>
      <c r="R65" s="4">
        <v>36000</v>
      </c>
      <c r="S65">
        <v>5</v>
      </c>
      <c r="T65">
        <f t="shared" si="2"/>
        <v>0</v>
      </c>
      <c r="X65" s="4">
        <v>36000</v>
      </c>
      <c r="Y65">
        <v>5</v>
      </c>
      <c r="Z65" s="3">
        <v>1</v>
      </c>
      <c r="AA65">
        <f t="shared" si="3"/>
        <v>1</v>
      </c>
      <c r="AB65" s="10">
        <f t="shared" si="4"/>
        <v>0</v>
      </c>
      <c r="AC65" s="10">
        <f t="shared" si="5"/>
        <v>0</v>
      </c>
      <c r="AD65" s="10">
        <f t="shared" si="6"/>
        <v>0</v>
      </c>
      <c r="AE65" s="10">
        <f t="shared" si="7"/>
        <v>1</v>
      </c>
      <c r="AP65" s="4">
        <v>36000</v>
      </c>
      <c r="AQ65">
        <v>5</v>
      </c>
      <c r="AR65">
        <f t="shared" si="0"/>
        <v>1</v>
      </c>
      <c r="AS65">
        <f t="shared" si="8"/>
        <v>5</v>
      </c>
      <c r="AU65" s="10"/>
      <c r="AV65" s="10"/>
    </row>
    <row r="66" spans="1:48" x14ac:dyDescent="0.35">
      <c r="A66" s="1">
        <v>65</v>
      </c>
      <c r="B66">
        <v>3</v>
      </c>
      <c r="C66">
        <v>2</v>
      </c>
      <c r="D66">
        <v>34</v>
      </c>
      <c r="E66" s="3">
        <v>4</v>
      </c>
      <c r="F66" s="3" t="s">
        <v>12</v>
      </c>
      <c r="G66" s="3" t="s">
        <v>11</v>
      </c>
      <c r="H66">
        <v>4</v>
      </c>
      <c r="I66" s="4">
        <v>37300</v>
      </c>
      <c r="J66" s="4"/>
      <c r="L66" s="4">
        <v>37300</v>
      </c>
      <c r="M66">
        <v>4</v>
      </c>
      <c r="N66">
        <f t="shared" si="1"/>
        <v>1</v>
      </c>
      <c r="R66" s="4">
        <v>37300</v>
      </c>
      <c r="S66">
        <v>4</v>
      </c>
      <c r="T66">
        <f t="shared" si="2"/>
        <v>0</v>
      </c>
      <c r="X66" s="4">
        <v>37300</v>
      </c>
      <c r="Y66">
        <v>4</v>
      </c>
      <c r="Z66" s="3">
        <v>4</v>
      </c>
      <c r="AA66">
        <f t="shared" si="3"/>
        <v>1</v>
      </c>
      <c r="AB66" s="10">
        <f t="shared" si="4"/>
        <v>0</v>
      </c>
      <c r="AC66" s="10">
        <f t="shared" si="5"/>
        <v>0</v>
      </c>
      <c r="AD66" s="10">
        <f t="shared" si="6"/>
        <v>0</v>
      </c>
      <c r="AE66" s="10">
        <f t="shared" si="7"/>
        <v>0</v>
      </c>
      <c r="AP66" s="4">
        <v>37300</v>
      </c>
      <c r="AQ66">
        <v>4</v>
      </c>
      <c r="AR66">
        <f t="shared" ref="AR66:AR129" si="13">IF(G66=$AR$1,1,0)</f>
        <v>1</v>
      </c>
      <c r="AS66">
        <f t="shared" si="8"/>
        <v>4</v>
      </c>
      <c r="AU66" s="10"/>
      <c r="AV66" s="10"/>
    </row>
    <row r="67" spans="1:48" x14ac:dyDescent="0.35">
      <c r="A67" s="1">
        <v>66</v>
      </c>
      <c r="B67">
        <v>2</v>
      </c>
      <c r="C67">
        <v>2</v>
      </c>
      <c r="D67">
        <v>57</v>
      </c>
      <c r="E67" s="3">
        <v>4</v>
      </c>
      <c r="F67" s="3" t="s">
        <v>9</v>
      </c>
      <c r="G67" s="3" t="s">
        <v>10</v>
      </c>
      <c r="H67">
        <v>7</v>
      </c>
      <c r="I67" s="4">
        <v>29900</v>
      </c>
      <c r="J67" s="4"/>
      <c r="L67" s="4">
        <v>29900</v>
      </c>
      <c r="M67">
        <v>7</v>
      </c>
      <c r="N67">
        <f t="shared" ref="N67:N130" si="14">IF(G67="Female",1,0)</f>
        <v>0</v>
      </c>
      <c r="R67" s="4">
        <v>29900</v>
      </c>
      <c r="S67">
        <v>7</v>
      </c>
      <c r="T67">
        <f t="shared" ref="T67:T130" si="15">IF(G67="Male",1,0)</f>
        <v>1</v>
      </c>
      <c r="X67" s="4">
        <v>29900</v>
      </c>
      <c r="Y67">
        <v>7</v>
      </c>
      <c r="Z67" s="3">
        <v>4</v>
      </c>
      <c r="AA67">
        <f t="shared" ref="AA67:AA130" si="16">IF(G67="Female",1,0)</f>
        <v>0</v>
      </c>
      <c r="AB67" s="10">
        <f t="shared" ref="AB67:AB130" si="17">IF(B67=1,1,0)</f>
        <v>0</v>
      </c>
      <c r="AC67" s="10">
        <f t="shared" ref="AC67:AC130" si="18">IF(B67=2,1,0)</f>
        <v>1</v>
      </c>
      <c r="AD67" s="10">
        <f t="shared" ref="AD67:AD130" si="19">IF(B67=4,1,0)</f>
        <v>0</v>
      </c>
      <c r="AE67" s="10">
        <f t="shared" ref="AE67:AE130" si="20">IF(B67=5,1,0)</f>
        <v>0</v>
      </c>
      <c r="AP67" s="4">
        <v>29900</v>
      </c>
      <c r="AQ67">
        <v>7</v>
      </c>
      <c r="AR67">
        <f t="shared" si="13"/>
        <v>0</v>
      </c>
      <c r="AS67">
        <f t="shared" ref="AS67:AS130" si="21">AQ67*AR67</f>
        <v>0</v>
      </c>
      <c r="AU67" s="10"/>
      <c r="AV67" s="10"/>
    </row>
    <row r="68" spans="1:48" x14ac:dyDescent="0.35">
      <c r="A68" s="1">
        <v>67</v>
      </c>
      <c r="B68">
        <v>1</v>
      </c>
      <c r="C68">
        <v>2</v>
      </c>
      <c r="D68">
        <v>53</v>
      </c>
      <c r="E68" s="3">
        <v>8</v>
      </c>
      <c r="F68" s="3" t="s">
        <v>9</v>
      </c>
      <c r="G68" s="3" t="s">
        <v>11</v>
      </c>
      <c r="H68">
        <v>11</v>
      </c>
      <c r="I68" s="4">
        <v>31500</v>
      </c>
      <c r="J68" s="4"/>
      <c r="L68" s="4">
        <v>31500</v>
      </c>
      <c r="M68">
        <v>11</v>
      </c>
      <c r="N68">
        <f t="shared" si="14"/>
        <v>1</v>
      </c>
      <c r="R68" s="4">
        <v>31500</v>
      </c>
      <c r="S68">
        <v>11</v>
      </c>
      <c r="T68">
        <f t="shared" si="15"/>
        <v>0</v>
      </c>
      <c r="X68" s="4">
        <v>31500</v>
      </c>
      <c r="Y68">
        <v>11</v>
      </c>
      <c r="Z68" s="3">
        <v>8</v>
      </c>
      <c r="AA68">
        <f t="shared" si="16"/>
        <v>1</v>
      </c>
      <c r="AB68" s="10">
        <f t="shared" si="17"/>
        <v>1</v>
      </c>
      <c r="AC68" s="10">
        <f t="shared" si="18"/>
        <v>0</v>
      </c>
      <c r="AD68" s="10">
        <f t="shared" si="19"/>
        <v>0</v>
      </c>
      <c r="AE68" s="10">
        <f t="shared" si="20"/>
        <v>0</v>
      </c>
      <c r="AP68" s="4">
        <v>31500</v>
      </c>
      <c r="AQ68">
        <v>11</v>
      </c>
      <c r="AR68">
        <f t="shared" si="13"/>
        <v>1</v>
      </c>
      <c r="AS68">
        <f t="shared" si="21"/>
        <v>11</v>
      </c>
      <c r="AU68" s="10"/>
      <c r="AV68" s="10"/>
    </row>
    <row r="69" spans="1:48" x14ac:dyDescent="0.35">
      <c r="A69" s="1">
        <v>68</v>
      </c>
      <c r="B69">
        <v>3</v>
      </c>
      <c r="C69">
        <v>2</v>
      </c>
      <c r="D69">
        <v>32</v>
      </c>
      <c r="E69" s="3">
        <v>4</v>
      </c>
      <c r="F69" s="3" t="s">
        <v>12</v>
      </c>
      <c r="G69" s="3" t="s">
        <v>11</v>
      </c>
      <c r="H69">
        <v>5</v>
      </c>
      <c r="I69" s="4">
        <v>41400</v>
      </c>
      <c r="J69" s="4"/>
      <c r="L69" s="4">
        <v>41400</v>
      </c>
      <c r="M69">
        <v>5</v>
      </c>
      <c r="N69">
        <f t="shared" si="14"/>
        <v>1</v>
      </c>
      <c r="R69" s="4">
        <v>41400</v>
      </c>
      <c r="S69">
        <v>5</v>
      </c>
      <c r="T69">
        <f t="shared" si="15"/>
        <v>0</v>
      </c>
      <c r="X69" s="4">
        <v>41400</v>
      </c>
      <c r="Y69">
        <v>5</v>
      </c>
      <c r="Z69" s="3">
        <v>4</v>
      </c>
      <c r="AA69">
        <f t="shared" si="16"/>
        <v>1</v>
      </c>
      <c r="AB69" s="10">
        <f t="shared" si="17"/>
        <v>0</v>
      </c>
      <c r="AC69" s="10">
        <f t="shared" si="18"/>
        <v>0</v>
      </c>
      <c r="AD69" s="10">
        <f t="shared" si="19"/>
        <v>0</v>
      </c>
      <c r="AE69" s="10">
        <f t="shared" si="20"/>
        <v>0</v>
      </c>
      <c r="AP69" s="4">
        <v>41400</v>
      </c>
      <c r="AQ69">
        <v>5</v>
      </c>
      <c r="AR69">
        <f t="shared" si="13"/>
        <v>1</v>
      </c>
      <c r="AS69">
        <f t="shared" si="21"/>
        <v>5</v>
      </c>
      <c r="AU69" s="10"/>
      <c r="AV69" s="10"/>
    </row>
    <row r="70" spans="1:48" x14ac:dyDescent="0.35">
      <c r="A70" s="1">
        <v>69</v>
      </c>
      <c r="B70">
        <v>1</v>
      </c>
      <c r="C70">
        <v>2</v>
      </c>
      <c r="D70">
        <v>44</v>
      </c>
      <c r="E70" s="3">
        <v>5</v>
      </c>
      <c r="F70" s="3" t="s">
        <v>9</v>
      </c>
      <c r="G70" s="3" t="s">
        <v>11</v>
      </c>
      <c r="H70">
        <v>17</v>
      </c>
      <c r="I70" s="4">
        <v>32740.000000000004</v>
      </c>
      <c r="J70" s="4"/>
      <c r="L70" s="4">
        <v>32740.000000000004</v>
      </c>
      <c r="M70">
        <v>17</v>
      </c>
      <c r="N70">
        <f t="shared" si="14"/>
        <v>1</v>
      </c>
      <c r="R70" s="4">
        <v>32740.000000000004</v>
      </c>
      <c r="S70">
        <v>17</v>
      </c>
      <c r="T70">
        <f t="shared" si="15"/>
        <v>0</v>
      </c>
      <c r="X70" s="4">
        <v>32740.000000000004</v>
      </c>
      <c r="Y70">
        <v>17</v>
      </c>
      <c r="Z70" s="3">
        <v>5</v>
      </c>
      <c r="AA70">
        <f t="shared" si="16"/>
        <v>1</v>
      </c>
      <c r="AB70" s="10">
        <f t="shared" si="17"/>
        <v>1</v>
      </c>
      <c r="AC70" s="10">
        <f t="shared" si="18"/>
        <v>0</v>
      </c>
      <c r="AD70" s="10">
        <f t="shared" si="19"/>
        <v>0</v>
      </c>
      <c r="AE70" s="10">
        <f t="shared" si="20"/>
        <v>0</v>
      </c>
      <c r="AP70" s="4">
        <v>32740.000000000004</v>
      </c>
      <c r="AQ70">
        <v>17</v>
      </c>
      <c r="AR70">
        <f t="shared" si="13"/>
        <v>1</v>
      </c>
      <c r="AS70">
        <f t="shared" si="21"/>
        <v>17</v>
      </c>
      <c r="AU70" s="10"/>
      <c r="AV70" s="10"/>
    </row>
    <row r="71" spans="1:48" x14ac:dyDescent="0.35">
      <c r="A71" s="1">
        <v>70</v>
      </c>
      <c r="B71">
        <v>3</v>
      </c>
      <c r="C71">
        <v>2</v>
      </c>
      <c r="D71">
        <v>25</v>
      </c>
      <c r="E71" s="3">
        <v>1</v>
      </c>
      <c r="F71" s="3" t="s">
        <v>9</v>
      </c>
      <c r="G71" s="3" t="s">
        <v>10</v>
      </c>
      <c r="H71">
        <v>3</v>
      </c>
      <c r="I71" s="4">
        <v>33500</v>
      </c>
      <c r="J71" s="4"/>
      <c r="L71" s="4">
        <v>33500</v>
      </c>
      <c r="M71">
        <v>3</v>
      </c>
      <c r="N71">
        <f t="shared" si="14"/>
        <v>0</v>
      </c>
      <c r="R71" s="4">
        <v>33500</v>
      </c>
      <c r="S71">
        <v>3</v>
      </c>
      <c r="T71">
        <f t="shared" si="15"/>
        <v>1</v>
      </c>
      <c r="X71" s="4">
        <v>33500</v>
      </c>
      <c r="Y71">
        <v>3</v>
      </c>
      <c r="Z71" s="3">
        <v>1</v>
      </c>
      <c r="AA71">
        <f t="shared" si="16"/>
        <v>0</v>
      </c>
      <c r="AB71" s="10">
        <f t="shared" si="17"/>
        <v>0</v>
      </c>
      <c r="AC71" s="10">
        <f t="shared" si="18"/>
        <v>0</v>
      </c>
      <c r="AD71" s="10">
        <f t="shared" si="19"/>
        <v>0</v>
      </c>
      <c r="AE71" s="10">
        <f t="shared" si="20"/>
        <v>0</v>
      </c>
      <c r="AP71" s="4">
        <v>33500</v>
      </c>
      <c r="AQ71">
        <v>3</v>
      </c>
      <c r="AR71">
        <f t="shared" si="13"/>
        <v>0</v>
      </c>
      <c r="AS71">
        <f t="shared" si="21"/>
        <v>0</v>
      </c>
      <c r="AU71" s="10"/>
      <c r="AV71" s="10"/>
    </row>
    <row r="72" spans="1:48" x14ac:dyDescent="0.35">
      <c r="A72" s="1">
        <v>71</v>
      </c>
      <c r="B72">
        <v>1</v>
      </c>
      <c r="C72">
        <v>2</v>
      </c>
      <c r="D72">
        <v>31</v>
      </c>
      <c r="E72" s="3">
        <v>9</v>
      </c>
      <c r="F72" s="3" t="s">
        <v>9</v>
      </c>
      <c r="G72" s="3" t="s">
        <v>11</v>
      </c>
      <c r="H72">
        <v>5</v>
      </c>
      <c r="I72" s="4">
        <v>32000</v>
      </c>
      <c r="J72" s="4"/>
      <c r="L72" s="4">
        <v>32000</v>
      </c>
      <c r="M72">
        <v>5</v>
      </c>
      <c r="N72">
        <f t="shared" si="14"/>
        <v>1</v>
      </c>
      <c r="R72" s="4">
        <v>32000</v>
      </c>
      <c r="S72">
        <v>5</v>
      </c>
      <c r="T72">
        <f t="shared" si="15"/>
        <v>0</v>
      </c>
      <c r="X72" s="4">
        <v>32000</v>
      </c>
      <c r="Y72">
        <v>5</v>
      </c>
      <c r="Z72" s="3">
        <v>9</v>
      </c>
      <c r="AA72">
        <f t="shared" si="16"/>
        <v>1</v>
      </c>
      <c r="AB72" s="10">
        <f t="shared" si="17"/>
        <v>1</v>
      </c>
      <c r="AC72" s="10">
        <f t="shared" si="18"/>
        <v>0</v>
      </c>
      <c r="AD72" s="10">
        <f t="shared" si="19"/>
        <v>0</v>
      </c>
      <c r="AE72" s="10">
        <f t="shared" si="20"/>
        <v>0</v>
      </c>
      <c r="AP72" s="4">
        <v>32000</v>
      </c>
      <c r="AQ72">
        <v>5</v>
      </c>
      <c r="AR72">
        <f t="shared" si="13"/>
        <v>1</v>
      </c>
      <c r="AS72">
        <f t="shared" si="21"/>
        <v>5</v>
      </c>
      <c r="AU72" s="10"/>
      <c r="AV72" s="10"/>
    </row>
    <row r="73" spans="1:48" x14ac:dyDescent="0.35">
      <c r="A73" s="1">
        <v>72</v>
      </c>
      <c r="B73">
        <v>1</v>
      </c>
      <c r="C73">
        <v>2</v>
      </c>
      <c r="D73">
        <v>50</v>
      </c>
      <c r="E73" s="3">
        <v>0</v>
      </c>
      <c r="F73" s="3" t="s">
        <v>9</v>
      </c>
      <c r="G73" s="3" t="s">
        <v>11</v>
      </c>
      <c r="H73">
        <v>9</v>
      </c>
      <c r="I73" s="4">
        <v>30800</v>
      </c>
      <c r="J73" s="4"/>
      <c r="L73" s="4">
        <v>30800</v>
      </c>
      <c r="M73">
        <v>9</v>
      </c>
      <c r="N73">
        <f t="shared" si="14"/>
        <v>1</v>
      </c>
      <c r="R73" s="4">
        <v>30800</v>
      </c>
      <c r="S73">
        <v>9</v>
      </c>
      <c r="T73">
        <f t="shared" si="15"/>
        <v>0</v>
      </c>
      <c r="X73" s="4">
        <v>30800</v>
      </c>
      <c r="Y73">
        <v>9</v>
      </c>
      <c r="Z73" s="3">
        <v>0</v>
      </c>
      <c r="AA73">
        <f t="shared" si="16"/>
        <v>1</v>
      </c>
      <c r="AB73" s="10">
        <f t="shared" si="17"/>
        <v>1</v>
      </c>
      <c r="AC73" s="10">
        <f t="shared" si="18"/>
        <v>0</v>
      </c>
      <c r="AD73" s="10">
        <f t="shared" si="19"/>
        <v>0</v>
      </c>
      <c r="AE73" s="10">
        <f t="shared" si="20"/>
        <v>0</v>
      </c>
      <c r="AP73" s="4">
        <v>30800</v>
      </c>
      <c r="AQ73">
        <v>9</v>
      </c>
      <c r="AR73">
        <f t="shared" si="13"/>
        <v>1</v>
      </c>
      <c r="AS73">
        <f t="shared" si="21"/>
        <v>9</v>
      </c>
      <c r="AU73" s="10"/>
      <c r="AV73" s="10"/>
    </row>
    <row r="74" spans="1:48" x14ac:dyDescent="0.35">
      <c r="A74" s="1">
        <v>73</v>
      </c>
      <c r="B74">
        <v>5</v>
      </c>
      <c r="C74">
        <v>2</v>
      </c>
      <c r="D74">
        <v>47</v>
      </c>
      <c r="E74" s="3">
        <v>3</v>
      </c>
      <c r="F74" s="3" t="s">
        <v>12</v>
      </c>
      <c r="G74" s="3" t="s">
        <v>11</v>
      </c>
      <c r="H74">
        <v>3</v>
      </c>
      <c r="I74" s="4">
        <v>42000</v>
      </c>
      <c r="J74" s="4"/>
      <c r="L74" s="4">
        <v>42000</v>
      </c>
      <c r="M74">
        <v>3</v>
      </c>
      <c r="N74">
        <f t="shared" si="14"/>
        <v>1</v>
      </c>
      <c r="R74" s="4">
        <v>42000</v>
      </c>
      <c r="S74">
        <v>3</v>
      </c>
      <c r="T74">
        <f t="shared" si="15"/>
        <v>0</v>
      </c>
      <c r="X74" s="4">
        <v>42000</v>
      </c>
      <c r="Y74">
        <v>3</v>
      </c>
      <c r="Z74" s="3">
        <v>3</v>
      </c>
      <c r="AA74">
        <f t="shared" si="16"/>
        <v>1</v>
      </c>
      <c r="AB74" s="10">
        <f t="shared" si="17"/>
        <v>0</v>
      </c>
      <c r="AC74" s="10">
        <f t="shared" si="18"/>
        <v>0</v>
      </c>
      <c r="AD74" s="10">
        <f t="shared" si="19"/>
        <v>0</v>
      </c>
      <c r="AE74" s="10">
        <f t="shared" si="20"/>
        <v>1</v>
      </c>
      <c r="AP74" s="4">
        <v>42000</v>
      </c>
      <c r="AQ74">
        <v>3</v>
      </c>
      <c r="AR74">
        <f t="shared" si="13"/>
        <v>1</v>
      </c>
      <c r="AS74">
        <f t="shared" si="21"/>
        <v>3</v>
      </c>
      <c r="AU74" s="10"/>
      <c r="AV74" s="10"/>
    </row>
    <row r="75" spans="1:48" x14ac:dyDescent="0.35">
      <c r="A75" s="1">
        <v>74</v>
      </c>
      <c r="B75">
        <v>3</v>
      </c>
      <c r="C75">
        <v>2</v>
      </c>
      <c r="D75">
        <v>35</v>
      </c>
      <c r="E75" s="3">
        <v>0</v>
      </c>
      <c r="F75" s="3" t="s">
        <v>9</v>
      </c>
      <c r="G75" s="3" t="s">
        <v>10</v>
      </c>
      <c r="H75">
        <v>4</v>
      </c>
      <c r="I75" s="4">
        <v>34000</v>
      </c>
      <c r="J75" s="4"/>
      <c r="L75" s="4">
        <v>34000</v>
      </c>
      <c r="M75">
        <v>4</v>
      </c>
      <c r="N75">
        <f t="shared" si="14"/>
        <v>0</v>
      </c>
      <c r="R75" s="4">
        <v>34000</v>
      </c>
      <c r="S75">
        <v>4</v>
      </c>
      <c r="T75">
        <f t="shared" si="15"/>
        <v>1</v>
      </c>
      <c r="X75" s="4">
        <v>34000</v>
      </c>
      <c r="Y75">
        <v>4</v>
      </c>
      <c r="Z75" s="3">
        <v>0</v>
      </c>
      <c r="AA75">
        <f t="shared" si="16"/>
        <v>0</v>
      </c>
      <c r="AB75" s="10">
        <f t="shared" si="17"/>
        <v>0</v>
      </c>
      <c r="AC75" s="10">
        <f t="shared" si="18"/>
        <v>0</v>
      </c>
      <c r="AD75" s="10">
        <f t="shared" si="19"/>
        <v>0</v>
      </c>
      <c r="AE75" s="10">
        <f t="shared" si="20"/>
        <v>0</v>
      </c>
      <c r="AP75" s="4">
        <v>34000</v>
      </c>
      <c r="AQ75">
        <v>4</v>
      </c>
      <c r="AR75">
        <f t="shared" si="13"/>
        <v>0</v>
      </c>
      <c r="AS75">
        <f t="shared" si="21"/>
        <v>0</v>
      </c>
      <c r="AU75" s="10"/>
      <c r="AV75" s="10"/>
    </row>
    <row r="76" spans="1:48" x14ac:dyDescent="0.35">
      <c r="A76" s="1">
        <v>75</v>
      </c>
      <c r="B76">
        <v>2</v>
      </c>
      <c r="C76">
        <v>2</v>
      </c>
      <c r="D76">
        <v>43</v>
      </c>
      <c r="E76" s="3">
        <v>0</v>
      </c>
      <c r="F76" s="3" t="s">
        <v>9</v>
      </c>
      <c r="G76" s="3" t="s">
        <v>11</v>
      </c>
      <c r="H76">
        <v>16</v>
      </c>
      <c r="I76" s="4">
        <v>32500</v>
      </c>
      <c r="J76" s="4"/>
      <c r="L76" s="4">
        <v>32500</v>
      </c>
      <c r="M76">
        <v>16</v>
      </c>
      <c r="N76">
        <f t="shared" si="14"/>
        <v>1</v>
      </c>
      <c r="R76" s="4">
        <v>32500</v>
      </c>
      <c r="S76">
        <v>16</v>
      </c>
      <c r="T76">
        <f t="shared" si="15"/>
        <v>0</v>
      </c>
      <c r="X76" s="4">
        <v>32500</v>
      </c>
      <c r="Y76">
        <v>16</v>
      </c>
      <c r="Z76" s="3">
        <v>0</v>
      </c>
      <c r="AA76">
        <f t="shared" si="16"/>
        <v>1</v>
      </c>
      <c r="AB76" s="10">
        <f t="shared" si="17"/>
        <v>0</v>
      </c>
      <c r="AC76" s="10">
        <f t="shared" si="18"/>
        <v>1</v>
      </c>
      <c r="AD76" s="10">
        <f t="shared" si="19"/>
        <v>0</v>
      </c>
      <c r="AE76" s="10">
        <f t="shared" si="20"/>
        <v>0</v>
      </c>
      <c r="AP76" s="4">
        <v>32500</v>
      </c>
      <c r="AQ76">
        <v>16</v>
      </c>
      <c r="AR76">
        <f t="shared" si="13"/>
        <v>1</v>
      </c>
      <c r="AS76">
        <f t="shared" si="21"/>
        <v>16</v>
      </c>
      <c r="AU76" s="10"/>
      <c r="AV76" s="10"/>
    </row>
    <row r="77" spans="1:48" x14ac:dyDescent="0.35">
      <c r="A77" s="1">
        <v>76</v>
      </c>
      <c r="B77">
        <v>2</v>
      </c>
      <c r="C77">
        <v>2</v>
      </c>
      <c r="D77">
        <v>46</v>
      </c>
      <c r="E77" s="3">
        <v>10</v>
      </c>
      <c r="F77" s="3" t="s">
        <v>9</v>
      </c>
      <c r="G77" s="3" t="s">
        <v>11</v>
      </c>
      <c r="H77">
        <v>9</v>
      </c>
      <c r="I77" s="4">
        <v>31700</v>
      </c>
      <c r="J77" s="4"/>
      <c r="L77" s="4">
        <v>31700</v>
      </c>
      <c r="M77">
        <v>9</v>
      </c>
      <c r="N77">
        <f t="shared" si="14"/>
        <v>1</v>
      </c>
      <c r="R77" s="4">
        <v>31700</v>
      </c>
      <c r="S77">
        <v>9</v>
      </c>
      <c r="T77">
        <f t="shared" si="15"/>
        <v>0</v>
      </c>
      <c r="X77" s="4">
        <v>31700</v>
      </c>
      <c r="Y77">
        <v>9</v>
      </c>
      <c r="Z77" s="3">
        <v>10</v>
      </c>
      <c r="AA77">
        <f t="shared" si="16"/>
        <v>1</v>
      </c>
      <c r="AB77" s="10">
        <f t="shared" si="17"/>
        <v>0</v>
      </c>
      <c r="AC77" s="10">
        <f t="shared" si="18"/>
        <v>1</v>
      </c>
      <c r="AD77" s="10">
        <f t="shared" si="19"/>
        <v>0</v>
      </c>
      <c r="AE77" s="10">
        <f t="shared" si="20"/>
        <v>0</v>
      </c>
      <c r="AP77" s="4">
        <v>31700</v>
      </c>
      <c r="AQ77">
        <v>9</v>
      </c>
      <c r="AR77">
        <f t="shared" si="13"/>
        <v>1</v>
      </c>
      <c r="AS77">
        <f t="shared" si="21"/>
        <v>9</v>
      </c>
      <c r="AU77" s="10"/>
      <c r="AV77" s="10"/>
    </row>
    <row r="78" spans="1:48" x14ac:dyDescent="0.35">
      <c r="A78" s="1">
        <v>77</v>
      </c>
      <c r="B78">
        <v>5</v>
      </c>
      <c r="C78">
        <v>2</v>
      </c>
      <c r="D78">
        <v>35</v>
      </c>
      <c r="E78" s="3">
        <v>0</v>
      </c>
      <c r="F78" s="3" t="s">
        <v>9</v>
      </c>
      <c r="G78" s="3" t="s">
        <v>10</v>
      </c>
      <c r="H78">
        <v>3</v>
      </c>
      <c r="I78" s="4">
        <v>36500</v>
      </c>
      <c r="J78" s="4"/>
      <c r="L78" s="4">
        <v>36500</v>
      </c>
      <c r="M78">
        <v>3</v>
      </c>
      <c r="N78">
        <f t="shared" si="14"/>
        <v>0</v>
      </c>
      <c r="R78" s="4">
        <v>36500</v>
      </c>
      <c r="S78">
        <v>3</v>
      </c>
      <c r="T78">
        <f t="shared" si="15"/>
        <v>1</v>
      </c>
      <c r="X78" s="4">
        <v>36500</v>
      </c>
      <c r="Y78">
        <v>3</v>
      </c>
      <c r="Z78" s="3">
        <v>0</v>
      </c>
      <c r="AA78">
        <f t="shared" si="16"/>
        <v>0</v>
      </c>
      <c r="AB78" s="10">
        <f t="shared" si="17"/>
        <v>0</v>
      </c>
      <c r="AC78" s="10">
        <f t="shared" si="18"/>
        <v>0</v>
      </c>
      <c r="AD78" s="10">
        <f t="shared" si="19"/>
        <v>0</v>
      </c>
      <c r="AE78" s="10">
        <f t="shared" si="20"/>
        <v>1</v>
      </c>
      <c r="AP78" s="4">
        <v>36500</v>
      </c>
      <c r="AQ78">
        <v>3</v>
      </c>
      <c r="AR78">
        <f t="shared" si="13"/>
        <v>0</v>
      </c>
      <c r="AS78">
        <f t="shared" si="21"/>
        <v>0</v>
      </c>
      <c r="AU78" s="10"/>
      <c r="AV78" s="10"/>
    </row>
    <row r="79" spans="1:48" x14ac:dyDescent="0.35">
      <c r="A79" s="1">
        <v>78</v>
      </c>
      <c r="B79">
        <v>3</v>
      </c>
      <c r="C79">
        <v>2</v>
      </c>
      <c r="D79">
        <v>22</v>
      </c>
      <c r="E79" s="3">
        <v>0</v>
      </c>
      <c r="F79" s="3" t="s">
        <v>9</v>
      </c>
      <c r="G79" s="3" t="s">
        <v>10</v>
      </c>
      <c r="H79">
        <v>4</v>
      </c>
      <c r="I79" s="4">
        <v>33000</v>
      </c>
      <c r="J79" s="4"/>
      <c r="L79" s="4">
        <v>33000</v>
      </c>
      <c r="M79">
        <v>4</v>
      </c>
      <c r="N79">
        <f t="shared" si="14"/>
        <v>0</v>
      </c>
      <c r="R79" s="4">
        <v>33000</v>
      </c>
      <c r="S79">
        <v>4</v>
      </c>
      <c r="T79">
        <f t="shared" si="15"/>
        <v>1</v>
      </c>
      <c r="X79" s="4">
        <v>33000</v>
      </c>
      <c r="Y79">
        <v>4</v>
      </c>
      <c r="Z79" s="3">
        <v>0</v>
      </c>
      <c r="AA79">
        <f t="shared" si="16"/>
        <v>0</v>
      </c>
      <c r="AB79" s="10">
        <f t="shared" si="17"/>
        <v>0</v>
      </c>
      <c r="AC79" s="10">
        <f t="shared" si="18"/>
        <v>0</v>
      </c>
      <c r="AD79" s="10">
        <f t="shared" si="19"/>
        <v>0</v>
      </c>
      <c r="AE79" s="10">
        <f t="shared" si="20"/>
        <v>0</v>
      </c>
      <c r="AP79" s="4">
        <v>33000</v>
      </c>
      <c r="AQ79">
        <v>4</v>
      </c>
      <c r="AR79">
        <f t="shared" si="13"/>
        <v>0</v>
      </c>
      <c r="AS79">
        <f t="shared" si="21"/>
        <v>0</v>
      </c>
      <c r="AU79" s="10"/>
      <c r="AV79" s="10"/>
    </row>
    <row r="80" spans="1:48" x14ac:dyDescent="0.35">
      <c r="A80" s="1">
        <v>79</v>
      </c>
      <c r="B80">
        <v>2</v>
      </c>
      <c r="C80">
        <v>2</v>
      </c>
      <c r="D80">
        <v>58</v>
      </c>
      <c r="E80" s="3">
        <v>0</v>
      </c>
      <c r="F80" s="3" t="s">
        <v>9</v>
      </c>
      <c r="G80" s="3" t="s">
        <v>11</v>
      </c>
      <c r="H80">
        <v>8</v>
      </c>
      <c r="I80" s="4">
        <v>31200</v>
      </c>
      <c r="J80" s="4"/>
      <c r="L80" s="4">
        <v>31200</v>
      </c>
      <c r="M80">
        <v>8</v>
      </c>
      <c r="N80">
        <f t="shared" si="14"/>
        <v>1</v>
      </c>
      <c r="R80" s="4">
        <v>31200</v>
      </c>
      <c r="S80">
        <v>8</v>
      </c>
      <c r="T80">
        <f t="shared" si="15"/>
        <v>0</v>
      </c>
      <c r="X80" s="4">
        <v>31200</v>
      </c>
      <c r="Y80">
        <v>8</v>
      </c>
      <c r="Z80" s="3">
        <v>0</v>
      </c>
      <c r="AA80">
        <f t="shared" si="16"/>
        <v>1</v>
      </c>
      <c r="AB80" s="10">
        <f t="shared" si="17"/>
        <v>0</v>
      </c>
      <c r="AC80" s="10">
        <f t="shared" si="18"/>
        <v>1</v>
      </c>
      <c r="AD80" s="10">
        <f t="shared" si="19"/>
        <v>0</v>
      </c>
      <c r="AE80" s="10">
        <f t="shared" si="20"/>
        <v>0</v>
      </c>
      <c r="AP80" s="4">
        <v>31200</v>
      </c>
      <c r="AQ80">
        <v>8</v>
      </c>
      <c r="AR80">
        <f t="shared" si="13"/>
        <v>1</v>
      </c>
      <c r="AS80">
        <f t="shared" si="21"/>
        <v>8</v>
      </c>
      <c r="AU80" s="10"/>
      <c r="AV80" s="10"/>
    </row>
    <row r="81" spans="1:48" x14ac:dyDescent="0.35">
      <c r="A81" s="1">
        <v>80</v>
      </c>
      <c r="B81">
        <v>5</v>
      </c>
      <c r="C81">
        <v>2</v>
      </c>
      <c r="D81">
        <v>40</v>
      </c>
      <c r="E81" s="3">
        <v>0</v>
      </c>
      <c r="F81" s="3" t="s">
        <v>9</v>
      </c>
      <c r="G81" s="3" t="s">
        <v>11</v>
      </c>
      <c r="H81">
        <v>8</v>
      </c>
      <c r="I81" s="4">
        <v>34000</v>
      </c>
      <c r="J81" s="4"/>
      <c r="L81" s="4">
        <v>34000</v>
      </c>
      <c r="M81">
        <v>8</v>
      </c>
      <c r="N81">
        <f t="shared" si="14"/>
        <v>1</v>
      </c>
      <c r="R81" s="4">
        <v>34000</v>
      </c>
      <c r="S81">
        <v>8</v>
      </c>
      <c r="T81">
        <f t="shared" si="15"/>
        <v>0</v>
      </c>
      <c r="X81" s="4">
        <v>34000</v>
      </c>
      <c r="Y81">
        <v>8</v>
      </c>
      <c r="Z81" s="3">
        <v>0</v>
      </c>
      <c r="AA81">
        <f t="shared" si="16"/>
        <v>1</v>
      </c>
      <c r="AB81" s="10">
        <f t="shared" si="17"/>
        <v>0</v>
      </c>
      <c r="AC81" s="10">
        <f t="shared" si="18"/>
        <v>0</v>
      </c>
      <c r="AD81" s="10">
        <f t="shared" si="19"/>
        <v>0</v>
      </c>
      <c r="AE81" s="10">
        <f t="shared" si="20"/>
        <v>1</v>
      </c>
      <c r="AP81" s="4">
        <v>34000</v>
      </c>
      <c r="AQ81">
        <v>8</v>
      </c>
      <c r="AR81">
        <f t="shared" si="13"/>
        <v>1</v>
      </c>
      <c r="AS81">
        <f t="shared" si="21"/>
        <v>8</v>
      </c>
      <c r="AU81" s="10"/>
      <c r="AV81" s="10"/>
    </row>
    <row r="82" spans="1:48" x14ac:dyDescent="0.35">
      <c r="A82" s="1">
        <v>81</v>
      </c>
      <c r="B82">
        <v>3</v>
      </c>
      <c r="C82">
        <v>2</v>
      </c>
      <c r="D82">
        <v>30</v>
      </c>
      <c r="E82" s="3">
        <v>0</v>
      </c>
      <c r="F82" s="3" t="s">
        <v>9</v>
      </c>
      <c r="G82" s="3" t="s">
        <v>11</v>
      </c>
      <c r="H82">
        <v>6</v>
      </c>
      <c r="I82" s="4">
        <v>33000</v>
      </c>
      <c r="J82" s="4"/>
      <c r="L82" s="4">
        <v>33000</v>
      </c>
      <c r="M82">
        <v>6</v>
      </c>
      <c r="N82">
        <f t="shared" si="14"/>
        <v>1</v>
      </c>
      <c r="R82" s="4">
        <v>33000</v>
      </c>
      <c r="S82">
        <v>6</v>
      </c>
      <c r="T82">
        <f t="shared" si="15"/>
        <v>0</v>
      </c>
      <c r="X82" s="4">
        <v>33000</v>
      </c>
      <c r="Y82">
        <v>6</v>
      </c>
      <c r="Z82" s="3">
        <v>0</v>
      </c>
      <c r="AA82">
        <f t="shared" si="16"/>
        <v>1</v>
      </c>
      <c r="AB82" s="10">
        <f t="shared" si="17"/>
        <v>0</v>
      </c>
      <c r="AC82" s="10">
        <f t="shared" si="18"/>
        <v>0</v>
      </c>
      <c r="AD82" s="10">
        <f t="shared" si="19"/>
        <v>0</v>
      </c>
      <c r="AE82" s="10">
        <f t="shared" si="20"/>
        <v>0</v>
      </c>
      <c r="AP82" s="4">
        <v>33000</v>
      </c>
      <c r="AQ82">
        <v>6</v>
      </c>
      <c r="AR82">
        <f t="shared" si="13"/>
        <v>1</v>
      </c>
      <c r="AS82">
        <f t="shared" si="21"/>
        <v>6</v>
      </c>
      <c r="AU82" s="10"/>
      <c r="AV82" s="10"/>
    </row>
    <row r="83" spans="1:48" x14ac:dyDescent="0.35">
      <c r="A83" s="1">
        <v>82</v>
      </c>
      <c r="B83">
        <v>5</v>
      </c>
      <c r="C83">
        <v>2</v>
      </c>
      <c r="D83">
        <v>29</v>
      </c>
      <c r="E83" s="3">
        <v>4</v>
      </c>
      <c r="F83" s="3" t="s">
        <v>9</v>
      </c>
      <c r="G83" s="3" t="s">
        <v>11</v>
      </c>
      <c r="H83">
        <v>4</v>
      </c>
      <c r="I83" s="4">
        <v>33900</v>
      </c>
      <c r="J83" s="4"/>
      <c r="L83" s="4">
        <v>33900</v>
      </c>
      <c r="M83">
        <v>4</v>
      </c>
      <c r="N83">
        <f t="shared" si="14"/>
        <v>1</v>
      </c>
      <c r="R83" s="4">
        <v>33900</v>
      </c>
      <c r="S83">
        <v>4</v>
      </c>
      <c r="T83">
        <f t="shared" si="15"/>
        <v>0</v>
      </c>
      <c r="X83" s="4">
        <v>33900</v>
      </c>
      <c r="Y83">
        <v>4</v>
      </c>
      <c r="Z83" s="3">
        <v>4</v>
      </c>
      <c r="AA83">
        <f t="shared" si="16"/>
        <v>1</v>
      </c>
      <c r="AB83" s="10">
        <f t="shared" si="17"/>
        <v>0</v>
      </c>
      <c r="AC83" s="10">
        <f t="shared" si="18"/>
        <v>0</v>
      </c>
      <c r="AD83" s="10">
        <f t="shared" si="19"/>
        <v>0</v>
      </c>
      <c r="AE83" s="10">
        <f t="shared" si="20"/>
        <v>1</v>
      </c>
      <c r="AP83" s="4">
        <v>33900</v>
      </c>
      <c r="AQ83">
        <v>4</v>
      </c>
      <c r="AR83">
        <f t="shared" si="13"/>
        <v>1</v>
      </c>
      <c r="AS83">
        <f t="shared" si="21"/>
        <v>4</v>
      </c>
      <c r="AU83" s="10"/>
      <c r="AV83" s="10"/>
    </row>
    <row r="84" spans="1:48" x14ac:dyDescent="0.35">
      <c r="A84" s="1">
        <v>83</v>
      </c>
      <c r="B84">
        <v>1</v>
      </c>
      <c r="C84">
        <v>2</v>
      </c>
      <c r="D84">
        <v>31</v>
      </c>
      <c r="E84" s="3">
        <v>9</v>
      </c>
      <c r="F84" s="3" t="s">
        <v>12</v>
      </c>
      <c r="G84" s="3" t="s">
        <v>11</v>
      </c>
      <c r="H84">
        <v>3</v>
      </c>
      <c r="I84" s="4">
        <v>39000</v>
      </c>
      <c r="J84" s="4"/>
      <c r="L84" s="4">
        <v>39000</v>
      </c>
      <c r="M84">
        <v>3</v>
      </c>
      <c r="N84">
        <f t="shared" si="14"/>
        <v>1</v>
      </c>
      <c r="R84" s="4">
        <v>39000</v>
      </c>
      <c r="S84">
        <v>3</v>
      </c>
      <c r="T84">
        <f t="shared" si="15"/>
        <v>0</v>
      </c>
      <c r="X84" s="4">
        <v>39000</v>
      </c>
      <c r="Y84">
        <v>3</v>
      </c>
      <c r="Z84" s="3">
        <v>9</v>
      </c>
      <c r="AA84">
        <f t="shared" si="16"/>
        <v>1</v>
      </c>
      <c r="AB84" s="10">
        <f t="shared" si="17"/>
        <v>1</v>
      </c>
      <c r="AC84" s="10">
        <f t="shared" si="18"/>
        <v>0</v>
      </c>
      <c r="AD84" s="10">
        <f t="shared" si="19"/>
        <v>0</v>
      </c>
      <c r="AE84" s="10">
        <f t="shared" si="20"/>
        <v>0</v>
      </c>
      <c r="AP84" s="4">
        <v>39000</v>
      </c>
      <c r="AQ84">
        <v>3</v>
      </c>
      <c r="AR84">
        <f t="shared" si="13"/>
        <v>1</v>
      </c>
      <c r="AS84">
        <f t="shared" si="21"/>
        <v>3</v>
      </c>
      <c r="AU84" s="10"/>
      <c r="AV84" s="10"/>
    </row>
    <row r="85" spans="1:48" x14ac:dyDescent="0.35">
      <c r="A85" s="1">
        <v>84</v>
      </c>
      <c r="B85">
        <v>2</v>
      </c>
      <c r="C85">
        <v>2</v>
      </c>
      <c r="D85">
        <v>52</v>
      </c>
      <c r="E85" s="3">
        <v>18</v>
      </c>
      <c r="F85" s="3" t="s">
        <v>9</v>
      </c>
      <c r="G85" s="3" t="s">
        <v>10</v>
      </c>
      <c r="H85">
        <v>12</v>
      </c>
      <c r="I85" s="4">
        <v>34920</v>
      </c>
      <c r="J85" s="4"/>
      <c r="L85" s="4">
        <v>34920</v>
      </c>
      <c r="M85">
        <v>12</v>
      </c>
      <c r="N85">
        <f t="shared" si="14"/>
        <v>0</v>
      </c>
      <c r="R85" s="4">
        <v>34920</v>
      </c>
      <c r="S85">
        <v>12</v>
      </c>
      <c r="T85">
        <f t="shared" si="15"/>
        <v>1</v>
      </c>
      <c r="X85" s="4">
        <v>34920</v>
      </c>
      <c r="Y85">
        <v>12</v>
      </c>
      <c r="Z85" s="3">
        <v>18</v>
      </c>
      <c r="AA85">
        <f t="shared" si="16"/>
        <v>0</v>
      </c>
      <c r="AB85" s="10">
        <f t="shared" si="17"/>
        <v>0</v>
      </c>
      <c r="AC85" s="10">
        <f t="shared" si="18"/>
        <v>1</v>
      </c>
      <c r="AD85" s="10">
        <f t="shared" si="19"/>
        <v>0</v>
      </c>
      <c r="AE85" s="10">
        <f t="shared" si="20"/>
        <v>0</v>
      </c>
      <c r="AP85" s="4">
        <v>34920</v>
      </c>
      <c r="AQ85">
        <v>12</v>
      </c>
      <c r="AR85">
        <f t="shared" si="13"/>
        <v>0</v>
      </c>
      <c r="AS85">
        <f t="shared" si="21"/>
        <v>0</v>
      </c>
      <c r="AU85" s="10"/>
      <c r="AV85" s="10"/>
    </row>
    <row r="86" spans="1:48" x14ac:dyDescent="0.35">
      <c r="A86" s="1">
        <v>85</v>
      </c>
      <c r="B86">
        <v>5</v>
      </c>
      <c r="C86">
        <v>2</v>
      </c>
      <c r="D86">
        <v>33</v>
      </c>
      <c r="E86" s="3">
        <v>5</v>
      </c>
      <c r="F86" s="3" t="s">
        <v>9</v>
      </c>
      <c r="G86" s="3" t="s">
        <v>10</v>
      </c>
      <c r="H86">
        <v>3</v>
      </c>
      <c r="I86" s="4">
        <v>39000</v>
      </c>
      <c r="J86" s="4"/>
      <c r="L86" s="4">
        <v>39000</v>
      </c>
      <c r="M86">
        <v>3</v>
      </c>
      <c r="N86">
        <f t="shared" si="14"/>
        <v>0</v>
      </c>
      <c r="R86" s="4">
        <v>39000</v>
      </c>
      <c r="S86">
        <v>3</v>
      </c>
      <c r="T86">
        <f t="shared" si="15"/>
        <v>1</v>
      </c>
      <c r="X86" s="4">
        <v>39000</v>
      </c>
      <c r="Y86">
        <v>3</v>
      </c>
      <c r="Z86" s="3">
        <v>5</v>
      </c>
      <c r="AA86">
        <f t="shared" si="16"/>
        <v>0</v>
      </c>
      <c r="AB86" s="10">
        <f t="shared" si="17"/>
        <v>0</v>
      </c>
      <c r="AC86" s="10">
        <f t="shared" si="18"/>
        <v>0</v>
      </c>
      <c r="AD86" s="10">
        <f t="shared" si="19"/>
        <v>0</v>
      </c>
      <c r="AE86" s="10">
        <f t="shared" si="20"/>
        <v>1</v>
      </c>
      <c r="AP86" s="4">
        <v>39000</v>
      </c>
      <c r="AQ86">
        <v>3</v>
      </c>
      <c r="AR86">
        <f t="shared" si="13"/>
        <v>0</v>
      </c>
      <c r="AS86">
        <f t="shared" si="21"/>
        <v>0</v>
      </c>
      <c r="AU86" s="10"/>
      <c r="AV86" s="10"/>
    </row>
    <row r="87" spans="1:48" x14ac:dyDescent="0.35">
      <c r="A87" s="1">
        <v>86</v>
      </c>
      <c r="B87">
        <v>1</v>
      </c>
      <c r="C87">
        <v>2</v>
      </c>
      <c r="D87">
        <v>49</v>
      </c>
      <c r="E87" s="3">
        <v>0</v>
      </c>
      <c r="F87" s="3" t="s">
        <v>9</v>
      </c>
      <c r="G87" s="3" t="s">
        <v>11</v>
      </c>
      <c r="H87">
        <v>8</v>
      </c>
      <c r="I87" s="4">
        <v>34000</v>
      </c>
      <c r="J87" s="4"/>
      <c r="L87" s="4">
        <v>34000</v>
      </c>
      <c r="M87">
        <v>8</v>
      </c>
      <c r="N87">
        <f t="shared" si="14"/>
        <v>1</v>
      </c>
      <c r="R87" s="4">
        <v>34000</v>
      </c>
      <c r="S87">
        <v>8</v>
      </c>
      <c r="T87">
        <f t="shared" si="15"/>
        <v>0</v>
      </c>
      <c r="X87" s="4">
        <v>34000</v>
      </c>
      <c r="Y87">
        <v>8</v>
      </c>
      <c r="Z87" s="3">
        <v>0</v>
      </c>
      <c r="AA87">
        <f t="shared" si="16"/>
        <v>1</v>
      </c>
      <c r="AB87" s="10">
        <f t="shared" si="17"/>
        <v>1</v>
      </c>
      <c r="AC87" s="10">
        <f t="shared" si="18"/>
        <v>0</v>
      </c>
      <c r="AD87" s="10">
        <f t="shared" si="19"/>
        <v>0</v>
      </c>
      <c r="AE87" s="10">
        <f t="shared" si="20"/>
        <v>0</v>
      </c>
      <c r="AP87" s="4">
        <v>34000</v>
      </c>
      <c r="AQ87">
        <v>8</v>
      </c>
      <c r="AR87">
        <f t="shared" si="13"/>
        <v>1</v>
      </c>
      <c r="AS87">
        <f t="shared" si="21"/>
        <v>8</v>
      </c>
      <c r="AU87" s="10"/>
      <c r="AV87" s="10"/>
    </row>
    <row r="88" spans="1:48" x14ac:dyDescent="0.35">
      <c r="A88" s="1">
        <v>87</v>
      </c>
      <c r="B88">
        <v>2</v>
      </c>
      <c r="C88">
        <v>2</v>
      </c>
      <c r="D88">
        <v>34</v>
      </c>
      <c r="E88" s="3">
        <v>7</v>
      </c>
      <c r="F88" s="3" t="s">
        <v>9</v>
      </c>
      <c r="G88" s="3" t="s">
        <v>11</v>
      </c>
      <c r="H88">
        <v>6</v>
      </c>
      <c r="I88" s="4">
        <v>31900</v>
      </c>
      <c r="J88" s="4"/>
      <c r="L88" s="4">
        <v>31900</v>
      </c>
      <c r="M88">
        <v>6</v>
      </c>
      <c r="N88">
        <f t="shared" si="14"/>
        <v>1</v>
      </c>
      <c r="R88" s="4">
        <v>31900</v>
      </c>
      <c r="S88">
        <v>6</v>
      </c>
      <c r="T88">
        <f t="shared" si="15"/>
        <v>0</v>
      </c>
      <c r="X88" s="4">
        <v>31900</v>
      </c>
      <c r="Y88">
        <v>6</v>
      </c>
      <c r="Z88" s="3">
        <v>7</v>
      </c>
      <c r="AA88">
        <f t="shared" si="16"/>
        <v>1</v>
      </c>
      <c r="AB88" s="10">
        <f t="shared" si="17"/>
        <v>0</v>
      </c>
      <c r="AC88" s="10">
        <f t="shared" si="18"/>
        <v>1</v>
      </c>
      <c r="AD88" s="10">
        <f t="shared" si="19"/>
        <v>0</v>
      </c>
      <c r="AE88" s="10">
        <f t="shared" si="20"/>
        <v>0</v>
      </c>
      <c r="AP88" s="4">
        <v>31900</v>
      </c>
      <c r="AQ88">
        <v>6</v>
      </c>
      <c r="AR88">
        <f t="shared" si="13"/>
        <v>1</v>
      </c>
      <c r="AS88">
        <f t="shared" si="21"/>
        <v>6</v>
      </c>
      <c r="AU88" s="10"/>
      <c r="AV88" s="10"/>
    </row>
    <row r="89" spans="1:48" x14ac:dyDescent="0.35">
      <c r="A89" s="1">
        <v>88</v>
      </c>
      <c r="B89">
        <v>5</v>
      </c>
      <c r="C89">
        <v>2</v>
      </c>
      <c r="D89">
        <v>26</v>
      </c>
      <c r="E89" s="3">
        <v>1</v>
      </c>
      <c r="F89" s="3" t="s">
        <v>9</v>
      </c>
      <c r="G89" s="3" t="s">
        <v>10</v>
      </c>
      <c r="H89">
        <v>3</v>
      </c>
      <c r="I89" s="4">
        <v>37000</v>
      </c>
      <c r="J89" s="4"/>
      <c r="L89" s="4">
        <v>37000</v>
      </c>
      <c r="M89">
        <v>3</v>
      </c>
      <c r="N89">
        <f t="shared" si="14"/>
        <v>0</v>
      </c>
      <c r="R89" s="4">
        <v>37000</v>
      </c>
      <c r="S89">
        <v>3</v>
      </c>
      <c r="T89">
        <f t="shared" si="15"/>
        <v>1</v>
      </c>
      <c r="X89" s="4">
        <v>37000</v>
      </c>
      <c r="Y89">
        <v>3</v>
      </c>
      <c r="Z89" s="3">
        <v>1</v>
      </c>
      <c r="AA89">
        <f t="shared" si="16"/>
        <v>0</v>
      </c>
      <c r="AB89" s="10">
        <f t="shared" si="17"/>
        <v>0</v>
      </c>
      <c r="AC89" s="10">
        <f t="shared" si="18"/>
        <v>0</v>
      </c>
      <c r="AD89" s="10">
        <f t="shared" si="19"/>
        <v>0</v>
      </c>
      <c r="AE89" s="10">
        <f t="shared" si="20"/>
        <v>1</v>
      </c>
      <c r="AP89" s="4">
        <v>37000</v>
      </c>
      <c r="AQ89">
        <v>3</v>
      </c>
      <c r="AR89">
        <f t="shared" si="13"/>
        <v>0</v>
      </c>
      <c r="AS89">
        <f t="shared" si="21"/>
        <v>0</v>
      </c>
      <c r="AU89" s="10"/>
      <c r="AV89" s="10"/>
    </row>
    <row r="90" spans="1:48" x14ac:dyDescent="0.35">
      <c r="A90" s="1">
        <v>89</v>
      </c>
      <c r="B90">
        <v>5</v>
      </c>
      <c r="C90">
        <v>2</v>
      </c>
      <c r="D90">
        <v>28</v>
      </c>
      <c r="E90" s="3">
        <v>0</v>
      </c>
      <c r="F90" s="3" t="s">
        <v>9</v>
      </c>
      <c r="G90" s="3" t="s">
        <v>10</v>
      </c>
      <c r="H90">
        <v>4</v>
      </c>
      <c r="I90" s="4">
        <v>34000</v>
      </c>
      <c r="J90" s="4"/>
      <c r="L90" s="4">
        <v>34000</v>
      </c>
      <c r="M90">
        <v>4</v>
      </c>
      <c r="N90">
        <f t="shared" si="14"/>
        <v>0</v>
      </c>
      <c r="R90" s="4">
        <v>34000</v>
      </c>
      <c r="S90">
        <v>4</v>
      </c>
      <c r="T90">
        <f t="shared" si="15"/>
        <v>1</v>
      </c>
      <c r="X90" s="4">
        <v>34000</v>
      </c>
      <c r="Y90">
        <v>4</v>
      </c>
      <c r="Z90" s="3">
        <v>0</v>
      </c>
      <c r="AA90">
        <f t="shared" si="16"/>
        <v>0</v>
      </c>
      <c r="AB90" s="10">
        <f t="shared" si="17"/>
        <v>0</v>
      </c>
      <c r="AC90" s="10">
        <f t="shared" si="18"/>
        <v>0</v>
      </c>
      <c r="AD90" s="10">
        <f t="shared" si="19"/>
        <v>0</v>
      </c>
      <c r="AE90" s="10">
        <f t="shared" si="20"/>
        <v>1</v>
      </c>
      <c r="AP90" s="4">
        <v>34000</v>
      </c>
      <c r="AQ90">
        <v>4</v>
      </c>
      <c r="AR90">
        <f t="shared" si="13"/>
        <v>0</v>
      </c>
      <c r="AS90">
        <f t="shared" si="21"/>
        <v>0</v>
      </c>
      <c r="AU90" s="10"/>
      <c r="AV90" s="10"/>
    </row>
    <row r="91" spans="1:48" x14ac:dyDescent="0.35">
      <c r="A91" s="1">
        <v>90</v>
      </c>
      <c r="B91">
        <v>5</v>
      </c>
      <c r="C91">
        <v>2</v>
      </c>
      <c r="D91">
        <v>35</v>
      </c>
      <c r="E91" s="3">
        <v>2</v>
      </c>
      <c r="F91" s="3" t="s">
        <v>9</v>
      </c>
      <c r="G91" s="3" t="s">
        <v>11</v>
      </c>
      <c r="H91">
        <v>3</v>
      </c>
      <c r="I91" s="4">
        <v>36400</v>
      </c>
      <c r="J91" s="4"/>
      <c r="L91" s="4">
        <v>36400</v>
      </c>
      <c r="M91">
        <v>3</v>
      </c>
      <c r="N91">
        <f t="shared" si="14"/>
        <v>1</v>
      </c>
      <c r="R91" s="4">
        <v>36400</v>
      </c>
      <c r="S91">
        <v>3</v>
      </c>
      <c r="T91">
        <f t="shared" si="15"/>
        <v>0</v>
      </c>
      <c r="X91" s="4">
        <v>36400</v>
      </c>
      <c r="Y91">
        <v>3</v>
      </c>
      <c r="Z91" s="3">
        <v>2</v>
      </c>
      <c r="AA91">
        <f t="shared" si="16"/>
        <v>1</v>
      </c>
      <c r="AB91" s="10">
        <f t="shared" si="17"/>
        <v>0</v>
      </c>
      <c r="AC91" s="10">
        <f t="shared" si="18"/>
        <v>0</v>
      </c>
      <c r="AD91" s="10">
        <f t="shared" si="19"/>
        <v>0</v>
      </c>
      <c r="AE91" s="10">
        <f t="shared" si="20"/>
        <v>1</v>
      </c>
      <c r="AP91" s="4">
        <v>36400</v>
      </c>
      <c r="AQ91">
        <v>3</v>
      </c>
      <c r="AR91">
        <f t="shared" si="13"/>
        <v>1</v>
      </c>
      <c r="AS91">
        <f t="shared" si="21"/>
        <v>3</v>
      </c>
      <c r="AU91" s="10"/>
      <c r="AV91" s="10"/>
    </row>
    <row r="92" spans="1:48" x14ac:dyDescent="0.35">
      <c r="A92" s="1">
        <v>91</v>
      </c>
      <c r="B92">
        <v>1</v>
      </c>
      <c r="C92">
        <v>2</v>
      </c>
      <c r="D92">
        <v>47</v>
      </c>
      <c r="E92" s="3">
        <v>1</v>
      </c>
      <c r="F92" s="3" t="s">
        <v>12</v>
      </c>
      <c r="G92" s="3" t="s">
        <v>11</v>
      </c>
      <c r="H92">
        <v>15</v>
      </c>
      <c r="I92" s="4">
        <v>38200</v>
      </c>
      <c r="J92" s="4"/>
      <c r="L92" s="4">
        <v>38200</v>
      </c>
      <c r="M92">
        <v>15</v>
      </c>
      <c r="N92">
        <f t="shared" si="14"/>
        <v>1</v>
      </c>
      <c r="R92" s="4">
        <v>38200</v>
      </c>
      <c r="S92">
        <v>15</v>
      </c>
      <c r="T92">
        <f t="shared" si="15"/>
        <v>0</v>
      </c>
      <c r="X92" s="4">
        <v>38200</v>
      </c>
      <c r="Y92">
        <v>15</v>
      </c>
      <c r="Z92" s="3">
        <v>1</v>
      </c>
      <c r="AA92">
        <f t="shared" si="16"/>
        <v>1</v>
      </c>
      <c r="AB92" s="10">
        <f t="shared" si="17"/>
        <v>1</v>
      </c>
      <c r="AC92" s="10">
        <f t="shared" si="18"/>
        <v>0</v>
      </c>
      <c r="AD92" s="10">
        <f t="shared" si="19"/>
        <v>0</v>
      </c>
      <c r="AE92" s="10">
        <f t="shared" si="20"/>
        <v>0</v>
      </c>
      <c r="AP92" s="4">
        <v>38200</v>
      </c>
      <c r="AQ92">
        <v>15</v>
      </c>
      <c r="AR92">
        <f t="shared" si="13"/>
        <v>1</v>
      </c>
      <c r="AS92">
        <f t="shared" si="21"/>
        <v>15</v>
      </c>
      <c r="AU92" s="10"/>
      <c r="AV92" s="10"/>
    </row>
    <row r="93" spans="1:48" x14ac:dyDescent="0.35">
      <c r="A93" s="1">
        <v>92</v>
      </c>
      <c r="B93">
        <v>1</v>
      </c>
      <c r="C93">
        <v>2</v>
      </c>
      <c r="D93">
        <v>51</v>
      </c>
      <c r="E93" s="3">
        <v>0</v>
      </c>
      <c r="F93" s="3" t="s">
        <v>9</v>
      </c>
      <c r="G93" s="3" t="s">
        <v>11</v>
      </c>
      <c r="H93">
        <v>15</v>
      </c>
      <c r="I93" s="4">
        <v>35300</v>
      </c>
      <c r="J93" s="4"/>
      <c r="L93" s="4">
        <v>35300</v>
      </c>
      <c r="M93">
        <v>15</v>
      </c>
      <c r="N93">
        <f t="shared" si="14"/>
        <v>1</v>
      </c>
      <c r="R93" s="4">
        <v>35300</v>
      </c>
      <c r="S93">
        <v>15</v>
      </c>
      <c r="T93">
        <f t="shared" si="15"/>
        <v>0</v>
      </c>
      <c r="X93" s="4">
        <v>35300</v>
      </c>
      <c r="Y93">
        <v>15</v>
      </c>
      <c r="Z93" s="3">
        <v>0</v>
      </c>
      <c r="AA93">
        <f t="shared" si="16"/>
        <v>1</v>
      </c>
      <c r="AB93" s="10">
        <f t="shared" si="17"/>
        <v>1</v>
      </c>
      <c r="AC93" s="10">
        <f t="shared" si="18"/>
        <v>0</v>
      </c>
      <c r="AD93" s="10">
        <f t="shared" si="19"/>
        <v>0</v>
      </c>
      <c r="AE93" s="10">
        <f t="shared" si="20"/>
        <v>0</v>
      </c>
      <c r="AP93" s="4">
        <v>35300</v>
      </c>
      <c r="AQ93">
        <v>15</v>
      </c>
      <c r="AR93">
        <f t="shared" si="13"/>
        <v>1</v>
      </c>
      <c r="AS93">
        <f t="shared" si="21"/>
        <v>15</v>
      </c>
      <c r="AU93" s="10"/>
      <c r="AV93" s="10"/>
    </row>
    <row r="94" spans="1:48" x14ac:dyDescent="0.35">
      <c r="A94" s="1">
        <v>93</v>
      </c>
      <c r="B94">
        <v>3</v>
      </c>
      <c r="C94">
        <v>2</v>
      </c>
      <c r="D94">
        <v>26</v>
      </c>
      <c r="E94" s="3">
        <v>2</v>
      </c>
      <c r="F94" s="3" t="s">
        <v>9</v>
      </c>
      <c r="G94" s="3" t="s">
        <v>10</v>
      </c>
      <c r="H94">
        <v>3</v>
      </c>
      <c r="I94" s="4">
        <v>34500</v>
      </c>
      <c r="J94" s="4"/>
      <c r="L94" s="4">
        <v>34500</v>
      </c>
      <c r="M94">
        <v>3</v>
      </c>
      <c r="N94">
        <f t="shared" si="14"/>
        <v>0</v>
      </c>
      <c r="R94" s="4">
        <v>34500</v>
      </c>
      <c r="S94">
        <v>3</v>
      </c>
      <c r="T94">
        <f t="shared" si="15"/>
        <v>1</v>
      </c>
      <c r="X94" s="4">
        <v>34500</v>
      </c>
      <c r="Y94">
        <v>3</v>
      </c>
      <c r="Z94" s="3">
        <v>2</v>
      </c>
      <c r="AA94">
        <f t="shared" si="16"/>
        <v>0</v>
      </c>
      <c r="AB94" s="10">
        <f t="shared" si="17"/>
        <v>0</v>
      </c>
      <c r="AC94" s="10">
        <f t="shared" si="18"/>
        <v>0</v>
      </c>
      <c r="AD94" s="10">
        <f t="shared" si="19"/>
        <v>0</v>
      </c>
      <c r="AE94" s="10">
        <f t="shared" si="20"/>
        <v>0</v>
      </c>
      <c r="AP94" s="4">
        <v>34500</v>
      </c>
      <c r="AQ94">
        <v>3</v>
      </c>
      <c r="AR94">
        <f t="shared" si="13"/>
        <v>0</v>
      </c>
      <c r="AS94">
        <f t="shared" si="21"/>
        <v>0</v>
      </c>
      <c r="AU94" s="10"/>
      <c r="AV94" s="10"/>
    </row>
    <row r="95" spans="1:48" x14ac:dyDescent="0.35">
      <c r="A95" s="1">
        <v>94</v>
      </c>
      <c r="B95">
        <v>3</v>
      </c>
      <c r="C95">
        <v>2</v>
      </c>
      <c r="D95">
        <v>33</v>
      </c>
      <c r="E95" s="3">
        <v>0</v>
      </c>
      <c r="F95" s="3" t="s">
        <v>9</v>
      </c>
      <c r="G95" s="3" t="s">
        <v>11</v>
      </c>
      <c r="H95">
        <v>12</v>
      </c>
      <c r="I95" s="4">
        <v>30500</v>
      </c>
      <c r="J95" s="4"/>
      <c r="L95" s="4">
        <v>30500</v>
      </c>
      <c r="M95">
        <v>12</v>
      </c>
      <c r="N95">
        <f t="shared" si="14"/>
        <v>1</v>
      </c>
      <c r="R95" s="4">
        <v>30500</v>
      </c>
      <c r="S95">
        <v>12</v>
      </c>
      <c r="T95">
        <f t="shared" si="15"/>
        <v>0</v>
      </c>
      <c r="X95" s="4">
        <v>30500</v>
      </c>
      <c r="Y95">
        <v>12</v>
      </c>
      <c r="Z95" s="3">
        <v>0</v>
      </c>
      <c r="AA95">
        <f t="shared" si="16"/>
        <v>1</v>
      </c>
      <c r="AB95" s="10">
        <f t="shared" si="17"/>
        <v>0</v>
      </c>
      <c r="AC95" s="10">
        <f t="shared" si="18"/>
        <v>0</v>
      </c>
      <c r="AD95" s="10">
        <f t="shared" si="19"/>
        <v>0</v>
      </c>
      <c r="AE95" s="10">
        <f t="shared" si="20"/>
        <v>0</v>
      </c>
      <c r="AP95" s="4">
        <v>30500</v>
      </c>
      <c r="AQ95">
        <v>12</v>
      </c>
      <c r="AR95">
        <f t="shared" si="13"/>
        <v>1</v>
      </c>
      <c r="AS95">
        <f t="shared" si="21"/>
        <v>12</v>
      </c>
      <c r="AU95" s="10"/>
      <c r="AV95" s="10"/>
    </row>
    <row r="96" spans="1:48" x14ac:dyDescent="0.35">
      <c r="A96" s="1">
        <v>95</v>
      </c>
      <c r="B96">
        <v>4</v>
      </c>
      <c r="C96">
        <v>2</v>
      </c>
      <c r="D96">
        <v>27</v>
      </c>
      <c r="E96" s="3">
        <v>2</v>
      </c>
      <c r="F96" s="3" t="s">
        <v>9</v>
      </c>
      <c r="G96" s="3" t="s">
        <v>10</v>
      </c>
      <c r="H96">
        <v>2</v>
      </c>
      <c r="I96" s="4">
        <v>30000</v>
      </c>
      <c r="J96" s="4"/>
      <c r="L96" s="4">
        <v>30000</v>
      </c>
      <c r="M96">
        <v>2</v>
      </c>
      <c r="N96">
        <f t="shared" si="14"/>
        <v>0</v>
      </c>
      <c r="R96" s="4">
        <v>30000</v>
      </c>
      <c r="S96">
        <v>2</v>
      </c>
      <c r="T96">
        <f t="shared" si="15"/>
        <v>1</v>
      </c>
      <c r="X96" s="4">
        <v>30000</v>
      </c>
      <c r="Y96">
        <v>2</v>
      </c>
      <c r="Z96" s="3">
        <v>2</v>
      </c>
      <c r="AA96">
        <f t="shared" si="16"/>
        <v>0</v>
      </c>
      <c r="AB96" s="10">
        <f t="shared" si="17"/>
        <v>0</v>
      </c>
      <c r="AC96" s="10">
        <f t="shared" si="18"/>
        <v>0</v>
      </c>
      <c r="AD96" s="10">
        <f t="shared" si="19"/>
        <v>1</v>
      </c>
      <c r="AE96" s="10">
        <f t="shared" si="20"/>
        <v>0</v>
      </c>
      <c r="AP96" s="4">
        <v>30000</v>
      </c>
      <c r="AQ96">
        <v>2</v>
      </c>
      <c r="AR96">
        <f t="shared" si="13"/>
        <v>0</v>
      </c>
      <c r="AS96">
        <f t="shared" si="21"/>
        <v>0</v>
      </c>
      <c r="AU96" s="10"/>
      <c r="AV96" s="10"/>
    </row>
    <row r="97" spans="1:48" x14ac:dyDescent="0.35">
      <c r="A97" s="1">
        <v>96</v>
      </c>
      <c r="B97">
        <v>5</v>
      </c>
      <c r="C97">
        <v>2</v>
      </c>
      <c r="D97">
        <v>34</v>
      </c>
      <c r="E97" s="3">
        <v>0</v>
      </c>
      <c r="F97" s="3" t="s">
        <v>12</v>
      </c>
      <c r="G97" s="3" t="s">
        <v>11</v>
      </c>
      <c r="H97">
        <v>8</v>
      </c>
      <c r="I97" s="4">
        <v>37300</v>
      </c>
      <c r="J97" s="4"/>
      <c r="L97" s="4">
        <v>37300</v>
      </c>
      <c r="M97">
        <v>8</v>
      </c>
      <c r="N97">
        <f t="shared" si="14"/>
        <v>1</v>
      </c>
      <c r="R97" s="4">
        <v>37300</v>
      </c>
      <c r="S97">
        <v>8</v>
      </c>
      <c r="T97">
        <f t="shared" si="15"/>
        <v>0</v>
      </c>
      <c r="X97" s="4">
        <v>37300</v>
      </c>
      <c r="Y97">
        <v>8</v>
      </c>
      <c r="Z97" s="3">
        <v>0</v>
      </c>
      <c r="AA97">
        <f t="shared" si="16"/>
        <v>1</v>
      </c>
      <c r="AB97" s="10">
        <f t="shared" si="17"/>
        <v>0</v>
      </c>
      <c r="AC97" s="10">
        <f t="shared" si="18"/>
        <v>0</v>
      </c>
      <c r="AD97" s="10">
        <f t="shared" si="19"/>
        <v>0</v>
      </c>
      <c r="AE97" s="10">
        <f t="shared" si="20"/>
        <v>1</v>
      </c>
      <c r="AP97" s="4">
        <v>37300</v>
      </c>
      <c r="AQ97">
        <v>8</v>
      </c>
      <c r="AR97">
        <f t="shared" si="13"/>
        <v>1</v>
      </c>
      <c r="AS97">
        <f t="shared" si="21"/>
        <v>8</v>
      </c>
      <c r="AU97" s="10"/>
      <c r="AV97" s="10"/>
    </row>
    <row r="98" spans="1:48" x14ac:dyDescent="0.35">
      <c r="A98" s="1">
        <v>97</v>
      </c>
      <c r="B98">
        <v>4</v>
      </c>
      <c r="C98">
        <v>2</v>
      </c>
      <c r="D98">
        <v>29</v>
      </c>
      <c r="E98" s="3">
        <v>0</v>
      </c>
      <c r="F98" s="3" t="s">
        <v>9</v>
      </c>
      <c r="G98" s="3" t="s">
        <v>11</v>
      </c>
      <c r="H98">
        <v>5</v>
      </c>
      <c r="I98" s="4">
        <v>40200</v>
      </c>
      <c r="J98" s="4"/>
      <c r="L98" s="4">
        <v>40200</v>
      </c>
      <c r="M98">
        <v>5</v>
      </c>
      <c r="N98">
        <f t="shared" si="14"/>
        <v>1</v>
      </c>
      <c r="R98" s="4">
        <v>40200</v>
      </c>
      <c r="S98">
        <v>5</v>
      </c>
      <c r="T98">
        <f t="shared" si="15"/>
        <v>0</v>
      </c>
      <c r="X98" s="4">
        <v>40200</v>
      </c>
      <c r="Y98">
        <v>5</v>
      </c>
      <c r="Z98" s="3">
        <v>0</v>
      </c>
      <c r="AA98">
        <f t="shared" si="16"/>
        <v>1</v>
      </c>
      <c r="AB98" s="10">
        <f t="shared" si="17"/>
        <v>0</v>
      </c>
      <c r="AC98" s="10">
        <f t="shared" si="18"/>
        <v>0</v>
      </c>
      <c r="AD98" s="10">
        <f t="shared" si="19"/>
        <v>1</v>
      </c>
      <c r="AE98" s="10">
        <f t="shared" si="20"/>
        <v>0</v>
      </c>
      <c r="AP98" s="4">
        <v>40200</v>
      </c>
      <c r="AQ98">
        <v>5</v>
      </c>
      <c r="AR98">
        <f t="shared" si="13"/>
        <v>1</v>
      </c>
      <c r="AS98">
        <f t="shared" si="21"/>
        <v>5</v>
      </c>
      <c r="AU98" s="10"/>
      <c r="AV98" s="10"/>
    </row>
    <row r="99" spans="1:48" x14ac:dyDescent="0.35">
      <c r="A99" s="1">
        <v>98</v>
      </c>
      <c r="B99">
        <v>3</v>
      </c>
      <c r="C99">
        <v>2</v>
      </c>
      <c r="D99">
        <v>27</v>
      </c>
      <c r="E99" s="3">
        <v>0</v>
      </c>
      <c r="F99" s="3" t="s">
        <v>9</v>
      </c>
      <c r="G99" s="3" t="s">
        <v>10</v>
      </c>
      <c r="H99">
        <v>5</v>
      </c>
      <c r="I99" s="4">
        <v>35500</v>
      </c>
      <c r="J99" s="4"/>
      <c r="L99" s="4">
        <v>35500</v>
      </c>
      <c r="M99">
        <v>5</v>
      </c>
      <c r="N99">
        <f t="shared" si="14"/>
        <v>0</v>
      </c>
      <c r="R99" s="4">
        <v>35500</v>
      </c>
      <c r="S99">
        <v>5</v>
      </c>
      <c r="T99">
        <f t="shared" si="15"/>
        <v>1</v>
      </c>
      <c r="X99" s="4">
        <v>35500</v>
      </c>
      <c r="Y99">
        <v>5</v>
      </c>
      <c r="Z99" s="3">
        <v>0</v>
      </c>
      <c r="AA99">
        <f t="shared" si="16"/>
        <v>0</v>
      </c>
      <c r="AB99" s="10">
        <f t="shared" si="17"/>
        <v>0</v>
      </c>
      <c r="AC99" s="10">
        <f t="shared" si="18"/>
        <v>0</v>
      </c>
      <c r="AD99" s="10">
        <f t="shared" si="19"/>
        <v>0</v>
      </c>
      <c r="AE99" s="10">
        <f t="shared" si="20"/>
        <v>0</v>
      </c>
      <c r="AP99" s="4">
        <v>35500</v>
      </c>
      <c r="AQ99">
        <v>5</v>
      </c>
      <c r="AR99">
        <f t="shared" si="13"/>
        <v>0</v>
      </c>
      <c r="AS99">
        <f t="shared" si="21"/>
        <v>0</v>
      </c>
      <c r="AU99" s="10"/>
      <c r="AV99" s="10"/>
    </row>
    <row r="100" spans="1:48" x14ac:dyDescent="0.35">
      <c r="A100" s="1">
        <v>99</v>
      </c>
      <c r="B100">
        <v>1</v>
      </c>
      <c r="C100">
        <v>2</v>
      </c>
      <c r="D100">
        <v>43</v>
      </c>
      <c r="E100" s="3">
        <v>0</v>
      </c>
      <c r="F100" s="3" t="s">
        <v>9</v>
      </c>
      <c r="G100" s="3" t="s">
        <v>11</v>
      </c>
      <c r="H100">
        <v>11</v>
      </c>
      <c r="I100" s="4">
        <v>35000</v>
      </c>
      <c r="J100" s="4"/>
      <c r="L100" s="4">
        <v>35000</v>
      </c>
      <c r="M100">
        <v>11</v>
      </c>
      <c r="N100">
        <f t="shared" si="14"/>
        <v>1</v>
      </c>
      <c r="R100" s="4">
        <v>35000</v>
      </c>
      <c r="S100">
        <v>11</v>
      </c>
      <c r="T100">
        <f t="shared" si="15"/>
        <v>0</v>
      </c>
      <c r="X100" s="4">
        <v>35000</v>
      </c>
      <c r="Y100">
        <v>11</v>
      </c>
      <c r="Z100" s="3">
        <v>0</v>
      </c>
      <c r="AA100">
        <f t="shared" si="16"/>
        <v>1</v>
      </c>
      <c r="AB100" s="10">
        <f t="shared" si="17"/>
        <v>1</v>
      </c>
      <c r="AC100" s="10">
        <f t="shared" si="18"/>
        <v>0</v>
      </c>
      <c r="AD100" s="10">
        <f t="shared" si="19"/>
        <v>0</v>
      </c>
      <c r="AE100" s="10">
        <f t="shared" si="20"/>
        <v>0</v>
      </c>
      <c r="AP100" s="4">
        <v>35000</v>
      </c>
      <c r="AQ100">
        <v>11</v>
      </c>
      <c r="AR100">
        <f t="shared" si="13"/>
        <v>1</v>
      </c>
      <c r="AS100">
        <f t="shared" si="21"/>
        <v>11</v>
      </c>
      <c r="AU100" s="10"/>
      <c r="AV100" s="10"/>
    </row>
    <row r="101" spans="1:48" x14ac:dyDescent="0.35">
      <c r="A101" s="1">
        <v>100</v>
      </c>
      <c r="B101">
        <v>3</v>
      </c>
      <c r="C101">
        <v>2</v>
      </c>
      <c r="D101">
        <v>36</v>
      </c>
      <c r="E101" s="3">
        <v>3</v>
      </c>
      <c r="F101" s="3" t="s">
        <v>9</v>
      </c>
      <c r="G101" s="3" t="s">
        <v>11</v>
      </c>
      <c r="H101">
        <v>4</v>
      </c>
      <c r="I101" s="4">
        <v>38000</v>
      </c>
      <c r="J101" s="4"/>
      <c r="L101" s="4">
        <v>38000</v>
      </c>
      <c r="M101">
        <v>4</v>
      </c>
      <c r="N101">
        <f t="shared" si="14"/>
        <v>1</v>
      </c>
      <c r="R101" s="4">
        <v>38000</v>
      </c>
      <c r="S101">
        <v>4</v>
      </c>
      <c r="T101">
        <f t="shared" si="15"/>
        <v>0</v>
      </c>
      <c r="X101" s="4">
        <v>38000</v>
      </c>
      <c r="Y101">
        <v>4</v>
      </c>
      <c r="Z101" s="3">
        <v>3</v>
      </c>
      <c r="AA101">
        <f t="shared" si="16"/>
        <v>1</v>
      </c>
      <c r="AB101" s="10">
        <f t="shared" si="17"/>
        <v>0</v>
      </c>
      <c r="AC101" s="10">
        <f t="shared" si="18"/>
        <v>0</v>
      </c>
      <c r="AD101" s="10">
        <f t="shared" si="19"/>
        <v>0</v>
      </c>
      <c r="AE101" s="10">
        <f t="shared" si="20"/>
        <v>0</v>
      </c>
      <c r="AP101" s="4">
        <v>38000</v>
      </c>
      <c r="AQ101">
        <v>4</v>
      </c>
      <c r="AR101">
        <f t="shared" si="13"/>
        <v>1</v>
      </c>
      <c r="AS101">
        <f t="shared" si="21"/>
        <v>4</v>
      </c>
      <c r="AU101" s="10"/>
      <c r="AV101" s="10"/>
    </row>
    <row r="102" spans="1:48" x14ac:dyDescent="0.35">
      <c r="A102" s="1">
        <v>101</v>
      </c>
      <c r="B102">
        <v>1</v>
      </c>
      <c r="C102">
        <v>2</v>
      </c>
      <c r="D102">
        <v>38</v>
      </c>
      <c r="E102" s="3">
        <v>0</v>
      </c>
      <c r="F102" s="3" t="s">
        <v>9</v>
      </c>
      <c r="G102" s="3" t="s">
        <v>11</v>
      </c>
      <c r="H102">
        <v>9</v>
      </c>
      <c r="I102" s="4">
        <v>35300</v>
      </c>
      <c r="J102" s="4"/>
      <c r="L102" s="4">
        <v>35300</v>
      </c>
      <c r="M102">
        <v>9</v>
      </c>
      <c r="N102">
        <f t="shared" si="14"/>
        <v>1</v>
      </c>
      <c r="R102" s="4">
        <v>35300</v>
      </c>
      <c r="S102">
        <v>9</v>
      </c>
      <c r="T102">
        <f t="shared" si="15"/>
        <v>0</v>
      </c>
      <c r="X102" s="4">
        <v>35300</v>
      </c>
      <c r="Y102">
        <v>9</v>
      </c>
      <c r="Z102" s="3">
        <v>0</v>
      </c>
      <c r="AA102">
        <f t="shared" si="16"/>
        <v>1</v>
      </c>
      <c r="AB102" s="10">
        <f t="shared" si="17"/>
        <v>1</v>
      </c>
      <c r="AC102" s="10">
        <f t="shared" si="18"/>
        <v>0</v>
      </c>
      <c r="AD102" s="10">
        <f t="shared" si="19"/>
        <v>0</v>
      </c>
      <c r="AE102" s="10">
        <f t="shared" si="20"/>
        <v>0</v>
      </c>
      <c r="AP102" s="4">
        <v>35300</v>
      </c>
      <c r="AQ102">
        <v>9</v>
      </c>
      <c r="AR102">
        <f t="shared" si="13"/>
        <v>1</v>
      </c>
      <c r="AS102">
        <f t="shared" si="21"/>
        <v>9</v>
      </c>
      <c r="AU102" s="10"/>
      <c r="AV102" s="10"/>
    </row>
    <row r="103" spans="1:48" x14ac:dyDescent="0.35">
      <c r="A103" s="1">
        <v>102</v>
      </c>
      <c r="B103">
        <v>2</v>
      </c>
      <c r="C103">
        <v>2</v>
      </c>
      <c r="D103">
        <v>60</v>
      </c>
      <c r="E103" s="3">
        <v>0</v>
      </c>
      <c r="F103" s="3" t="s">
        <v>9</v>
      </c>
      <c r="G103" s="3" t="s">
        <v>11</v>
      </c>
      <c r="H103">
        <v>14</v>
      </c>
      <c r="I103" s="4">
        <v>34100</v>
      </c>
      <c r="J103" s="4"/>
      <c r="L103" s="4">
        <v>34100</v>
      </c>
      <c r="M103">
        <v>14</v>
      </c>
      <c r="N103">
        <f t="shared" si="14"/>
        <v>1</v>
      </c>
      <c r="R103" s="4">
        <v>34100</v>
      </c>
      <c r="S103">
        <v>14</v>
      </c>
      <c r="T103">
        <f t="shared" si="15"/>
        <v>0</v>
      </c>
      <c r="X103" s="4">
        <v>34100</v>
      </c>
      <c r="Y103">
        <v>14</v>
      </c>
      <c r="Z103" s="3">
        <v>0</v>
      </c>
      <c r="AA103">
        <f t="shared" si="16"/>
        <v>1</v>
      </c>
      <c r="AB103" s="10">
        <f t="shared" si="17"/>
        <v>0</v>
      </c>
      <c r="AC103" s="10">
        <f t="shared" si="18"/>
        <v>1</v>
      </c>
      <c r="AD103" s="10">
        <f t="shared" si="19"/>
        <v>0</v>
      </c>
      <c r="AE103" s="10">
        <f t="shared" si="20"/>
        <v>0</v>
      </c>
      <c r="AP103" s="4">
        <v>34100</v>
      </c>
      <c r="AQ103">
        <v>14</v>
      </c>
      <c r="AR103">
        <f t="shared" si="13"/>
        <v>1</v>
      </c>
      <c r="AS103">
        <f t="shared" si="21"/>
        <v>14</v>
      </c>
      <c r="AU103" s="10"/>
      <c r="AV103" s="10"/>
    </row>
    <row r="104" spans="1:48" x14ac:dyDescent="0.35">
      <c r="A104" s="1">
        <v>103</v>
      </c>
      <c r="B104">
        <v>3</v>
      </c>
      <c r="C104">
        <v>3</v>
      </c>
      <c r="D104">
        <v>43</v>
      </c>
      <c r="E104" s="3">
        <v>5</v>
      </c>
      <c r="F104" s="3" t="s">
        <v>12</v>
      </c>
      <c r="G104" s="3" t="s">
        <v>11</v>
      </c>
      <c r="H104">
        <v>4</v>
      </c>
      <c r="I104" s="4">
        <v>43200</v>
      </c>
      <c r="J104" s="4"/>
      <c r="L104" s="4">
        <v>43200</v>
      </c>
      <c r="M104">
        <v>4</v>
      </c>
      <c r="N104">
        <f t="shared" si="14"/>
        <v>1</v>
      </c>
      <c r="R104" s="4">
        <v>43200</v>
      </c>
      <c r="S104">
        <v>4</v>
      </c>
      <c r="T104">
        <f t="shared" si="15"/>
        <v>0</v>
      </c>
      <c r="X104" s="4">
        <v>43200</v>
      </c>
      <c r="Y104">
        <v>4</v>
      </c>
      <c r="Z104" s="3">
        <v>5</v>
      </c>
      <c r="AA104">
        <f t="shared" si="16"/>
        <v>1</v>
      </c>
      <c r="AB104" s="10">
        <f t="shared" si="17"/>
        <v>0</v>
      </c>
      <c r="AC104" s="10">
        <f t="shared" si="18"/>
        <v>0</v>
      </c>
      <c r="AD104" s="10">
        <f t="shared" si="19"/>
        <v>0</v>
      </c>
      <c r="AE104" s="10">
        <f t="shared" si="20"/>
        <v>0</v>
      </c>
      <c r="AP104" s="4">
        <v>43200</v>
      </c>
      <c r="AQ104">
        <v>4</v>
      </c>
      <c r="AR104">
        <f t="shared" si="13"/>
        <v>1</v>
      </c>
      <c r="AS104">
        <f t="shared" si="21"/>
        <v>4</v>
      </c>
      <c r="AU104" s="10"/>
      <c r="AV104" s="10"/>
    </row>
    <row r="105" spans="1:48" x14ac:dyDescent="0.35">
      <c r="A105" s="1">
        <v>104</v>
      </c>
      <c r="B105">
        <v>2</v>
      </c>
      <c r="C105">
        <v>3</v>
      </c>
      <c r="D105">
        <v>48</v>
      </c>
      <c r="E105" s="3">
        <v>5</v>
      </c>
      <c r="F105" s="3" t="s">
        <v>9</v>
      </c>
      <c r="G105" s="3" t="s">
        <v>11</v>
      </c>
      <c r="H105">
        <v>15</v>
      </c>
      <c r="I105" s="4">
        <v>36100</v>
      </c>
      <c r="J105" s="4"/>
      <c r="L105" s="4">
        <v>36100</v>
      </c>
      <c r="M105">
        <v>15</v>
      </c>
      <c r="N105">
        <f t="shared" si="14"/>
        <v>1</v>
      </c>
      <c r="R105" s="4">
        <v>36100</v>
      </c>
      <c r="S105">
        <v>15</v>
      </c>
      <c r="T105">
        <f t="shared" si="15"/>
        <v>0</v>
      </c>
      <c r="X105" s="4">
        <v>36100</v>
      </c>
      <c r="Y105">
        <v>15</v>
      </c>
      <c r="Z105" s="3">
        <v>5</v>
      </c>
      <c r="AA105">
        <f t="shared" si="16"/>
        <v>1</v>
      </c>
      <c r="AB105" s="10">
        <f t="shared" si="17"/>
        <v>0</v>
      </c>
      <c r="AC105" s="10">
        <f t="shared" si="18"/>
        <v>1</v>
      </c>
      <c r="AD105" s="10">
        <f t="shared" si="19"/>
        <v>0</v>
      </c>
      <c r="AE105" s="10">
        <f t="shared" si="20"/>
        <v>0</v>
      </c>
      <c r="AP105" s="4">
        <v>36100</v>
      </c>
      <c r="AQ105">
        <v>15</v>
      </c>
      <c r="AR105">
        <f t="shared" si="13"/>
        <v>1</v>
      </c>
      <c r="AS105">
        <f t="shared" si="21"/>
        <v>15</v>
      </c>
      <c r="AU105" s="10"/>
      <c r="AV105" s="10"/>
    </row>
    <row r="106" spans="1:48" x14ac:dyDescent="0.35">
      <c r="A106" s="1">
        <v>105</v>
      </c>
      <c r="B106">
        <v>5</v>
      </c>
      <c r="C106">
        <v>3</v>
      </c>
      <c r="D106">
        <v>32</v>
      </c>
      <c r="E106" s="3">
        <v>3</v>
      </c>
      <c r="F106" s="3" t="s">
        <v>9</v>
      </c>
      <c r="G106" s="3" t="s">
        <v>11</v>
      </c>
      <c r="H106">
        <v>7</v>
      </c>
      <c r="I106" s="4">
        <v>34600</v>
      </c>
      <c r="J106" s="4"/>
      <c r="L106" s="4">
        <v>34600</v>
      </c>
      <c r="M106">
        <v>7</v>
      </c>
      <c r="N106">
        <f t="shared" si="14"/>
        <v>1</v>
      </c>
      <c r="R106" s="4">
        <v>34600</v>
      </c>
      <c r="S106">
        <v>7</v>
      </c>
      <c r="T106">
        <f t="shared" si="15"/>
        <v>0</v>
      </c>
      <c r="X106" s="4">
        <v>34600</v>
      </c>
      <c r="Y106">
        <v>7</v>
      </c>
      <c r="Z106" s="3">
        <v>3</v>
      </c>
      <c r="AA106">
        <f t="shared" si="16"/>
        <v>1</v>
      </c>
      <c r="AB106" s="10">
        <f t="shared" si="17"/>
        <v>0</v>
      </c>
      <c r="AC106" s="10">
        <f t="shared" si="18"/>
        <v>0</v>
      </c>
      <c r="AD106" s="10">
        <f t="shared" si="19"/>
        <v>0</v>
      </c>
      <c r="AE106" s="10">
        <f t="shared" si="20"/>
        <v>1</v>
      </c>
      <c r="AP106" s="4">
        <v>34600</v>
      </c>
      <c r="AQ106">
        <v>7</v>
      </c>
      <c r="AR106">
        <f t="shared" si="13"/>
        <v>1</v>
      </c>
      <c r="AS106">
        <f t="shared" si="21"/>
        <v>7</v>
      </c>
      <c r="AU106" s="10"/>
      <c r="AV106" s="10"/>
    </row>
    <row r="107" spans="1:48" x14ac:dyDescent="0.35">
      <c r="A107" s="1">
        <v>106</v>
      </c>
      <c r="B107">
        <v>3</v>
      </c>
      <c r="C107">
        <v>3</v>
      </c>
      <c r="D107">
        <v>31</v>
      </c>
      <c r="E107" s="3">
        <v>0</v>
      </c>
      <c r="F107" s="3" t="s">
        <v>9</v>
      </c>
      <c r="G107" s="3" t="s">
        <v>10</v>
      </c>
      <c r="H107">
        <v>5</v>
      </c>
      <c r="I107" s="4">
        <v>36000</v>
      </c>
      <c r="J107" s="4"/>
      <c r="L107" s="4">
        <v>36000</v>
      </c>
      <c r="M107">
        <v>5</v>
      </c>
      <c r="N107">
        <f t="shared" si="14"/>
        <v>0</v>
      </c>
      <c r="R107" s="4">
        <v>36000</v>
      </c>
      <c r="S107">
        <v>5</v>
      </c>
      <c r="T107">
        <f t="shared" si="15"/>
        <v>1</v>
      </c>
      <c r="X107" s="4">
        <v>36000</v>
      </c>
      <c r="Y107">
        <v>5</v>
      </c>
      <c r="Z107" s="3">
        <v>0</v>
      </c>
      <c r="AA107">
        <f t="shared" si="16"/>
        <v>0</v>
      </c>
      <c r="AB107" s="10">
        <f t="shared" si="17"/>
        <v>0</v>
      </c>
      <c r="AC107" s="10">
        <f t="shared" si="18"/>
        <v>0</v>
      </c>
      <c r="AD107" s="10">
        <f t="shared" si="19"/>
        <v>0</v>
      </c>
      <c r="AE107" s="10">
        <f t="shared" si="20"/>
        <v>0</v>
      </c>
      <c r="AP107" s="4">
        <v>36000</v>
      </c>
      <c r="AQ107">
        <v>5</v>
      </c>
      <c r="AR107">
        <f t="shared" si="13"/>
        <v>0</v>
      </c>
      <c r="AS107">
        <f t="shared" si="21"/>
        <v>0</v>
      </c>
      <c r="AU107" s="10"/>
      <c r="AV107" s="10"/>
    </row>
    <row r="108" spans="1:48" x14ac:dyDescent="0.35">
      <c r="A108" s="1">
        <v>107</v>
      </c>
      <c r="B108">
        <v>5</v>
      </c>
      <c r="C108">
        <v>3</v>
      </c>
      <c r="D108">
        <v>29</v>
      </c>
      <c r="E108" s="3">
        <v>2</v>
      </c>
      <c r="F108" s="3" t="s">
        <v>9</v>
      </c>
      <c r="G108" s="3" t="s">
        <v>11</v>
      </c>
      <c r="H108">
        <v>7</v>
      </c>
      <c r="I108" s="4">
        <v>36200</v>
      </c>
      <c r="J108" s="4"/>
      <c r="L108" s="4">
        <v>36200</v>
      </c>
      <c r="M108">
        <v>7</v>
      </c>
      <c r="N108">
        <f t="shared" si="14"/>
        <v>1</v>
      </c>
      <c r="R108" s="4">
        <v>36200</v>
      </c>
      <c r="S108">
        <v>7</v>
      </c>
      <c r="T108">
        <f t="shared" si="15"/>
        <v>0</v>
      </c>
      <c r="X108" s="4">
        <v>36200</v>
      </c>
      <c r="Y108">
        <v>7</v>
      </c>
      <c r="Z108" s="3">
        <v>2</v>
      </c>
      <c r="AA108">
        <f t="shared" si="16"/>
        <v>1</v>
      </c>
      <c r="AB108" s="10">
        <f t="shared" si="17"/>
        <v>0</v>
      </c>
      <c r="AC108" s="10">
        <f t="shared" si="18"/>
        <v>0</v>
      </c>
      <c r="AD108" s="10">
        <f t="shared" si="19"/>
        <v>0</v>
      </c>
      <c r="AE108" s="10">
        <f t="shared" si="20"/>
        <v>1</v>
      </c>
      <c r="AP108" s="4">
        <v>36200</v>
      </c>
      <c r="AQ108">
        <v>7</v>
      </c>
      <c r="AR108">
        <f t="shared" si="13"/>
        <v>1</v>
      </c>
      <c r="AS108">
        <f t="shared" si="21"/>
        <v>7</v>
      </c>
      <c r="AU108" s="10"/>
      <c r="AV108" s="10"/>
    </row>
    <row r="109" spans="1:48" x14ac:dyDescent="0.35">
      <c r="A109" s="1">
        <v>108</v>
      </c>
      <c r="B109">
        <v>3</v>
      </c>
      <c r="C109">
        <v>3</v>
      </c>
      <c r="D109">
        <v>35</v>
      </c>
      <c r="E109" s="3">
        <v>0</v>
      </c>
      <c r="F109" s="3" t="s">
        <v>9</v>
      </c>
      <c r="G109" s="3" t="s">
        <v>11</v>
      </c>
      <c r="H109">
        <v>7</v>
      </c>
      <c r="I109" s="4">
        <v>37500</v>
      </c>
      <c r="J109" s="4"/>
      <c r="L109" s="4">
        <v>37500</v>
      </c>
      <c r="M109">
        <v>7</v>
      </c>
      <c r="N109">
        <f t="shared" si="14"/>
        <v>1</v>
      </c>
      <c r="R109" s="4">
        <v>37500</v>
      </c>
      <c r="S109">
        <v>7</v>
      </c>
      <c r="T109">
        <f t="shared" si="15"/>
        <v>0</v>
      </c>
      <c r="X109" s="4">
        <v>37500</v>
      </c>
      <c r="Y109">
        <v>7</v>
      </c>
      <c r="Z109" s="3">
        <v>0</v>
      </c>
      <c r="AA109">
        <f t="shared" si="16"/>
        <v>1</v>
      </c>
      <c r="AB109" s="10">
        <f t="shared" si="17"/>
        <v>0</v>
      </c>
      <c r="AC109" s="10">
        <f t="shared" si="18"/>
        <v>0</v>
      </c>
      <c r="AD109" s="10">
        <f t="shared" si="19"/>
        <v>0</v>
      </c>
      <c r="AE109" s="10">
        <f t="shared" si="20"/>
        <v>0</v>
      </c>
      <c r="AP109" s="4">
        <v>37500</v>
      </c>
      <c r="AQ109">
        <v>7</v>
      </c>
      <c r="AR109">
        <f t="shared" si="13"/>
        <v>1</v>
      </c>
      <c r="AS109">
        <f t="shared" si="21"/>
        <v>7</v>
      </c>
      <c r="AU109" s="10"/>
      <c r="AV109" s="10"/>
    </row>
    <row r="110" spans="1:48" x14ac:dyDescent="0.35">
      <c r="A110" s="1">
        <v>109</v>
      </c>
      <c r="B110">
        <v>3</v>
      </c>
      <c r="C110">
        <v>3</v>
      </c>
      <c r="D110">
        <v>37</v>
      </c>
      <c r="E110" s="3">
        <v>12</v>
      </c>
      <c r="F110" s="3" t="s">
        <v>9</v>
      </c>
      <c r="G110" s="3" t="s">
        <v>11</v>
      </c>
      <c r="H110">
        <v>4</v>
      </c>
      <c r="I110" s="4">
        <v>41000</v>
      </c>
      <c r="J110" s="4"/>
      <c r="L110" s="4">
        <v>41000</v>
      </c>
      <c r="M110">
        <v>4</v>
      </c>
      <c r="N110">
        <f t="shared" si="14"/>
        <v>1</v>
      </c>
      <c r="R110" s="4">
        <v>41000</v>
      </c>
      <c r="S110">
        <v>4</v>
      </c>
      <c r="T110">
        <f t="shared" si="15"/>
        <v>0</v>
      </c>
      <c r="X110" s="4">
        <v>41000</v>
      </c>
      <c r="Y110">
        <v>4</v>
      </c>
      <c r="Z110" s="3">
        <v>12</v>
      </c>
      <c r="AA110">
        <f t="shared" si="16"/>
        <v>1</v>
      </c>
      <c r="AB110" s="10">
        <f t="shared" si="17"/>
        <v>0</v>
      </c>
      <c r="AC110" s="10">
        <f t="shared" si="18"/>
        <v>0</v>
      </c>
      <c r="AD110" s="10">
        <f t="shared" si="19"/>
        <v>0</v>
      </c>
      <c r="AE110" s="10">
        <f t="shared" si="20"/>
        <v>0</v>
      </c>
      <c r="AP110" s="4">
        <v>41000</v>
      </c>
      <c r="AQ110">
        <v>4</v>
      </c>
      <c r="AR110">
        <f t="shared" si="13"/>
        <v>1</v>
      </c>
      <c r="AS110">
        <f t="shared" si="21"/>
        <v>4</v>
      </c>
      <c r="AU110" s="10"/>
      <c r="AV110" s="10"/>
    </row>
    <row r="111" spans="1:48" x14ac:dyDescent="0.35">
      <c r="A111" s="1">
        <v>110</v>
      </c>
      <c r="B111">
        <v>2</v>
      </c>
      <c r="C111">
        <v>3</v>
      </c>
      <c r="D111">
        <v>43</v>
      </c>
      <c r="E111" s="3">
        <v>0</v>
      </c>
      <c r="F111" s="3" t="s">
        <v>9</v>
      </c>
      <c r="G111" s="3" t="s">
        <v>11</v>
      </c>
      <c r="H111">
        <v>10</v>
      </c>
      <c r="I111" s="4">
        <v>35600</v>
      </c>
      <c r="J111" s="4"/>
      <c r="L111" s="4">
        <v>35600</v>
      </c>
      <c r="M111">
        <v>10</v>
      </c>
      <c r="N111">
        <f t="shared" si="14"/>
        <v>1</v>
      </c>
      <c r="R111" s="4">
        <v>35600</v>
      </c>
      <c r="S111">
        <v>10</v>
      </c>
      <c r="T111">
        <f t="shared" si="15"/>
        <v>0</v>
      </c>
      <c r="X111" s="4">
        <v>35600</v>
      </c>
      <c r="Y111">
        <v>10</v>
      </c>
      <c r="Z111" s="3">
        <v>0</v>
      </c>
      <c r="AA111">
        <f t="shared" si="16"/>
        <v>1</v>
      </c>
      <c r="AB111" s="10">
        <f t="shared" si="17"/>
        <v>0</v>
      </c>
      <c r="AC111" s="10">
        <f t="shared" si="18"/>
        <v>1</v>
      </c>
      <c r="AD111" s="10">
        <f t="shared" si="19"/>
        <v>0</v>
      </c>
      <c r="AE111" s="10">
        <f t="shared" si="20"/>
        <v>0</v>
      </c>
      <c r="AP111" s="4">
        <v>35600</v>
      </c>
      <c r="AQ111">
        <v>10</v>
      </c>
      <c r="AR111">
        <f t="shared" si="13"/>
        <v>1</v>
      </c>
      <c r="AS111">
        <f t="shared" si="21"/>
        <v>10</v>
      </c>
      <c r="AU111" s="10"/>
      <c r="AV111" s="10"/>
    </row>
    <row r="112" spans="1:48" x14ac:dyDescent="0.35">
      <c r="A112" s="1">
        <v>111</v>
      </c>
      <c r="B112">
        <v>3</v>
      </c>
      <c r="C112">
        <v>3</v>
      </c>
      <c r="D112">
        <v>33</v>
      </c>
      <c r="E112" s="3">
        <v>5</v>
      </c>
      <c r="F112" s="3" t="s">
        <v>9</v>
      </c>
      <c r="G112" s="3" t="s">
        <v>11</v>
      </c>
      <c r="H112">
        <v>5</v>
      </c>
      <c r="I112" s="4">
        <v>39800</v>
      </c>
      <c r="J112" s="4"/>
      <c r="L112" s="4">
        <v>39800</v>
      </c>
      <c r="M112">
        <v>5</v>
      </c>
      <c r="N112">
        <f t="shared" si="14"/>
        <v>1</v>
      </c>
      <c r="R112" s="4">
        <v>39800</v>
      </c>
      <c r="S112">
        <v>5</v>
      </c>
      <c r="T112">
        <f t="shared" si="15"/>
        <v>0</v>
      </c>
      <c r="X112" s="4">
        <v>39800</v>
      </c>
      <c r="Y112">
        <v>5</v>
      </c>
      <c r="Z112" s="3">
        <v>5</v>
      </c>
      <c r="AA112">
        <f t="shared" si="16"/>
        <v>1</v>
      </c>
      <c r="AB112" s="10">
        <f t="shared" si="17"/>
        <v>0</v>
      </c>
      <c r="AC112" s="10">
        <f t="shared" si="18"/>
        <v>0</v>
      </c>
      <c r="AD112" s="10">
        <f t="shared" si="19"/>
        <v>0</v>
      </c>
      <c r="AE112" s="10">
        <f t="shared" si="20"/>
        <v>0</v>
      </c>
      <c r="AP112" s="4">
        <v>39800</v>
      </c>
      <c r="AQ112">
        <v>5</v>
      </c>
      <c r="AR112">
        <f t="shared" si="13"/>
        <v>1</v>
      </c>
      <c r="AS112">
        <f t="shared" si="21"/>
        <v>5</v>
      </c>
      <c r="AU112" s="10"/>
      <c r="AV112" s="10"/>
    </row>
    <row r="113" spans="1:48" x14ac:dyDescent="0.35">
      <c r="A113" s="1">
        <v>112</v>
      </c>
      <c r="B113">
        <v>4</v>
      </c>
      <c r="C113">
        <v>3</v>
      </c>
      <c r="D113">
        <v>58</v>
      </c>
      <c r="E113" s="3">
        <v>4</v>
      </c>
      <c r="F113" s="3" t="s">
        <v>12</v>
      </c>
      <c r="G113" s="3" t="s">
        <v>11</v>
      </c>
      <c r="H113">
        <v>11</v>
      </c>
      <c r="I113" s="4">
        <v>41300</v>
      </c>
      <c r="J113" s="4"/>
      <c r="L113" s="4">
        <v>41300</v>
      </c>
      <c r="M113">
        <v>11</v>
      </c>
      <c r="N113">
        <f t="shared" si="14"/>
        <v>1</v>
      </c>
      <c r="R113" s="4">
        <v>41300</v>
      </c>
      <c r="S113">
        <v>11</v>
      </c>
      <c r="T113">
        <f t="shared" si="15"/>
        <v>0</v>
      </c>
      <c r="X113" s="4">
        <v>41300</v>
      </c>
      <c r="Y113">
        <v>11</v>
      </c>
      <c r="Z113" s="3">
        <v>4</v>
      </c>
      <c r="AA113">
        <f t="shared" si="16"/>
        <v>1</v>
      </c>
      <c r="AB113" s="10">
        <f t="shared" si="17"/>
        <v>0</v>
      </c>
      <c r="AC113" s="10">
        <f t="shared" si="18"/>
        <v>0</v>
      </c>
      <c r="AD113" s="10">
        <f t="shared" si="19"/>
        <v>1</v>
      </c>
      <c r="AE113" s="10">
        <f t="shared" si="20"/>
        <v>0</v>
      </c>
      <c r="AP113" s="4">
        <v>41300</v>
      </c>
      <c r="AQ113">
        <v>11</v>
      </c>
      <c r="AR113">
        <f t="shared" si="13"/>
        <v>1</v>
      </c>
      <c r="AS113">
        <f t="shared" si="21"/>
        <v>11</v>
      </c>
      <c r="AU113" s="10"/>
      <c r="AV113" s="10"/>
    </row>
    <row r="114" spans="1:48" x14ac:dyDescent="0.35">
      <c r="A114" s="1">
        <v>113</v>
      </c>
      <c r="B114">
        <v>3</v>
      </c>
      <c r="C114">
        <v>3</v>
      </c>
      <c r="D114">
        <v>44</v>
      </c>
      <c r="E114" s="3">
        <v>7</v>
      </c>
      <c r="F114" s="3" t="s">
        <v>9</v>
      </c>
      <c r="G114" s="3" t="s">
        <v>11</v>
      </c>
      <c r="H114">
        <v>9</v>
      </c>
      <c r="I114" s="4">
        <v>42500</v>
      </c>
      <c r="J114" s="4"/>
      <c r="L114" s="4">
        <v>42500</v>
      </c>
      <c r="M114">
        <v>9</v>
      </c>
      <c r="N114">
        <f t="shared" si="14"/>
        <v>1</v>
      </c>
      <c r="R114" s="4">
        <v>42500</v>
      </c>
      <c r="S114">
        <v>9</v>
      </c>
      <c r="T114">
        <f t="shared" si="15"/>
        <v>0</v>
      </c>
      <c r="X114" s="4">
        <v>42500</v>
      </c>
      <c r="Y114">
        <v>9</v>
      </c>
      <c r="Z114" s="3">
        <v>7</v>
      </c>
      <c r="AA114">
        <f t="shared" si="16"/>
        <v>1</v>
      </c>
      <c r="AB114" s="10">
        <f t="shared" si="17"/>
        <v>0</v>
      </c>
      <c r="AC114" s="10">
        <f t="shared" si="18"/>
        <v>0</v>
      </c>
      <c r="AD114" s="10">
        <f t="shared" si="19"/>
        <v>0</v>
      </c>
      <c r="AE114" s="10">
        <f t="shared" si="20"/>
        <v>0</v>
      </c>
      <c r="AP114" s="4">
        <v>42500</v>
      </c>
      <c r="AQ114">
        <v>9</v>
      </c>
      <c r="AR114">
        <f t="shared" si="13"/>
        <v>1</v>
      </c>
      <c r="AS114">
        <f t="shared" si="21"/>
        <v>9</v>
      </c>
      <c r="AU114" s="10"/>
      <c r="AV114" s="10"/>
    </row>
    <row r="115" spans="1:48" x14ac:dyDescent="0.35">
      <c r="A115" s="1">
        <v>114</v>
      </c>
      <c r="B115">
        <v>3</v>
      </c>
      <c r="C115">
        <v>3</v>
      </c>
      <c r="D115">
        <v>37</v>
      </c>
      <c r="E115" s="3">
        <v>8</v>
      </c>
      <c r="F115" s="3" t="s">
        <v>12</v>
      </c>
      <c r="G115" s="3" t="s">
        <v>11</v>
      </c>
      <c r="H115">
        <v>4</v>
      </c>
      <c r="I115" s="4">
        <v>45800</v>
      </c>
      <c r="J115" s="4"/>
      <c r="L115" s="4">
        <v>45800</v>
      </c>
      <c r="M115">
        <v>4</v>
      </c>
      <c r="N115">
        <f t="shared" si="14"/>
        <v>1</v>
      </c>
      <c r="R115" s="4">
        <v>45800</v>
      </c>
      <c r="S115">
        <v>4</v>
      </c>
      <c r="T115">
        <f t="shared" si="15"/>
        <v>0</v>
      </c>
      <c r="X115" s="4">
        <v>45800</v>
      </c>
      <c r="Y115">
        <v>4</v>
      </c>
      <c r="Z115" s="3">
        <v>8</v>
      </c>
      <c r="AA115">
        <f t="shared" si="16"/>
        <v>1</v>
      </c>
      <c r="AB115" s="10">
        <f t="shared" si="17"/>
        <v>0</v>
      </c>
      <c r="AC115" s="10">
        <f t="shared" si="18"/>
        <v>0</v>
      </c>
      <c r="AD115" s="10">
        <f t="shared" si="19"/>
        <v>0</v>
      </c>
      <c r="AE115" s="10">
        <f t="shared" si="20"/>
        <v>0</v>
      </c>
      <c r="AP115" s="4">
        <v>45800</v>
      </c>
      <c r="AQ115">
        <v>4</v>
      </c>
      <c r="AR115">
        <f t="shared" si="13"/>
        <v>1</v>
      </c>
      <c r="AS115">
        <f t="shared" si="21"/>
        <v>4</v>
      </c>
      <c r="AU115" s="10"/>
      <c r="AV115" s="10"/>
    </row>
    <row r="116" spans="1:48" x14ac:dyDescent="0.35">
      <c r="A116" s="1">
        <v>115</v>
      </c>
      <c r="B116">
        <v>5</v>
      </c>
      <c r="C116">
        <v>3</v>
      </c>
      <c r="D116">
        <v>48</v>
      </c>
      <c r="E116" s="3">
        <v>6</v>
      </c>
      <c r="F116" s="3" t="s">
        <v>9</v>
      </c>
      <c r="G116" s="3" t="s">
        <v>11</v>
      </c>
      <c r="H116">
        <v>5</v>
      </c>
      <c r="I116" s="4">
        <v>34900</v>
      </c>
      <c r="J116" s="4"/>
      <c r="L116" s="4">
        <v>34900</v>
      </c>
      <c r="M116">
        <v>5</v>
      </c>
      <c r="N116">
        <f t="shared" si="14"/>
        <v>1</v>
      </c>
      <c r="R116" s="4">
        <v>34900</v>
      </c>
      <c r="S116">
        <v>5</v>
      </c>
      <c r="T116">
        <f t="shared" si="15"/>
        <v>0</v>
      </c>
      <c r="X116" s="4">
        <v>34900</v>
      </c>
      <c r="Y116">
        <v>5</v>
      </c>
      <c r="Z116" s="3">
        <v>6</v>
      </c>
      <c r="AA116">
        <f t="shared" si="16"/>
        <v>1</v>
      </c>
      <c r="AB116" s="10">
        <f t="shared" si="17"/>
        <v>0</v>
      </c>
      <c r="AC116" s="10">
        <f t="shared" si="18"/>
        <v>0</v>
      </c>
      <c r="AD116" s="10">
        <f t="shared" si="19"/>
        <v>0</v>
      </c>
      <c r="AE116" s="10">
        <f t="shared" si="20"/>
        <v>1</v>
      </c>
      <c r="AP116" s="4">
        <v>34900</v>
      </c>
      <c r="AQ116">
        <v>5</v>
      </c>
      <c r="AR116">
        <f t="shared" si="13"/>
        <v>1</v>
      </c>
      <c r="AS116">
        <f t="shared" si="21"/>
        <v>5</v>
      </c>
      <c r="AU116" s="10"/>
      <c r="AV116" s="10"/>
    </row>
    <row r="117" spans="1:48" x14ac:dyDescent="0.35">
      <c r="A117" s="1">
        <v>116</v>
      </c>
      <c r="B117">
        <v>5</v>
      </c>
      <c r="C117">
        <v>3</v>
      </c>
      <c r="D117">
        <v>26</v>
      </c>
      <c r="E117" s="3">
        <v>0</v>
      </c>
      <c r="F117" s="3" t="s">
        <v>9</v>
      </c>
      <c r="G117" s="3" t="s">
        <v>10</v>
      </c>
      <c r="H117">
        <v>4</v>
      </c>
      <c r="I117" s="4">
        <v>41500</v>
      </c>
      <c r="J117" s="4"/>
      <c r="L117" s="4">
        <v>41500</v>
      </c>
      <c r="M117">
        <v>4</v>
      </c>
      <c r="N117">
        <f t="shared" si="14"/>
        <v>0</v>
      </c>
      <c r="R117" s="4">
        <v>41500</v>
      </c>
      <c r="S117">
        <v>4</v>
      </c>
      <c r="T117">
        <f t="shared" si="15"/>
        <v>1</v>
      </c>
      <c r="X117" s="4">
        <v>41500</v>
      </c>
      <c r="Y117">
        <v>4</v>
      </c>
      <c r="Z117" s="3">
        <v>0</v>
      </c>
      <c r="AA117">
        <f t="shared" si="16"/>
        <v>0</v>
      </c>
      <c r="AB117" s="10">
        <f t="shared" si="17"/>
        <v>0</v>
      </c>
      <c r="AC117" s="10">
        <f t="shared" si="18"/>
        <v>0</v>
      </c>
      <c r="AD117" s="10">
        <f t="shared" si="19"/>
        <v>0</v>
      </c>
      <c r="AE117" s="10">
        <f t="shared" si="20"/>
        <v>1</v>
      </c>
      <c r="AP117" s="4">
        <v>41500</v>
      </c>
      <c r="AQ117">
        <v>4</v>
      </c>
      <c r="AR117">
        <f t="shared" si="13"/>
        <v>0</v>
      </c>
      <c r="AS117">
        <f t="shared" si="21"/>
        <v>0</v>
      </c>
      <c r="AU117" s="10"/>
      <c r="AV117" s="10"/>
    </row>
    <row r="118" spans="1:48" x14ac:dyDescent="0.35">
      <c r="A118" s="1">
        <v>117</v>
      </c>
      <c r="B118">
        <v>3</v>
      </c>
      <c r="C118">
        <v>3</v>
      </c>
      <c r="D118">
        <v>25</v>
      </c>
      <c r="E118" s="3">
        <v>0</v>
      </c>
      <c r="F118" s="3" t="s">
        <v>9</v>
      </c>
      <c r="G118" s="3" t="s">
        <v>11</v>
      </c>
      <c r="H118">
        <v>5</v>
      </c>
      <c r="I118" s="4">
        <v>38000</v>
      </c>
      <c r="J118" s="4"/>
      <c r="L118" s="4">
        <v>38000</v>
      </c>
      <c r="M118">
        <v>5</v>
      </c>
      <c r="N118">
        <f t="shared" si="14"/>
        <v>1</v>
      </c>
      <c r="R118" s="4">
        <v>38000</v>
      </c>
      <c r="S118">
        <v>5</v>
      </c>
      <c r="T118">
        <f t="shared" si="15"/>
        <v>0</v>
      </c>
      <c r="X118" s="4">
        <v>38000</v>
      </c>
      <c r="Y118">
        <v>5</v>
      </c>
      <c r="Z118" s="3">
        <v>0</v>
      </c>
      <c r="AA118">
        <f t="shared" si="16"/>
        <v>1</v>
      </c>
      <c r="AB118" s="10">
        <f t="shared" si="17"/>
        <v>0</v>
      </c>
      <c r="AC118" s="10">
        <f t="shared" si="18"/>
        <v>0</v>
      </c>
      <c r="AD118" s="10">
        <f t="shared" si="19"/>
        <v>0</v>
      </c>
      <c r="AE118" s="10">
        <f t="shared" si="20"/>
        <v>0</v>
      </c>
      <c r="AP118" s="4">
        <v>38000</v>
      </c>
      <c r="AQ118">
        <v>5</v>
      </c>
      <c r="AR118">
        <f t="shared" si="13"/>
        <v>1</v>
      </c>
      <c r="AS118">
        <f t="shared" si="21"/>
        <v>5</v>
      </c>
      <c r="AU118" s="10"/>
      <c r="AV118" s="10"/>
    </row>
    <row r="119" spans="1:48" x14ac:dyDescent="0.35">
      <c r="A119" s="1">
        <v>118</v>
      </c>
      <c r="B119">
        <v>4</v>
      </c>
      <c r="C119">
        <v>3</v>
      </c>
      <c r="D119">
        <v>38</v>
      </c>
      <c r="E119" s="3">
        <v>0</v>
      </c>
      <c r="F119" s="3" t="s">
        <v>9</v>
      </c>
      <c r="G119" s="3" t="s">
        <v>11</v>
      </c>
      <c r="H119">
        <v>6</v>
      </c>
      <c r="I119" s="4">
        <v>35000</v>
      </c>
      <c r="J119" s="4"/>
      <c r="L119" s="4">
        <v>35000</v>
      </c>
      <c r="M119">
        <v>6</v>
      </c>
      <c r="N119">
        <f t="shared" si="14"/>
        <v>1</v>
      </c>
      <c r="R119" s="4">
        <v>35000</v>
      </c>
      <c r="S119">
        <v>6</v>
      </c>
      <c r="T119">
        <f t="shared" si="15"/>
        <v>0</v>
      </c>
      <c r="X119" s="4">
        <v>35000</v>
      </c>
      <c r="Y119">
        <v>6</v>
      </c>
      <c r="Z119" s="3">
        <v>0</v>
      </c>
      <c r="AA119">
        <f t="shared" si="16"/>
        <v>1</v>
      </c>
      <c r="AB119" s="10">
        <f t="shared" si="17"/>
        <v>0</v>
      </c>
      <c r="AC119" s="10">
        <f t="shared" si="18"/>
        <v>0</v>
      </c>
      <c r="AD119" s="10">
        <f t="shared" si="19"/>
        <v>1</v>
      </c>
      <c r="AE119" s="10">
        <f t="shared" si="20"/>
        <v>0</v>
      </c>
      <c r="AP119" s="4">
        <v>35000</v>
      </c>
      <c r="AQ119">
        <v>6</v>
      </c>
      <c r="AR119">
        <f t="shared" si="13"/>
        <v>1</v>
      </c>
      <c r="AS119">
        <f t="shared" si="21"/>
        <v>6</v>
      </c>
      <c r="AU119" s="10"/>
      <c r="AV119" s="10"/>
    </row>
    <row r="120" spans="1:48" x14ac:dyDescent="0.35">
      <c r="A120" s="1">
        <v>119</v>
      </c>
      <c r="B120">
        <v>3</v>
      </c>
      <c r="C120">
        <v>3</v>
      </c>
      <c r="D120">
        <v>41</v>
      </c>
      <c r="E120" s="3">
        <v>0</v>
      </c>
      <c r="F120" s="3" t="s">
        <v>9</v>
      </c>
      <c r="G120" s="3" t="s">
        <v>11</v>
      </c>
      <c r="H120">
        <v>6</v>
      </c>
      <c r="I120" s="4">
        <v>40000</v>
      </c>
      <c r="J120" s="4"/>
      <c r="L120" s="4">
        <v>40000</v>
      </c>
      <c r="M120">
        <v>6</v>
      </c>
      <c r="N120">
        <f t="shared" si="14"/>
        <v>1</v>
      </c>
      <c r="R120" s="4">
        <v>40000</v>
      </c>
      <c r="S120">
        <v>6</v>
      </c>
      <c r="T120">
        <f t="shared" si="15"/>
        <v>0</v>
      </c>
      <c r="X120" s="4">
        <v>40000</v>
      </c>
      <c r="Y120">
        <v>6</v>
      </c>
      <c r="Z120" s="3">
        <v>0</v>
      </c>
      <c r="AA120">
        <f t="shared" si="16"/>
        <v>1</v>
      </c>
      <c r="AB120" s="10">
        <f t="shared" si="17"/>
        <v>0</v>
      </c>
      <c r="AC120" s="10">
        <f t="shared" si="18"/>
        <v>0</v>
      </c>
      <c r="AD120" s="10">
        <f t="shared" si="19"/>
        <v>0</v>
      </c>
      <c r="AE120" s="10">
        <f t="shared" si="20"/>
        <v>0</v>
      </c>
      <c r="AP120" s="4">
        <v>40000</v>
      </c>
      <c r="AQ120">
        <v>6</v>
      </c>
      <c r="AR120">
        <f t="shared" si="13"/>
        <v>1</v>
      </c>
      <c r="AS120">
        <f t="shared" si="21"/>
        <v>6</v>
      </c>
      <c r="AU120" s="10"/>
      <c r="AV120" s="10"/>
    </row>
    <row r="121" spans="1:48" x14ac:dyDescent="0.35">
      <c r="A121" s="1">
        <v>120</v>
      </c>
      <c r="B121">
        <v>3</v>
      </c>
      <c r="C121">
        <v>3</v>
      </c>
      <c r="D121">
        <v>29</v>
      </c>
      <c r="E121" s="3">
        <v>0</v>
      </c>
      <c r="F121" s="3" t="s">
        <v>9</v>
      </c>
      <c r="G121" s="3" t="s">
        <v>10</v>
      </c>
      <c r="H121">
        <v>5</v>
      </c>
      <c r="I121" s="4">
        <v>36000</v>
      </c>
      <c r="J121" s="4"/>
      <c r="L121" s="4">
        <v>36000</v>
      </c>
      <c r="M121">
        <v>5</v>
      </c>
      <c r="N121">
        <f t="shared" si="14"/>
        <v>0</v>
      </c>
      <c r="R121" s="4">
        <v>36000</v>
      </c>
      <c r="S121">
        <v>5</v>
      </c>
      <c r="T121">
        <f t="shared" si="15"/>
        <v>1</v>
      </c>
      <c r="X121" s="4">
        <v>36000</v>
      </c>
      <c r="Y121">
        <v>5</v>
      </c>
      <c r="Z121" s="3">
        <v>0</v>
      </c>
      <c r="AA121">
        <f t="shared" si="16"/>
        <v>0</v>
      </c>
      <c r="AB121" s="10">
        <f t="shared" si="17"/>
        <v>0</v>
      </c>
      <c r="AC121" s="10">
        <f t="shared" si="18"/>
        <v>0</v>
      </c>
      <c r="AD121" s="10">
        <f t="shared" si="19"/>
        <v>0</v>
      </c>
      <c r="AE121" s="10">
        <f t="shared" si="20"/>
        <v>0</v>
      </c>
      <c r="AP121" s="4">
        <v>36000</v>
      </c>
      <c r="AQ121">
        <v>5</v>
      </c>
      <c r="AR121">
        <f t="shared" si="13"/>
        <v>0</v>
      </c>
      <c r="AS121">
        <f t="shared" si="21"/>
        <v>0</v>
      </c>
      <c r="AU121" s="10"/>
      <c r="AV121" s="10"/>
    </row>
    <row r="122" spans="1:48" x14ac:dyDescent="0.35">
      <c r="A122" s="1">
        <v>121</v>
      </c>
      <c r="B122">
        <v>2</v>
      </c>
      <c r="C122">
        <v>3</v>
      </c>
      <c r="D122">
        <v>59</v>
      </c>
      <c r="E122" s="3">
        <v>0</v>
      </c>
      <c r="F122" s="3" t="s">
        <v>9</v>
      </c>
      <c r="G122" s="3" t="s">
        <v>11</v>
      </c>
      <c r="H122">
        <v>9</v>
      </c>
      <c r="I122" s="4">
        <v>33700</v>
      </c>
      <c r="J122" s="4"/>
      <c r="L122" s="4">
        <v>33700</v>
      </c>
      <c r="M122">
        <v>9</v>
      </c>
      <c r="N122">
        <f t="shared" si="14"/>
        <v>1</v>
      </c>
      <c r="R122" s="4">
        <v>33700</v>
      </c>
      <c r="S122">
        <v>9</v>
      </c>
      <c r="T122">
        <f t="shared" si="15"/>
        <v>0</v>
      </c>
      <c r="X122" s="4">
        <v>33700</v>
      </c>
      <c r="Y122">
        <v>9</v>
      </c>
      <c r="Z122" s="3">
        <v>0</v>
      </c>
      <c r="AA122">
        <f t="shared" si="16"/>
        <v>1</v>
      </c>
      <c r="AB122" s="10">
        <f t="shared" si="17"/>
        <v>0</v>
      </c>
      <c r="AC122" s="10">
        <f t="shared" si="18"/>
        <v>1</v>
      </c>
      <c r="AD122" s="10">
        <f t="shared" si="19"/>
        <v>0</v>
      </c>
      <c r="AE122" s="10">
        <f t="shared" si="20"/>
        <v>0</v>
      </c>
      <c r="AP122" s="4">
        <v>33700</v>
      </c>
      <c r="AQ122">
        <v>9</v>
      </c>
      <c r="AR122">
        <f t="shared" si="13"/>
        <v>1</v>
      </c>
      <c r="AS122">
        <f t="shared" si="21"/>
        <v>9</v>
      </c>
      <c r="AU122" s="10"/>
      <c r="AV122" s="10"/>
    </row>
    <row r="123" spans="1:48" x14ac:dyDescent="0.35">
      <c r="A123" s="1">
        <v>122</v>
      </c>
      <c r="B123">
        <v>2</v>
      </c>
      <c r="C123">
        <v>3</v>
      </c>
      <c r="D123">
        <v>29</v>
      </c>
      <c r="E123" s="3">
        <v>4</v>
      </c>
      <c r="F123" s="3" t="s">
        <v>9</v>
      </c>
      <c r="G123" s="3" t="s">
        <v>10</v>
      </c>
      <c r="H123">
        <v>5</v>
      </c>
      <c r="I123" s="4">
        <v>36300</v>
      </c>
      <c r="J123" s="4"/>
      <c r="L123" s="4">
        <v>36300</v>
      </c>
      <c r="M123">
        <v>5</v>
      </c>
      <c r="N123">
        <f t="shared" si="14"/>
        <v>0</v>
      </c>
      <c r="R123" s="4">
        <v>36300</v>
      </c>
      <c r="S123">
        <v>5</v>
      </c>
      <c r="T123">
        <f t="shared" si="15"/>
        <v>1</v>
      </c>
      <c r="X123" s="4">
        <v>36300</v>
      </c>
      <c r="Y123">
        <v>5</v>
      </c>
      <c r="Z123" s="3">
        <v>4</v>
      </c>
      <c r="AA123">
        <f t="shared" si="16"/>
        <v>0</v>
      </c>
      <c r="AB123" s="10">
        <f t="shared" si="17"/>
        <v>0</v>
      </c>
      <c r="AC123" s="10">
        <f t="shared" si="18"/>
        <v>1</v>
      </c>
      <c r="AD123" s="10">
        <f t="shared" si="19"/>
        <v>0</v>
      </c>
      <c r="AE123" s="10">
        <f t="shared" si="20"/>
        <v>0</v>
      </c>
      <c r="AP123" s="4">
        <v>36300</v>
      </c>
      <c r="AQ123">
        <v>5</v>
      </c>
      <c r="AR123">
        <f t="shared" si="13"/>
        <v>0</v>
      </c>
      <c r="AS123">
        <f t="shared" si="21"/>
        <v>0</v>
      </c>
      <c r="AU123" s="10"/>
      <c r="AV123" s="10"/>
    </row>
    <row r="124" spans="1:48" x14ac:dyDescent="0.35">
      <c r="A124" s="1">
        <v>123</v>
      </c>
      <c r="B124">
        <v>3</v>
      </c>
      <c r="C124">
        <v>3</v>
      </c>
      <c r="D124">
        <v>27</v>
      </c>
      <c r="E124" s="3">
        <v>2</v>
      </c>
      <c r="F124" s="3" t="s">
        <v>12</v>
      </c>
      <c r="G124" s="3" t="s">
        <v>11</v>
      </c>
      <c r="H124">
        <v>3</v>
      </c>
      <c r="I124" s="4">
        <v>38000</v>
      </c>
      <c r="J124" s="4"/>
      <c r="L124" s="4">
        <v>38000</v>
      </c>
      <c r="M124">
        <v>3</v>
      </c>
      <c r="N124">
        <f t="shared" si="14"/>
        <v>1</v>
      </c>
      <c r="R124" s="4">
        <v>38000</v>
      </c>
      <c r="S124">
        <v>3</v>
      </c>
      <c r="T124">
        <f t="shared" si="15"/>
        <v>0</v>
      </c>
      <c r="X124" s="4">
        <v>38000</v>
      </c>
      <c r="Y124">
        <v>3</v>
      </c>
      <c r="Z124" s="3">
        <v>2</v>
      </c>
      <c r="AA124">
        <f t="shared" si="16"/>
        <v>1</v>
      </c>
      <c r="AB124" s="10">
        <f t="shared" si="17"/>
        <v>0</v>
      </c>
      <c r="AC124" s="10">
        <f t="shared" si="18"/>
        <v>0</v>
      </c>
      <c r="AD124" s="10">
        <f t="shared" si="19"/>
        <v>0</v>
      </c>
      <c r="AE124" s="10">
        <f t="shared" si="20"/>
        <v>0</v>
      </c>
      <c r="AP124" s="4">
        <v>38000</v>
      </c>
      <c r="AQ124">
        <v>3</v>
      </c>
      <c r="AR124">
        <f t="shared" si="13"/>
        <v>1</v>
      </c>
      <c r="AS124">
        <f t="shared" si="21"/>
        <v>3</v>
      </c>
      <c r="AU124" s="10"/>
      <c r="AV124" s="10"/>
    </row>
    <row r="125" spans="1:48" x14ac:dyDescent="0.35">
      <c r="A125" s="1">
        <v>124</v>
      </c>
      <c r="B125">
        <v>5</v>
      </c>
      <c r="C125">
        <v>3</v>
      </c>
      <c r="D125">
        <v>30</v>
      </c>
      <c r="E125" s="3">
        <v>0</v>
      </c>
      <c r="F125" s="3" t="s">
        <v>9</v>
      </c>
      <c r="G125" s="3" t="s">
        <v>11</v>
      </c>
      <c r="H125">
        <v>4</v>
      </c>
      <c r="I125" s="4">
        <v>39500</v>
      </c>
      <c r="J125" s="4"/>
      <c r="L125" s="4">
        <v>39500</v>
      </c>
      <c r="M125">
        <v>4</v>
      </c>
      <c r="N125">
        <f t="shared" si="14"/>
        <v>1</v>
      </c>
      <c r="R125" s="4">
        <v>39500</v>
      </c>
      <c r="S125">
        <v>4</v>
      </c>
      <c r="T125">
        <f t="shared" si="15"/>
        <v>0</v>
      </c>
      <c r="X125" s="4">
        <v>39500</v>
      </c>
      <c r="Y125">
        <v>4</v>
      </c>
      <c r="Z125" s="3">
        <v>0</v>
      </c>
      <c r="AA125">
        <f t="shared" si="16"/>
        <v>1</v>
      </c>
      <c r="AB125" s="10">
        <f t="shared" si="17"/>
        <v>0</v>
      </c>
      <c r="AC125" s="10">
        <f t="shared" si="18"/>
        <v>0</v>
      </c>
      <c r="AD125" s="10">
        <f t="shared" si="19"/>
        <v>0</v>
      </c>
      <c r="AE125" s="10">
        <f t="shared" si="20"/>
        <v>1</v>
      </c>
      <c r="AP125" s="4">
        <v>39500</v>
      </c>
      <c r="AQ125">
        <v>4</v>
      </c>
      <c r="AR125">
        <f t="shared" si="13"/>
        <v>1</v>
      </c>
      <c r="AS125">
        <f t="shared" si="21"/>
        <v>4</v>
      </c>
      <c r="AU125" s="10"/>
      <c r="AV125" s="10"/>
    </row>
    <row r="126" spans="1:48" x14ac:dyDescent="0.35">
      <c r="A126" s="1">
        <v>125</v>
      </c>
      <c r="B126">
        <v>2</v>
      </c>
      <c r="C126">
        <v>3</v>
      </c>
      <c r="D126">
        <v>34</v>
      </c>
      <c r="E126" s="3">
        <v>5</v>
      </c>
      <c r="F126" s="3" t="s">
        <v>9</v>
      </c>
      <c r="G126" s="3" t="s">
        <v>11</v>
      </c>
      <c r="H126">
        <v>7</v>
      </c>
      <c r="I126" s="4">
        <v>36300</v>
      </c>
      <c r="J126" s="4"/>
      <c r="L126" s="4">
        <v>36300</v>
      </c>
      <c r="M126">
        <v>7</v>
      </c>
      <c r="N126">
        <f t="shared" si="14"/>
        <v>1</v>
      </c>
      <c r="R126" s="4">
        <v>36300</v>
      </c>
      <c r="S126">
        <v>7</v>
      </c>
      <c r="T126">
        <f t="shared" si="15"/>
        <v>0</v>
      </c>
      <c r="X126" s="4">
        <v>36300</v>
      </c>
      <c r="Y126">
        <v>7</v>
      </c>
      <c r="Z126" s="3">
        <v>5</v>
      </c>
      <c r="AA126">
        <f t="shared" si="16"/>
        <v>1</v>
      </c>
      <c r="AB126" s="10">
        <f t="shared" si="17"/>
        <v>0</v>
      </c>
      <c r="AC126" s="10">
        <f t="shared" si="18"/>
        <v>1</v>
      </c>
      <c r="AD126" s="10">
        <f t="shared" si="19"/>
        <v>0</v>
      </c>
      <c r="AE126" s="10">
        <f t="shared" si="20"/>
        <v>0</v>
      </c>
      <c r="AP126" s="4">
        <v>36300</v>
      </c>
      <c r="AQ126">
        <v>7</v>
      </c>
      <c r="AR126">
        <f t="shared" si="13"/>
        <v>1</v>
      </c>
      <c r="AS126">
        <f t="shared" si="21"/>
        <v>7</v>
      </c>
      <c r="AU126" s="10"/>
      <c r="AV126" s="10"/>
    </row>
    <row r="127" spans="1:48" x14ac:dyDescent="0.35">
      <c r="A127" s="1">
        <v>126</v>
      </c>
      <c r="B127">
        <v>3</v>
      </c>
      <c r="C127">
        <v>3</v>
      </c>
      <c r="D127">
        <v>35</v>
      </c>
      <c r="E127" s="3">
        <v>2</v>
      </c>
      <c r="F127" s="3" t="s">
        <v>9</v>
      </c>
      <c r="G127" s="3" t="s">
        <v>11</v>
      </c>
      <c r="H127">
        <v>8</v>
      </c>
      <c r="I127" s="4">
        <v>32500</v>
      </c>
      <c r="J127" s="4"/>
      <c r="L127" s="4">
        <v>32500</v>
      </c>
      <c r="M127">
        <v>8</v>
      </c>
      <c r="N127">
        <f t="shared" si="14"/>
        <v>1</v>
      </c>
      <c r="R127" s="4">
        <v>32500</v>
      </c>
      <c r="S127">
        <v>8</v>
      </c>
      <c r="T127">
        <f t="shared" si="15"/>
        <v>0</v>
      </c>
      <c r="X127" s="4">
        <v>32500</v>
      </c>
      <c r="Y127">
        <v>8</v>
      </c>
      <c r="Z127" s="3">
        <v>2</v>
      </c>
      <c r="AA127">
        <f t="shared" si="16"/>
        <v>1</v>
      </c>
      <c r="AB127" s="10">
        <f t="shared" si="17"/>
        <v>0</v>
      </c>
      <c r="AC127" s="10">
        <f t="shared" si="18"/>
        <v>0</v>
      </c>
      <c r="AD127" s="10">
        <f t="shared" si="19"/>
        <v>0</v>
      </c>
      <c r="AE127" s="10">
        <f t="shared" si="20"/>
        <v>0</v>
      </c>
      <c r="AP127" s="4">
        <v>32500</v>
      </c>
      <c r="AQ127">
        <v>8</v>
      </c>
      <c r="AR127">
        <f t="shared" si="13"/>
        <v>1</v>
      </c>
      <c r="AS127">
        <f t="shared" si="21"/>
        <v>8</v>
      </c>
      <c r="AU127" s="10"/>
      <c r="AV127" s="10"/>
    </row>
    <row r="128" spans="1:48" x14ac:dyDescent="0.35">
      <c r="A128" s="1">
        <v>127</v>
      </c>
      <c r="B128">
        <v>2</v>
      </c>
      <c r="C128">
        <v>3</v>
      </c>
      <c r="D128">
        <v>50</v>
      </c>
      <c r="E128" s="3">
        <v>6</v>
      </c>
      <c r="F128" s="3" t="s">
        <v>9</v>
      </c>
      <c r="G128" s="3" t="s">
        <v>11</v>
      </c>
      <c r="H128">
        <v>12</v>
      </c>
      <c r="I128" s="4">
        <v>37000</v>
      </c>
      <c r="J128" s="4"/>
      <c r="L128" s="4">
        <v>37000</v>
      </c>
      <c r="M128">
        <v>12</v>
      </c>
      <c r="N128">
        <f t="shared" si="14"/>
        <v>1</v>
      </c>
      <c r="R128" s="4">
        <v>37000</v>
      </c>
      <c r="S128">
        <v>12</v>
      </c>
      <c r="T128">
        <f t="shared" si="15"/>
        <v>0</v>
      </c>
      <c r="X128" s="4">
        <v>37000</v>
      </c>
      <c r="Y128">
        <v>12</v>
      </c>
      <c r="Z128" s="3">
        <v>6</v>
      </c>
      <c r="AA128">
        <f t="shared" si="16"/>
        <v>1</v>
      </c>
      <c r="AB128" s="10">
        <f t="shared" si="17"/>
        <v>0</v>
      </c>
      <c r="AC128" s="10">
        <f t="shared" si="18"/>
        <v>1</v>
      </c>
      <c r="AD128" s="10">
        <f t="shared" si="19"/>
        <v>0</v>
      </c>
      <c r="AE128" s="10">
        <f t="shared" si="20"/>
        <v>0</v>
      </c>
      <c r="AP128" s="4">
        <v>37000</v>
      </c>
      <c r="AQ128">
        <v>12</v>
      </c>
      <c r="AR128">
        <f t="shared" si="13"/>
        <v>1</v>
      </c>
      <c r="AS128">
        <f t="shared" si="21"/>
        <v>12</v>
      </c>
      <c r="AU128" s="10"/>
      <c r="AV128" s="10"/>
    </row>
    <row r="129" spans="1:48" x14ac:dyDescent="0.35">
      <c r="A129" s="1">
        <v>128</v>
      </c>
      <c r="B129">
        <v>5</v>
      </c>
      <c r="C129">
        <v>3</v>
      </c>
      <c r="D129">
        <v>33</v>
      </c>
      <c r="E129" s="3">
        <v>1</v>
      </c>
      <c r="F129" s="3" t="s">
        <v>9</v>
      </c>
      <c r="G129" s="3" t="s">
        <v>11</v>
      </c>
      <c r="H129">
        <v>3</v>
      </c>
      <c r="I129" s="4">
        <v>32600</v>
      </c>
      <c r="J129" s="4"/>
      <c r="L129" s="4">
        <v>32600</v>
      </c>
      <c r="M129">
        <v>3</v>
      </c>
      <c r="N129">
        <f t="shared" si="14"/>
        <v>1</v>
      </c>
      <c r="R129" s="4">
        <v>32600</v>
      </c>
      <c r="S129">
        <v>3</v>
      </c>
      <c r="T129">
        <f t="shared" si="15"/>
        <v>0</v>
      </c>
      <c r="X129" s="4">
        <v>32600</v>
      </c>
      <c r="Y129">
        <v>3</v>
      </c>
      <c r="Z129" s="3">
        <v>1</v>
      </c>
      <c r="AA129">
        <f t="shared" si="16"/>
        <v>1</v>
      </c>
      <c r="AB129" s="10">
        <f t="shared" si="17"/>
        <v>0</v>
      </c>
      <c r="AC129" s="10">
        <f t="shared" si="18"/>
        <v>0</v>
      </c>
      <c r="AD129" s="10">
        <f t="shared" si="19"/>
        <v>0</v>
      </c>
      <c r="AE129" s="10">
        <f t="shared" si="20"/>
        <v>1</v>
      </c>
      <c r="AP129" s="4">
        <v>32600</v>
      </c>
      <c r="AQ129">
        <v>3</v>
      </c>
      <c r="AR129">
        <f t="shared" si="13"/>
        <v>1</v>
      </c>
      <c r="AS129">
        <f t="shared" si="21"/>
        <v>3</v>
      </c>
      <c r="AU129" s="10"/>
      <c r="AV129" s="10"/>
    </row>
    <row r="130" spans="1:48" x14ac:dyDescent="0.35">
      <c r="A130" s="1">
        <v>129</v>
      </c>
      <c r="B130">
        <v>3</v>
      </c>
      <c r="C130">
        <v>3</v>
      </c>
      <c r="D130">
        <v>26</v>
      </c>
      <c r="E130" s="3">
        <v>0</v>
      </c>
      <c r="F130" s="3" t="s">
        <v>9</v>
      </c>
      <c r="G130" s="3" t="s">
        <v>11</v>
      </c>
      <c r="H130">
        <v>4</v>
      </c>
      <c r="I130" s="4">
        <v>36000</v>
      </c>
      <c r="J130" s="4"/>
      <c r="L130" s="4">
        <v>36000</v>
      </c>
      <c r="M130">
        <v>4</v>
      </c>
      <c r="N130">
        <f t="shared" si="14"/>
        <v>1</v>
      </c>
      <c r="R130" s="4">
        <v>36000</v>
      </c>
      <c r="S130">
        <v>4</v>
      </c>
      <c r="T130">
        <f t="shared" si="15"/>
        <v>0</v>
      </c>
      <c r="X130" s="4">
        <v>36000</v>
      </c>
      <c r="Y130">
        <v>4</v>
      </c>
      <c r="Z130" s="3">
        <v>0</v>
      </c>
      <c r="AA130">
        <f t="shared" si="16"/>
        <v>1</v>
      </c>
      <c r="AB130" s="10">
        <f t="shared" si="17"/>
        <v>0</v>
      </c>
      <c r="AC130" s="10">
        <f t="shared" si="18"/>
        <v>0</v>
      </c>
      <c r="AD130" s="10">
        <f t="shared" si="19"/>
        <v>0</v>
      </c>
      <c r="AE130" s="10">
        <f t="shared" si="20"/>
        <v>0</v>
      </c>
      <c r="AP130" s="4">
        <v>36000</v>
      </c>
      <c r="AQ130">
        <v>4</v>
      </c>
      <c r="AR130">
        <f t="shared" ref="AR130:AR193" si="22">IF(G130=$AR$1,1,0)</f>
        <v>1</v>
      </c>
      <c r="AS130">
        <f t="shared" si="21"/>
        <v>4</v>
      </c>
      <c r="AU130" s="10"/>
      <c r="AV130" s="10"/>
    </row>
    <row r="131" spans="1:48" x14ac:dyDescent="0.35">
      <c r="A131" s="1">
        <v>130</v>
      </c>
      <c r="B131">
        <v>5</v>
      </c>
      <c r="C131">
        <v>3</v>
      </c>
      <c r="D131">
        <v>36</v>
      </c>
      <c r="E131" s="3">
        <v>0</v>
      </c>
      <c r="F131" s="3" t="s">
        <v>9</v>
      </c>
      <c r="G131" s="3" t="s">
        <v>11</v>
      </c>
      <c r="H131">
        <v>3</v>
      </c>
      <c r="I131" s="4">
        <v>35000</v>
      </c>
      <c r="J131" s="4"/>
      <c r="L131" s="4">
        <v>35000</v>
      </c>
      <c r="M131">
        <v>3</v>
      </c>
      <c r="N131">
        <f t="shared" ref="N131:N194" si="23">IF(G131="Female",1,0)</f>
        <v>1</v>
      </c>
      <c r="R131" s="4">
        <v>35000</v>
      </c>
      <c r="S131">
        <v>3</v>
      </c>
      <c r="T131">
        <f t="shared" ref="T131:T194" si="24">IF(G131="Male",1,0)</f>
        <v>0</v>
      </c>
      <c r="X131" s="4">
        <v>35000</v>
      </c>
      <c r="Y131">
        <v>3</v>
      </c>
      <c r="Z131" s="3">
        <v>0</v>
      </c>
      <c r="AA131">
        <f t="shared" ref="AA131:AA194" si="25">IF(G131="Female",1,0)</f>
        <v>1</v>
      </c>
      <c r="AB131" s="10">
        <f t="shared" ref="AB131:AB194" si="26">IF(B131=1,1,0)</f>
        <v>0</v>
      </c>
      <c r="AC131" s="10">
        <f t="shared" ref="AC131:AC194" si="27">IF(B131=2,1,0)</f>
        <v>0</v>
      </c>
      <c r="AD131" s="10">
        <f t="shared" ref="AD131:AD194" si="28">IF(B131=4,1,0)</f>
        <v>0</v>
      </c>
      <c r="AE131" s="10">
        <f t="shared" ref="AE131:AE194" si="29">IF(B131=5,1,0)</f>
        <v>1</v>
      </c>
      <c r="AP131" s="4">
        <v>35000</v>
      </c>
      <c r="AQ131">
        <v>3</v>
      </c>
      <c r="AR131">
        <f t="shared" si="22"/>
        <v>1</v>
      </c>
      <c r="AS131">
        <f t="shared" ref="AS131:AS194" si="30">AQ131*AR131</f>
        <v>3</v>
      </c>
      <c r="AU131" s="10"/>
      <c r="AV131" s="10"/>
    </row>
    <row r="132" spans="1:48" x14ac:dyDescent="0.35">
      <c r="A132" s="1">
        <v>131</v>
      </c>
      <c r="B132">
        <v>5</v>
      </c>
      <c r="C132">
        <v>3</v>
      </c>
      <c r="D132">
        <v>33</v>
      </c>
      <c r="E132" s="3">
        <v>5</v>
      </c>
      <c r="F132" s="3" t="s">
        <v>12</v>
      </c>
      <c r="G132" s="3" t="s">
        <v>11</v>
      </c>
      <c r="H132">
        <v>3</v>
      </c>
      <c r="I132" s="4">
        <v>43600</v>
      </c>
      <c r="J132" s="4"/>
      <c r="L132" s="4">
        <v>43600</v>
      </c>
      <c r="M132">
        <v>3</v>
      </c>
      <c r="N132">
        <f t="shared" si="23"/>
        <v>1</v>
      </c>
      <c r="R132" s="4">
        <v>43600</v>
      </c>
      <c r="S132">
        <v>3</v>
      </c>
      <c r="T132">
        <f t="shared" si="24"/>
        <v>0</v>
      </c>
      <c r="X132" s="4">
        <v>43600</v>
      </c>
      <c r="Y132">
        <v>3</v>
      </c>
      <c r="Z132" s="3">
        <v>5</v>
      </c>
      <c r="AA132">
        <f t="shared" si="25"/>
        <v>1</v>
      </c>
      <c r="AB132" s="10">
        <f t="shared" si="26"/>
        <v>0</v>
      </c>
      <c r="AC132" s="10">
        <f t="shared" si="27"/>
        <v>0</v>
      </c>
      <c r="AD132" s="10">
        <f t="shared" si="28"/>
        <v>0</v>
      </c>
      <c r="AE132" s="10">
        <f t="shared" si="29"/>
        <v>1</v>
      </c>
      <c r="AP132" s="4">
        <v>43600</v>
      </c>
      <c r="AQ132">
        <v>3</v>
      </c>
      <c r="AR132">
        <f t="shared" si="22"/>
        <v>1</v>
      </c>
      <c r="AS132">
        <f t="shared" si="30"/>
        <v>3</v>
      </c>
      <c r="AU132" s="10"/>
      <c r="AV132" s="10"/>
    </row>
    <row r="133" spans="1:48" x14ac:dyDescent="0.35">
      <c r="A133" s="1">
        <v>132</v>
      </c>
      <c r="B133">
        <v>3</v>
      </c>
      <c r="C133">
        <v>3</v>
      </c>
      <c r="D133">
        <v>47</v>
      </c>
      <c r="E133" s="3">
        <v>0</v>
      </c>
      <c r="F133" s="3" t="s">
        <v>9</v>
      </c>
      <c r="G133" s="3" t="s">
        <v>11</v>
      </c>
      <c r="H133">
        <v>8</v>
      </c>
      <c r="I133" s="4">
        <v>33800</v>
      </c>
      <c r="J133" s="4"/>
      <c r="L133" s="4">
        <v>33800</v>
      </c>
      <c r="M133">
        <v>8</v>
      </c>
      <c r="N133">
        <f t="shared" si="23"/>
        <v>1</v>
      </c>
      <c r="R133" s="4">
        <v>33800</v>
      </c>
      <c r="S133">
        <v>8</v>
      </c>
      <c r="T133">
        <f t="shared" si="24"/>
        <v>0</v>
      </c>
      <c r="X133" s="4">
        <v>33800</v>
      </c>
      <c r="Y133">
        <v>8</v>
      </c>
      <c r="Z133" s="3">
        <v>0</v>
      </c>
      <c r="AA133">
        <f t="shared" si="25"/>
        <v>1</v>
      </c>
      <c r="AB133" s="10">
        <f t="shared" si="26"/>
        <v>0</v>
      </c>
      <c r="AC133" s="10">
        <f t="shared" si="27"/>
        <v>0</v>
      </c>
      <c r="AD133" s="10">
        <f t="shared" si="28"/>
        <v>0</v>
      </c>
      <c r="AE133" s="10">
        <f t="shared" si="29"/>
        <v>0</v>
      </c>
      <c r="AP133" s="4">
        <v>33800</v>
      </c>
      <c r="AQ133">
        <v>8</v>
      </c>
      <c r="AR133">
        <f t="shared" si="22"/>
        <v>1</v>
      </c>
      <c r="AS133">
        <f t="shared" si="30"/>
        <v>8</v>
      </c>
      <c r="AU133" s="10"/>
      <c r="AV133" s="10"/>
    </row>
    <row r="134" spans="1:48" x14ac:dyDescent="0.35">
      <c r="A134" s="1">
        <v>133</v>
      </c>
      <c r="B134">
        <v>1</v>
      </c>
      <c r="C134">
        <v>3</v>
      </c>
      <c r="D134">
        <v>51</v>
      </c>
      <c r="E134" s="3">
        <v>0</v>
      </c>
      <c r="F134" s="3" t="s">
        <v>9</v>
      </c>
      <c r="G134" s="3" t="s">
        <v>11</v>
      </c>
      <c r="H134">
        <v>21</v>
      </c>
      <c r="I134" s="4">
        <v>35300</v>
      </c>
      <c r="J134" s="4"/>
      <c r="L134" s="4">
        <v>35300</v>
      </c>
      <c r="M134">
        <v>21</v>
      </c>
      <c r="N134">
        <f t="shared" si="23"/>
        <v>1</v>
      </c>
      <c r="R134" s="4">
        <v>35300</v>
      </c>
      <c r="S134">
        <v>21</v>
      </c>
      <c r="T134">
        <f t="shared" si="24"/>
        <v>0</v>
      </c>
      <c r="X134" s="4">
        <v>35300</v>
      </c>
      <c r="Y134">
        <v>21</v>
      </c>
      <c r="Z134" s="3">
        <v>0</v>
      </c>
      <c r="AA134">
        <f t="shared" si="25"/>
        <v>1</v>
      </c>
      <c r="AB134" s="10">
        <f t="shared" si="26"/>
        <v>1</v>
      </c>
      <c r="AC134" s="10">
        <f t="shared" si="27"/>
        <v>0</v>
      </c>
      <c r="AD134" s="10">
        <f t="shared" si="28"/>
        <v>0</v>
      </c>
      <c r="AE134" s="10">
        <f t="shared" si="29"/>
        <v>0</v>
      </c>
      <c r="AP134" s="4">
        <v>35300</v>
      </c>
      <c r="AQ134">
        <v>21</v>
      </c>
      <c r="AR134">
        <f t="shared" si="22"/>
        <v>1</v>
      </c>
      <c r="AS134">
        <f t="shared" si="30"/>
        <v>21</v>
      </c>
      <c r="AU134" s="10"/>
      <c r="AV134" s="10"/>
    </row>
    <row r="135" spans="1:48" x14ac:dyDescent="0.35">
      <c r="A135" s="1">
        <v>134</v>
      </c>
      <c r="B135">
        <v>1</v>
      </c>
      <c r="C135">
        <v>3</v>
      </c>
      <c r="D135">
        <v>42</v>
      </c>
      <c r="E135" s="3">
        <v>6</v>
      </c>
      <c r="F135" s="3" t="s">
        <v>9</v>
      </c>
      <c r="G135" s="3" t="s">
        <v>11</v>
      </c>
      <c r="H135">
        <v>16</v>
      </c>
      <c r="I135" s="4">
        <v>42400</v>
      </c>
      <c r="J135" s="4"/>
      <c r="L135" s="4">
        <v>42400</v>
      </c>
      <c r="M135">
        <v>16</v>
      </c>
      <c r="N135">
        <f t="shared" si="23"/>
        <v>1</v>
      </c>
      <c r="R135" s="4">
        <v>42400</v>
      </c>
      <c r="S135">
        <v>16</v>
      </c>
      <c r="T135">
        <f t="shared" si="24"/>
        <v>0</v>
      </c>
      <c r="X135" s="4">
        <v>42400</v>
      </c>
      <c r="Y135">
        <v>16</v>
      </c>
      <c r="Z135" s="3">
        <v>6</v>
      </c>
      <c r="AA135">
        <f t="shared" si="25"/>
        <v>1</v>
      </c>
      <c r="AB135" s="10">
        <f t="shared" si="26"/>
        <v>1</v>
      </c>
      <c r="AC135" s="10">
        <f t="shared" si="27"/>
        <v>0</v>
      </c>
      <c r="AD135" s="10">
        <f t="shared" si="28"/>
        <v>0</v>
      </c>
      <c r="AE135" s="10">
        <f t="shared" si="29"/>
        <v>0</v>
      </c>
      <c r="AP135" s="4">
        <v>42400</v>
      </c>
      <c r="AQ135">
        <v>16</v>
      </c>
      <c r="AR135">
        <f t="shared" si="22"/>
        <v>1</v>
      </c>
      <c r="AS135">
        <f t="shared" si="30"/>
        <v>16</v>
      </c>
      <c r="AU135" s="10"/>
      <c r="AV135" s="10"/>
    </row>
    <row r="136" spans="1:48" x14ac:dyDescent="0.35">
      <c r="A136" s="1">
        <v>135</v>
      </c>
      <c r="B136">
        <v>5</v>
      </c>
      <c r="C136">
        <v>3</v>
      </c>
      <c r="D136">
        <v>31</v>
      </c>
      <c r="E136" s="3">
        <v>0</v>
      </c>
      <c r="F136" s="3" t="s">
        <v>9</v>
      </c>
      <c r="G136" s="3" t="s">
        <v>10</v>
      </c>
      <c r="H136">
        <v>5</v>
      </c>
      <c r="I136" s="4">
        <v>39500</v>
      </c>
      <c r="J136" s="4"/>
      <c r="L136" s="4">
        <v>39500</v>
      </c>
      <c r="M136">
        <v>5</v>
      </c>
      <c r="N136">
        <f t="shared" si="23"/>
        <v>0</v>
      </c>
      <c r="R136" s="4">
        <v>39500</v>
      </c>
      <c r="S136">
        <v>5</v>
      </c>
      <c r="T136">
        <f t="shared" si="24"/>
        <v>1</v>
      </c>
      <c r="X136" s="4">
        <v>39500</v>
      </c>
      <c r="Y136">
        <v>5</v>
      </c>
      <c r="Z136" s="3">
        <v>0</v>
      </c>
      <c r="AA136">
        <f t="shared" si="25"/>
        <v>0</v>
      </c>
      <c r="AB136" s="10">
        <f t="shared" si="26"/>
        <v>0</v>
      </c>
      <c r="AC136" s="10">
        <f t="shared" si="27"/>
        <v>0</v>
      </c>
      <c r="AD136" s="10">
        <f t="shared" si="28"/>
        <v>0</v>
      </c>
      <c r="AE136" s="10">
        <f t="shared" si="29"/>
        <v>1</v>
      </c>
      <c r="AP136" s="4">
        <v>39500</v>
      </c>
      <c r="AQ136">
        <v>5</v>
      </c>
      <c r="AR136">
        <f t="shared" si="22"/>
        <v>0</v>
      </c>
      <c r="AS136">
        <f t="shared" si="30"/>
        <v>0</v>
      </c>
      <c r="AU136" s="10"/>
      <c r="AV136" s="10"/>
    </row>
    <row r="137" spans="1:48" x14ac:dyDescent="0.35">
      <c r="A137" s="1">
        <v>136</v>
      </c>
      <c r="B137">
        <v>2</v>
      </c>
      <c r="C137">
        <v>3</v>
      </c>
      <c r="D137">
        <v>62</v>
      </c>
      <c r="E137" s="3">
        <v>10</v>
      </c>
      <c r="F137" s="3" t="s">
        <v>9</v>
      </c>
      <c r="G137" s="3" t="s">
        <v>11</v>
      </c>
      <c r="H137">
        <v>25</v>
      </c>
      <c r="I137" s="4">
        <v>43500</v>
      </c>
      <c r="J137" s="4"/>
      <c r="L137" s="4">
        <v>43500</v>
      </c>
      <c r="M137">
        <v>25</v>
      </c>
      <c r="N137">
        <f t="shared" si="23"/>
        <v>1</v>
      </c>
      <c r="R137" s="4">
        <v>43500</v>
      </c>
      <c r="S137">
        <v>25</v>
      </c>
      <c r="T137">
        <f t="shared" si="24"/>
        <v>0</v>
      </c>
      <c r="X137" s="4">
        <v>43500</v>
      </c>
      <c r="Y137">
        <v>25</v>
      </c>
      <c r="Z137" s="3">
        <v>10</v>
      </c>
      <c r="AA137">
        <f t="shared" si="25"/>
        <v>1</v>
      </c>
      <c r="AB137" s="10">
        <f t="shared" si="26"/>
        <v>0</v>
      </c>
      <c r="AC137" s="10">
        <f t="shared" si="27"/>
        <v>1</v>
      </c>
      <c r="AD137" s="10">
        <f t="shared" si="28"/>
        <v>0</v>
      </c>
      <c r="AE137" s="10">
        <f t="shared" si="29"/>
        <v>0</v>
      </c>
      <c r="AP137" s="4">
        <v>43500</v>
      </c>
      <c r="AQ137">
        <v>25</v>
      </c>
      <c r="AR137">
        <f t="shared" si="22"/>
        <v>1</v>
      </c>
      <c r="AS137">
        <f t="shared" si="30"/>
        <v>25</v>
      </c>
      <c r="AU137" s="10"/>
      <c r="AV137" s="10"/>
    </row>
    <row r="138" spans="1:48" x14ac:dyDescent="0.35">
      <c r="A138" s="1">
        <v>137</v>
      </c>
      <c r="B138">
        <v>5</v>
      </c>
      <c r="C138">
        <v>3</v>
      </c>
      <c r="D138">
        <v>46</v>
      </c>
      <c r="E138" s="3">
        <v>1</v>
      </c>
      <c r="F138" s="3" t="s">
        <v>9</v>
      </c>
      <c r="G138" s="3" t="s">
        <v>10</v>
      </c>
      <c r="H138">
        <v>6</v>
      </c>
      <c r="I138" s="4">
        <v>42000</v>
      </c>
      <c r="J138" s="4"/>
      <c r="L138" s="4">
        <v>42000</v>
      </c>
      <c r="M138">
        <v>6</v>
      </c>
      <c r="N138">
        <f t="shared" si="23"/>
        <v>0</v>
      </c>
      <c r="R138" s="4">
        <v>42000</v>
      </c>
      <c r="S138">
        <v>6</v>
      </c>
      <c r="T138">
        <f t="shared" si="24"/>
        <v>1</v>
      </c>
      <c r="X138" s="4">
        <v>42000</v>
      </c>
      <c r="Y138">
        <v>6</v>
      </c>
      <c r="Z138" s="3">
        <v>1</v>
      </c>
      <c r="AA138">
        <f t="shared" si="25"/>
        <v>0</v>
      </c>
      <c r="AB138" s="10">
        <f t="shared" si="26"/>
        <v>0</v>
      </c>
      <c r="AC138" s="10">
        <f t="shared" si="27"/>
        <v>0</v>
      </c>
      <c r="AD138" s="10">
        <f t="shared" si="28"/>
        <v>0</v>
      </c>
      <c r="AE138" s="10">
        <f t="shared" si="29"/>
        <v>1</v>
      </c>
      <c r="AP138" s="4">
        <v>42000</v>
      </c>
      <c r="AQ138">
        <v>6</v>
      </c>
      <c r="AR138">
        <f t="shared" si="22"/>
        <v>0</v>
      </c>
      <c r="AS138">
        <f t="shared" si="30"/>
        <v>0</v>
      </c>
      <c r="AU138" s="10"/>
      <c r="AV138" s="10"/>
    </row>
    <row r="139" spans="1:48" x14ac:dyDescent="0.35">
      <c r="A139" s="1">
        <v>138</v>
      </c>
      <c r="B139">
        <v>3</v>
      </c>
      <c r="C139">
        <v>3</v>
      </c>
      <c r="D139">
        <v>60</v>
      </c>
      <c r="E139" s="3">
        <v>9</v>
      </c>
      <c r="F139" s="3" t="s">
        <v>9</v>
      </c>
      <c r="G139" s="3" t="s">
        <v>11</v>
      </c>
      <c r="H139">
        <v>21</v>
      </c>
      <c r="I139" s="4">
        <v>40300</v>
      </c>
      <c r="J139" s="4"/>
      <c r="L139" s="4">
        <v>40300</v>
      </c>
      <c r="M139">
        <v>21</v>
      </c>
      <c r="N139">
        <f t="shared" si="23"/>
        <v>1</v>
      </c>
      <c r="R139" s="4">
        <v>40300</v>
      </c>
      <c r="S139">
        <v>21</v>
      </c>
      <c r="T139">
        <f t="shared" si="24"/>
        <v>0</v>
      </c>
      <c r="X139" s="4">
        <v>40300</v>
      </c>
      <c r="Y139">
        <v>21</v>
      </c>
      <c r="Z139" s="3">
        <v>9</v>
      </c>
      <c r="AA139">
        <f t="shared" si="25"/>
        <v>1</v>
      </c>
      <c r="AB139" s="10">
        <f t="shared" si="26"/>
        <v>0</v>
      </c>
      <c r="AC139" s="10">
        <f t="shared" si="27"/>
        <v>0</v>
      </c>
      <c r="AD139" s="10">
        <f t="shared" si="28"/>
        <v>0</v>
      </c>
      <c r="AE139" s="10">
        <f t="shared" si="29"/>
        <v>0</v>
      </c>
      <c r="AP139" s="4">
        <v>40300</v>
      </c>
      <c r="AQ139">
        <v>21</v>
      </c>
      <c r="AR139">
        <f t="shared" si="22"/>
        <v>1</v>
      </c>
      <c r="AS139">
        <f t="shared" si="30"/>
        <v>21</v>
      </c>
      <c r="AU139" s="10"/>
      <c r="AV139" s="10"/>
    </row>
    <row r="140" spans="1:48" x14ac:dyDescent="0.35">
      <c r="A140" s="1">
        <v>139</v>
      </c>
      <c r="B140">
        <v>4</v>
      </c>
      <c r="C140">
        <v>3</v>
      </c>
      <c r="D140">
        <v>43</v>
      </c>
      <c r="E140" s="3">
        <v>5</v>
      </c>
      <c r="F140" s="3" t="s">
        <v>9</v>
      </c>
      <c r="G140" s="3" t="s">
        <v>10</v>
      </c>
      <c r="H140">
        <v>6</v>
      </c>
      <c r="I140" s="4">
        <v>44000</v>
      </c>
      <c r="J140" s="4"/>
      <c r="L140" s="4">
        <v>44000</v>
      </c>
      <c r="M140">
        <v>6</v>
      </c>
      <c r="N140">
        <f t="shared" si="23"/>
        <v>0</v>
      </c>
      <c r="R140" s="4">
        <v>44000</v>
      </c>
      <c r="S140">
        <v>6</v>
      </c>
      <c r="T140">
        <f t="shared" si="24"/>
        <v>1</v>
      </c>
      <c r="X140" s="4">
        <v>44000</v>
      </c>
      <c r="Y140">
        <v>6</v>
      </c>
      <c r="Z140" s="3">
        <v>5</v>
      </c>
      <c r="AA140">
        <f t="shared" si="25"/>
        <v>0</v>
      </c>
      <c r="AB140" s="10">
        <f t="shared" si="26"/>
        <v>0</v>
      </c>
      <c r="AC140" s="10">
        <f t="shared" si="27"/>
        <v>0</v>
      </c>
      <c r="AD140" s="10">
        <f t="shared" si="28"/>
        <v>1</v>
      </c>
      <c r="AE140" s="10">
        <f t="shared" si="29"/>
        <v>0</v>
      </c>
      <c r="AP140" s="4">
        <v>44000</v>
      </c>
      <c r="AQ140">
        <v>6</v>
      </c>
      <c r="AR140">
        <f t="shared" si="22"/>
        <v>0</v>
      </c>
      <c r="AS140">
        <f t="shared" si="30"/>
        <v>0</v>
      </c>
      <c r="AU140" s="10"/>
      <c r="AV140" s="10"/>
    </row>
    <row r="141" spans="1:48" x14ac:dyDescent="0.35">
      <c r="A141" s="1">
        <v>140</v>
      </c>
      <c r="B141">
        <v>1</v>
      </c>
      <c r="C141">
        <v>3</v>
      </c>
      <c r="D141">
        <v>53</v>
      </c>
      <c r="E141" s="3">
        <v>2</v>
      </c>
      <c r="F141" s="3" t="s">
        <v>9</v>
      </c>
      <c r="G141" s="3" t="s">
        <v>11</v>
      </c>
      <c r="H141">
        <v>25</v>
      </c>
      <c r="I141" s="4">
        <v>40660</v>
      </c>
      <c r="J141" s="4"/>
      <c r="L141" s="4">
        <v>40660</v>
      </c>
      <c r="M141">
        <v>25</v>
      </c>
      <c r="N141">
        <f t="shared" si="23"/>
        <v>1</v>
      </c>
      <c r="R141" s="4">
        <v>40660</v>
      </c>
      <c r="S141">
        <v>25</v>
      </c>
      <c r="T141">
        <f t="shared" si="24"/>
        <v>0</v>
      </c>
      <c r="X141" s="4">
        <v>40660</v>
      </c>
      <c r="Y141">
        <v>25</v>
      </c>
      <c r="Z141" s="3">
        <v>2</v>
      </c>
      <c r="AA141">
        <f t="shared" si="25"/>
        <v>1</v>
      </c>
      <c r="AB141" s="10">
        <f t="shared" si="26"/>
        <v>1</v>
      </c>
      <c r="AC141" s="10">
        <f t="shared" si="27"/>
        <v>0</v>
      </c>
      <c r="AD141" s="10">
        <f t="shared" si="28"/>
        <v>0</v>
      </c>
      <c r="AE141" s="10">
        <f t="shared" si="29"/>
        <v>0</v>
      </c>
      <c r="AP141" s="4">
        <v>40660</v>
      </c>
      <c r="AQ141">
        <v>25</v>
      </c>
      <c r="AR141">
        <f t="shared" si="22"/>
        <v>1</v>
      </c>
      <c r="AS141">
        <f t="shared" si="30"/>
        <v>25</v>
      </c>
      <c r="AU141" s="10"/>
      <c r="AV141" s="10"/>
    </row>
    <row r="142" spans="1:48" x14ac:dyDescent="0.35">
      <c r="A142" s="1">
        <v>141</v>
      </c>
      <c r="B142">
        <v>3</v>
      </c>
      <c r="C142">
        <v>3</v>
      </c>
      <c r="D142">
        <v>38</v>
      </c>
      <c r="E142" s="3">
        <v>1</v>
      </c>
      <c r="F142" s="3" t="s">
        <v>9</v>
      </c>
      <c r="G142" s="3" t="s">
        <v>11</v>
      </c>
      <c r="H142">
        <v>13</v>
      </c>
      <c r="I142" s="4">
        <v>39700</v>
      </c>
      <c r="J142" s="4"/>
      <c r="L142" s="4">
        <v>39700</v>
      </c>
      <c r="M142">
        <v>13</v>
      </c>
      <c r="N142">
        <f t="shared" si="23"/>
        <v>1</v>
      </c>
      <c r="R142" s="4">
        <v>39700</v>
      </c>
      <c r="S142">
        <v>13</v>
      </c>
      <c r="T142">
        <f t="shared" si="24"/>
        <v>0</v>
      </c>
      <c r="X142" s="4">
        <v>39700</v>
      </c>
      <c r="Y142">
        <v>13</v>
      </c>
      <c r="Z142" s="3">
        <v>1</v>
      </c>
      <c r="AA142">
        <f t="shared" si="25"/>
        <v>1</v>
      </c>
      <c r="AB142" s="10">
        <f t="shared" si="26"/>
        <v>0</v>
      </c>
      <c r="AC142" s="10">
        <f t="shared" si="27"/>
        <v>0</v>
      </c>
      <c r="AD142" s="10">
        <f t="shared" si="28"/>
        <v>0</v>
      </c>
      <c r="AE142" s="10">
        <f t="shared" si="29"/>
        <v>0</v>
      </c>
      <c r="AP142" s="4">
        <v>39700</v>
      </c>
      <c r="AQ142">
        <v>13</v>
      </c>
      <c r="AR142">
        <f t="shared" si="22"/>
        <v>1</v>
      </c>
      <c r="AS142">
        <f t="shared" si="30"/>
        <v>13</v>
      </c>
      <c r="AU142" s="10"/>
      <c r="AV142" s="10"/>
    </row>
    <row r="143" spans="1:48" x14ac:dyDescent="0.35">
      <c r="A143" s="1">
        <v>142</v>
      </c>
      <c r="B143">
        <v>5</v>
      </c>
      <c r="C143">
        <v>3</v>
      </c>
      <c r="D143">
        <v>39</v>
      </c>
      <c r="E143" s="3">
        <v>5</v>
      </c>
      <c r="F143" s="3" t="s">
        <v>9</v>
      </c>
      <c r="G143" s="3" t="s">
        <v>11</v>
      </c>
      <c r="H143">
        <v>6</v>
      </c>
      <c r="I143" s="4">
        <v>45000</v>
      </c>
      <c r="J143" s="4"/>
      <c r="L143" s="4">
        <v>45000</v>
      </c>
      <c r="M143">
        <v>6</v>
      </c>
      <c r="N143">
        <f t="shared" si="23"/>
        <v>1</v>
      </c>
      <c r="R143" s="4">
        <v>45000</v>
      </c>
      <c r="S143">
        <v>6</v>
      </c>
      <c r="T143">
        <f t="shared" si="24"/>
        <v>0</v>
      </c>
      <c r="X143" s="4">
        <v>45000</v>
      </c>
      <c r="Y143">
        <v>6</v>
      </c>
      <c r="Z143" s="3">
        <v>5</v>
      </c>
      <c r="AA143">
        <f t="shared" si="25"/>
        <v>1</v>
      </c>
      <c r="AB143" s="10">
        <f t="shared" si="26"/>
        <v>0</v>
      </c>
      <c r="AC143" s="10">
        <f t="shared" si="27"/>
        <v>0</v>
      </c>
      <c r="AD143" s="10">
        <f t="shared" si="28"/>
        <v>0</v>
      </c>
      <c r="AE143" s="10">
        <f t="shared" si="29"/>
        <v>1</v>
      </c>
      <c r="AP143" s="4">
        <v>45000</v>
      </c>
      <c r="AQ143">
        <v>6</v>
      </c>
      <c r="AR143">
        <f t="shared" si="22"/>
        <v>1</v>
      </c>
      <c r="AS143">
        <f t="shared" si="30"/>
        <v>6</v>
      </c>
      <c r="AU143" s="10"/>
      <c r="AV143" s="10"/>
    </row>
    <row r="144" spans="1:48" x14ac:dyDescent="0.35">
      <c r="A144" s="1">
        <v>143</v>
      </c>
      <c r="B144">
        <v>5</v>
      </c>
      <c r="C144">
        <v>3</v>
      </c>
      <c r="D144">
        <v>35</v>
      </c>
      <c r="E144" s="3">
        <v>0</v>
      </c>
      <c r="F144" s="3" t="s">
        <v>9</v>
      </c>
      <c r="G144" s="3" t="s">
        <v>11</v>
      </c>
      <c r="H144">
        <v>7</v>
      </c>
      <c r="I144" s="4">
        <v>43900</v>
      </c>
      <c r="J144" s="4"/>
      <c r="L144" s="4">
        <v>43900</v>
      </c>
      <c r="M144">
        <v>7</v>
      </c>
      <c r="N144">
        <f t="shared" si="23"/>
        <v>1</v>
      </c>
      <c r="R144" s="4">
        <v>43900</v>
      </c>
      <c r="S144">
        <v>7</v>
      </c>
      <c r="T144">
        <f t="shared" si="24"/>
        <v>0</v>
      </c>
      <c r="X144" s="4">
        <v>43900</v>
      </c>
      <c r="Y144">
        <v>7</v>
      </c>
      <c r="Z144" s="3">
        <v>0</v>
      </c>
      <c r="AA144">
        <f t="shared" si="25"/>
        <v>1</v>
      </c>
      <c r="AB144" s="10">
        <f t="shared" si="26"/>
        <v>0</v>
      </c>
      <c r="AC144" s="10">
        <f t="shared" si="27"/>
        <v>0</v>
      </c>
      <c r="AD144" s="10">
        <f t="shared" si="28"/>
        <v>0</v>
      </c>
      <c r="AE144" s="10">
        <f t="shared" si="29"/>
        <v>1</v>
      </c>
      <c r="AP144" s="4">
        <v>43900</v>
      </c>
      <c r="AQ144">
        <v>7</v>
      </c>
      <c r="AR144">
        <f t="shared" si="22"/>
        <v>1</v>
      </c>
      <c r="AS144">
        <f t="shared" si="30"/>
        <v>7</v>
      </c>
      <c r="AU144" s="10"/>
      <c r="AV144" s="10"/>
    </row>
    <row r="145" spans="1:48" x14ac:dyDescent="0.35">
      <c r="A145" s="1">
        <v>144</v>
      </c>
      <c r="B145">
        <v>4</v>
      </c>
      <c r="C145">
        <v>3</v>
      </c>
      <c r="D145">
        <v>40</v>
      </c>
      <c r="E145" s="3">
        <v>3</v>
      </c>
      <c r="F145" s="3" t="s">
        <v>9</v>
      </c>
      <c r="G145" s="3" t="s">
        <v>11</v>
      </c>
      <c r="H145">
        <v>8</v>
      </c>
      <c r="I145" s="4">
        <v>38000</v>
      </c>
      <c r="J145" s="4"/>
      <c r="L145" s="4">
        <v>38000</v>
      </c>
      <c r="M145">
        <v>8</v>
      </c>
      <c r="N145">
        <f t="shared" si="23"/>
        <v>1</v>
      </c>
      <c r="R145" s="4">
        <v>38000</v>
      </c>
      <c r="S145">
        <v>8</v>
      </c>
      <c r="T145">
        <f t="shared" si="24"/>
        <v>0</v>
      </c>
      <c r="X145" s="4">
        <v>38000</v>
      </c>
      <c r="Y145">
        <v>8</v>
      </c>
      <c r="Z145" s="3">
        <v>3</v>
      </c>
      <c r="AA145">
        <f t="shared" si="25"/>
        <v>1</v>
      </c>
      <c r="AB145" s="10">
        <f t="shared" si="26"/>
        <v>0</v>
      </c>
      <c r="AC145" s="10">
        <f t="shared" si="27"/>
        <v>0</v>
      </c>
      <c r="AD145" s="10">
        <f t="shared" si="28"/>
        <v>1</v>
      </c>
      <c r="AE145" s="10">
        <f t="shared" si="29"/>
        <v>0</v>
      </c>
      <c r="AP145" s="4">
        <v>38000</v>
      </c>
      <c r="AQ145">
        <v>8</v>
      </c>
      <c r="AR145">
        <f t="shared" si="22"/>
        <v>1</v>
      </c>
      <c r="AS145">
        <f t="shared" si="30"/>
        <v>8</v>
      </c>
      <c r="AU145" s="10"/>
      <c r="AV145" s="10"/>
    </row>
    <row r="146" spans="1:48" x14ac:dyDescent="0.35">
      <c r="A146" s="1">
        <v>145</v>
      </c>
      <c r="B146">
        <v>5</v>
      </c>
      <c r="C146">
        <v>3</v>
      </c>
      <c r="D146">
        <v>32</v>
      </c>
      <c r="E146" s="3">
        <v>3</v>
      </c>
      <c r="F146" s="3" t="s">
        <v>9</v>
      </c>
      <c r="G146" s="3" t="s">
        <v>11</v>
      </c>
      <c r="H146">
        <v>5</v>
      </c>
      <c r="I146" s="4">
        <v>39020</v>
      </c>
      <c r="J146" s="4"/>
      <c r="L146" s="4">
        <v>39020</v>
      </c>
      <c r="M146">
        <v>5</v>
      </c>
      <c r="N146">
        <f t="shared" si="23"/>
        <v>1</v>
      </c>
      <c r="R146" s="4">
        <v>39020</v>
      </c>
      <c r="S146">
        <v>5</v>
      </c>
      <c r="T146">
        <f t="shared" si="24"/>
        <v>0</v>
      </c>
      <c r="X146" s="4">
        <v>39020</v>
      </c>
      <c r="Y146">
        <v>5</v>
      </c>
      <c r="Z146" s="3">
        <v>3</v>
      </c>
      <c r="AA146">
        <f t="shared" si="25"/>
        <v>1</v>
      </c>
      <c r="AB146" s="10">
        <f t="shared" si="26"/>
        <v>0</v>
      </c>
      <c r="AC146" s="10">
        <f t="shared" si="27"/>
        <v>0</v>
      </c>
      <c r="AD146" s="10">
        <f t="shared" si="28"/>
        <v>0</v>
      </c>
      <c r="AE146" s="10">
        <f t="shared" si="29"/>
        <v>1</v>
      </c>
      <c r="AP146" s="4">
        <v>39020</v>
      </c>
      <c r="AQ146">
        <v>5</v>
      </c>
      <c r="AR146">
        <f t="shared" si="22"/>
        <v>1</v>
      </c>
      <c r="AS146">
        <f t="shared" si="30"/>
        <v>5</v>
      </c>
      <c r="AU146" s="10"/>
      <c r="AV146" s="10"/>
    </row>
    <row r="147" spans="1:48" x14ac:dyDescent="0.35">
      <c r="A147" s="1">
        <v>146</v>
      </c>
      <c r="B147">
        <v>5</v>
      </c>
      <c r="C147">
        <v>4</v>
      </c>
      <c r="D147">
        <v>33</v>
      </c>
      <c r="E147" s="3">
        <v>3</v>
      </c>
      <c r="F147" s="3" t="s">
        <v>9</v>
      </c>
      <c r="G147" s="3" t="s">
        <v>10</v>
      </c>
      <c r="H147">
        <v>5</v>
      </c>
      <c r="I147" s="4">
        <v>44500</v>
      </c>
      <c r="J147" s="4"/>
      <c r="L147" s="4">
        <v>44500</v>
      </c>
      <c r="M147">
        <v>5</v>
      </c>
      <c r="N147">
        <f t="shared" si="23"/>
        <v>0</v>
      </c>
      <c r="R147" s="4">
        <v>44500</v>
      </c>
      <c r="S147">
        <v>5</v>
      </c>
      <c r="T147">
        <f t="shared" si="24"/>
        <v>1</v>
      </c>
      <c r="X147" s="4">
        <v>44500</v>
      </c>
      <c r="Y147">
        <v>5</v>
      </c>
      <c r="Z147" s="3">
        <v>3</v>
      </c>
      <c r="AA147">
        <f t="shared" si="25"/>
        <v>0</v>
      </c>
      <c r="AB147" s="10">
        <f t="shared" si="26"/>
        <v>0</v>
      </c>
      <c r="AC147" s="10">
        <f t="shared" si="27"/>
        <v>0</v>
      </c>
      <c r="AD147" s="10">
        <f t="shared" si="28"/>
        <v>0</v>
      </c>
      <c r="AE147" s="10">
        <f t="shared" si="29"/>
        <v>1</v>
      </c>
      <c r="AP147" s="4">
        <v>44500</v>
      </c>
      <c r="AQ147">
        <v>5</v>
      </c>
      <c r="AR147">
        <f t="shared" si="22"/>
        <v>0</v>
      </c>
      <c r="AS147">
        <f t="shared" si="30"/>
        <v>0</v>
      </c>
      <c r="AU147" s="10"/>
      <c r="AV147" s="10"/>
    </row>
    <row r="148" spans="1:48" x14ac:dyDescent="0.35">
      <c r="A148" s="1">
        <v>147</v>
      </c>
      <c r="B148">
        <v>5</v>
      </c>
      <c r="C148">
        <v>4</v>
      </c>
      <c r="D148">
        <v>30</v>
      </c>
      <c r="E148" s="3">
        <v>1</v>
      </c>
      <c r="F148" s="3" t="s">
        <v>9</v>
      </c>
      <c r="G148" s="3" t="s">
        <v>10</v>
      </c>
      <c r="H148">
        <v>4</v>
      </c>
      <c r="I148" s="4">
        <v>41000</v>
      </c>
      <c r="J148" s="4"/>
      <c r="L148" s="4">
        <v>41000</v>
      </c>
      <c r="M148">
        <v>4</v>
      </c>
      <c r="N148">
        <f t="shared" si="23"/>
        <v>0</v>
      </c>
      <c r="R148" s="4">
        <v>41000</v>
      </c>
      <c r="S148">
        <v>4</v>
      </c>
      <c r="T148">
        <f t="shared" si="24"/>
        <v>1</v>
      </c>
      <c r="X148" s="4">
        <v>41000</v>
      </c>
      <c r="Y148">
        <v>4</v>
      </c>
      <c r="Z148" s="3">
        <v>1</v>
      </c>
      <c r="AA148">
        <f t="shared" si="25"/>
        <v>0</v>
      </c>
      <c r="AB148" s="10">
        <f t="shared" si="26"/>
        <v>0</v>
      </c>
      <c r="AC148" s="10">
        <f t="shared" si="27"/>
        <v>0</v>
      </c>
      <c r="AD148" s="10">
        <f t="shared" si="28"/>
        <v>0</v>
      </c>
      <c r="AE148" s="10">
        <f t="shared" si="29"/>
        <v>1</v>
      </c>
      <c r="AP148" s="4">
        <v>41000</v>
      </c>
      <c r="AQ148">
        <v>4</v>
      </c>
      <c r="AR148">
        <f t="shared" si="22"/>
        <v>0</v>
      </c>
      <c r="AS148">
        <f t="shared" si="30"/>
        <v>0</v>
      </c>
      <c r="AU148" s="10"/>
      <c r="AV148" s="10"/>
    </row>
    <row r="149" spans="1:48" x14ac:dyDescent="0.35">
      <c r="A149" s="1">
        <v>148</v>
      </c>
      <c r="B149">
        <v>5</v>
      </c>
      <c r="C149">
        <v>4</v>
      </c>
      <c r="D149">
        <v>37</v>
      </c>
      <c r="E149" s="3">
        <v>3</v>
      </c>
      <c r="F149" s="3" t="s">
        <v>9</v>
      </c>
      <c r="G149" s="3" t="s">
        <v>10</v>
      </c>
      <c r="H149">
        <v>6</v>
      </c>
      <c r="I149" s="4">
        <v>44000</v>
      </c>
      <c r="J149" s="4"/>
      <c r="L149" s="4">
        <v>44000</v>
      </c>
      <c r="M149">
        <v>6</v>
      </c>
      <c r="N149">
        <f t="shared" si="23"/>
        <v>0</v>
      </c>
      <c r="R149" s="4">
        <v>44000</v>
      </c>
      <c r="S149">
        <v>6</v>
      </c>
      <c r="T149">
        <f t="shared" si="24"/>
        <v>1</v>
      </c>
      <c r="X149" s="4">
        <v>44000</v>
      </c>
      <c r="Y149">
        <v>6</v>
      </c>
      <c r="Z149" s="3">
        <v>3</v>
      </c>
      <c r="AA149">
        <f t="shared" si="25"/>
        <v>0</v>
      </c>
      <c r="AB149" s="10">
        <f t="shared" si="26"/>
        <v>0</v>
      </c>
      <c r="AC149" s="10">
        <f t="shared" si="27"/>
        <v>0</v>
      </c>
      <c r="AD149" s="10">
        <f t="shared" si="28"/>
        <v>0</v>
      </c>
      <c r="AE149" s="10">
        <f t="shared" si="29"/>
        <v>1</v>
      </c>
      <c r="AP149" s="4">
        <v>44000</v>
      </c>
      <c r="AQ149">
        <v>6</v>
      </c>
      <c r="AR149">
        <f t="shared" si="22"/>
        <v>0</v>
      </c>
      <c r="AS149">
        <f t="shared" si="30"/>
        <v>0</v>
      </c>
      <c r="AU149" s="10"/>
      <c r="AV149" s="10"/>
    </row>
    <row r="150" spans="1:48" x14ac:dyDescent="0.35">
      <c r="A150" s="1">
        <v>149</v>
      </c>
      <c r="B150">
        <v>5</v>
      </c>
      <c r="C150">
        <v>4</v>
      </c>
      <c r="D150">
        <v>30</v>
      </c>
      <c r="E150" s="3">
        <v>0</v>
      </c>
      <c r="F150" s="3" t="s">
        <v>9</v>
      </c>
      <c r="G150" s="3" t="s">
        <v>10</v>
      </c>
      <c r="H150">
        <v>6</v>
      </c>
      <c r="I150" s="4">
        <v>44000</v>
      </c>
      <c r="J150" s="4"/>
      <c r="L150" s="4">
        <v>44000</v>
      </c>
      <c r="M150">
        <v>6</v>
      </c>
      <c r="N150">
        <f t="shared" si="23"/>
        <v>0</v>
      </c>
      <c r="R150" s="4">
        <v>44000</v>
      </c>
      <c r="S150">
        <v>6</v>
      </c>
      <c r="T150">
        <f t="shared" si="24"/>
        <v>1</v>
      </c>
      <c r="X150" s="4">
        <v>44000</v>
      </c>
      <c r="Y150">
        <v>6</v>
      </c>
      <c r="Z150" s="3">
        <v>0</v>
      </c>
      <c r="AA150">
        <f t="shared" si="25"/>
        <v>0</v>
      </c>
      <c r="AB150" s="10">
        <f t="shared" si="26"/>
        <v>0</v>
      </c>
      <c r="AC150" s="10">
        <f t="shared" si="27"/>
        <v>0</v>
      </c>
      <c r="AD150" s="10">
        <f t="shared" si="28"/>
        <v>0</v>
      </c>
      <c r="AE150" s="10">
        <f t="shared" si="29"/>
        <v>1</v>
      </c>
      <c r="AP150" s="4">
        <v>44000</v>
      </c>
      <c r="AQ150">
        <v>6</v>
      </c>
      <c r="AR150">
        <f t="shared" si="22"/>
        <v>0</v>
      </c>
      <c r="AS150">
        <f t="shared" si="30"/>
        <v>0</v>
      </c>
      <c r="AU150" s="10"/>
      <c r="AV150" s="10"/>
    </row>
    <row r="151" spans="1:48" x14ac:dyDescent="0.35">
      <c r="A151" s="1">
        <v>150</v>
      </c>
      <c r="B151">
        <v>5</v>
      </c>
      <c r="C151">
        <v>4</v>
      </c>
      <c r="D151">
        <v>32</v>
      </c>
      <c r="E151" s="3">
        <v>4</v>
      </c>
      <c r="F151" s="3" t="s">
        <v>9</v>
      </c>
      <c r="G151" s="3" t="s">
        <v>11</v>
      </c>
      <c r="H151">
        <v>5</v>
      </c>
      <c r="I151" s="4">
        <v>42500</v>
      </c>
      <c r="J151" s="4"/>
      <c r="L151" s="4">
        <v>42500</v>
      </c>
      <c r="M151">
        <v>5</v>
      </c>
      <c r="N151">
        <f t="shared" si="23"/>
        <v>1</v>
      </c>
      <c r="R151" s="4">
        <v>42500</v>
      </c>
      <c r="S151">
        <v>5</v>
      </c>
      <c r="T151">
        <f t="shared" si="24"/>
        <v>0</v>
      </c>
      <c r="X151" s="4">
        <v>42500</v>
      </c>
      <c r="Y151">
        <v>5</v>
      </c>
      <c r="Z151" s="3">
        <v>4</v>
      </c>
      <c r="AA151">
        <f t="shared" si="25"/>
        <v>1</v>
      </c>
      <c r="AB151" s="10">
        <f t="shared" si="26"/>
        <v>0</v>
      </c>
      <c r="AC151" s="10">
        <f t="shared" si="27"/>
        <v>0</v>
      </c>
      <c r="AD151" s="10">
        <f t="shared" si="28"/>
        <v>0</v>
      </c>
      <c r="AE151" s="10">
        <f t="shared" si="29"/>
        <v>1</v>
      </c>
      <c r="AP151" s="4">
        <v>42500</v>
      </c>
      <c r="AQ151">
        <v>5</v>
      </c>
      <c r="AR151">
        <f t="shared" si="22"/>
        <v>1</v>
      </c>
      <c r="AS151">
        <f t="shared" si="30"/>
        <v>5</v>
      </c>
      <c r="AU151" s="10"/>
      <c r="AV151" s="10"/>
    </row>
    <row r="152" spans="1:48" x14ac:dyDescent="0.35">
      <c r="A152" s="1">
        <v>151</v>
      </c>
      <c r="B152">
        <v>5</v>
      </c>
      <c r="C152">
        <v>4</v>
      </c>
      <c r="D152">
        <v>37</v>
      </c>
      <c r="E152" s="3">
        <v>3</v>
      </c>
      <c r="F152" s="3" t="s">
        <v>9</v>
      </c>
      <c r="G152" s="3" t="s">
        <v>11</v>
      </c>
      <c r="H152">
        <v>7</v>
      </c>
      <c r="I152" s="4">
        <v>40260</v>
      </c>
      <c r="J152" s="4"/>
      <c r="L152" s="4">
        <v>40260</v>
      </c>
      <c r="M152">
        <v>7</v>
      </c>
      <c r="N152">
        <f t="shared" si="23"/>
        <v>1</v>
      </c>
      <c r="R152" s="4">
        <v>40260</v>
      </c>
      <c r="S152">
        <v>7</v>
      </c>
      <c r="T152">
        <f t="shared" si="24"/>
        <v>0</v>
      </c>
      <c r="X152" s="4">
        <v>40260</v>
      </c>
      <c r="Y152">
        <v>7</v>
      </c>
      <c r="Z152" s="3">
        <v>3</v>
      </c>
      <c r="AA152">
        <f t="shared" si="25"/>
        <v>1</v>
      </c>
      <c r="AB152" s="10">
        <f t="shared" si="26"/>
        <v>0</v>
      </c>
      <c r="AC152" s="10">
        <f t="shared" si="27"/>
        <v>0</v>
      </c>
      <c r="AD152" s="10">
        <f t="shared" si="28"/>
        <v>0</v>
      </c>
      <c r="AE152" s="10">
        <f t="shared" si="29"/>
        <v>1</v>
      </c>
      <c r="AP152" s="4">
        <v>40260</v>
      </c>
      <c r="AQ152">
        <v>7</v>
      </c>
      <c r="AR152">
        <f t="shared" si="22"/>
        <v>1</v>
      </c>
      <c r="AS152">
        <f t="shared" si="30"/>
        <v>7</v>
      </c>
      <c r="AU152" s="10"/>
      <c r="AV152" s="10"/>
    </row>
    <row r="153" spans="1:48" x14ac:dyDescent="0.35">
      <c r="A153" s="1">
        <v>152</v>
      </c>
      <c r="B153">
        <v>5</v>
      </c>
      <c r="C153">
        <v>4</v>
      </c>
      <c r="D153">
        <v>29</v>
      </c>
      <c r="E153" s="3">
        <v>1</v>
      </c>
      <c r="F153" s="3" t="s">
        <v>9</v>
      </c>
      <c r="G153" s="3" t="s">
        <v>10</v>
      </c>
      <c r="H153">
        <v>5</v>
      </c>
      <c r="I153" s="4">
        <v>44500</v>
      </c>
      <c r="J153" s="4"/>
      <c r="L153" s="4">
        <v>44500</v>
      </c>
      <c r="M153">
        <v>5</v>
      </c>
      <c r="N153">
        <f t="shared" si="23"/>
        <v>0</v>
      </c>
      <c r="R153" s="4">
        <v>44500</v>
      </c>
      <c r="S153">
        <v>5</v>
      </c>
      <c r="T153">
        <f t="shared" si="24"/>
        <v>1</v>
      </c>
      <c r="X153" s="4">
        <v>44500</v>
      </c>
      <c r="Y153">
        <v>5</v>
      </c>
      <c r="Z153" s="3">
        <v>1</v>
      </c>
      <c r="AA153">
        <f t="shared" si="25"/>
        <v>0</v>
      </c>
      <c r="AB153" s="10">
        <f t="shared" si="26"/>
        <v>0</v>
      </c>
      <c r="AC153" s="10">
        <f t="shared" si="27"/>
        <v>0</v>
      </c>
      <c r="AD153" s="10">
        <f t="shared" si="28"/>
        <v>0</v>
      </c>
      <c r="AE153" s="10">
        <f t="shared" si="29"/>
        <v>1</v>
      </c>
      <c r="AP153" s="4">
        <v>44500</v>
      </c>
      <c r="AQ153">
        <v>5</v>
      </c>
      <c r="AR153">
        <f t="shared" si="22"/>
        <v>0</v>
      </c>
      <c r="AS153">
        <f t="shared" si="30"/>
        <v>0</v>
      </c>
      <c r="AU153" s="10"/>
      <c r="AV153" s="10"/>
    </row>
    <row r="154" spans="1:48" x14ac:dyDescent="0.35">
      <c r="A154" s="1">
        <v>153</v>
      </c>
      <c r="B154">
        <v>1</v>
      </c>
      <c r="C154">
        <v>4</v>
      </c>
      <c r="D154">
        <v>50</v>
      </c>
      <c r="E154" s="3">
        <v>9</v>
      </c>
      <c r="F154" s="3" t="s">
        <v>9</v>
      </c>
      <c r="G154" s="3" t="s">
        <v>11</v>
      </c>
      <c r="H154">
        <v>13</v>
      </c>
      <c r="I154" s="4">
        <v>35500</v>
      </c>
      <c r="J154" s="4"/>
      <c r="L154" s="4">
        <v>35500</v>
      </c>
      <c r="M154">
        <v>13</v>
      </c>
      <c r="N154">
        <f t="shared" si="23"/>
        <v>1</v>
      </c>
      <c r="R154" s="4">
        <v>35500</v>
      </c>
      <c r="S154">
        <v>13</v>
      </c>
      <c r="T154">
        <f t="shared" si="24"/>
        <v>0</v>
      </c>
      <c r="X154" s="4">
        <v>35500</v>
      </c>
      <c r="Y154">
        <v>13</v>
      </c>
      <c r="Z154" s="3">
        <v>9</v>
      </c>
      <c r="AA154">
        <f t="shared" si="25"/>
        <v>1</v>
      </c>
      <c r="AB154" s="10">
        <f t="shared" si="26"/>
        <v>1</v>
      </c>
      <c r="AC154" s="10">
        <f t="shared" si="27"/>
        <v>0</v>
      </c>
      <c r="AD154" s="10">
        <f t="shared" si="28"/>
        <v>0</v>
      </c>
      <c r="AE154" s="10">
        <f t="shared" si="29"/>
        <v>0</v>
      </c>
      <c r="AP154" s="4">
        <v>35500</v>
      </c>
      <c r="AQ154">
        <v>13</v>
      </c>
      <c r="AR154">
        <f t="shared" si="22"/>
        <v>1</v>
      </c>
      <c r="AS154">
        <f t="shared" si="30"/>
        <v>13</v>
      </c>
      <c r="AU154" s="10"/>
      <c r="AV154" s="10"/>
    </row>
    <row r="155" spans="1:48" x14ac:dyDescent="0.35">
      <c r="A155" s="1">
        <v>154</v>
      </c>
      <c r="B155">
        <v>5</v>
      </c>
      <c r="C155">
        <v>4</v>
      </c>
      <c r="D155">
        <v>29</v>
      </c>
      <c r="E155" s="3">
        <v>0</v>
      </c>
      <c r="F155" s="3" t="s">
        <v>9</v>
      </c>
      <c r="G155" s="3" t="s">
        <v>10</v>
      </c>
      <c r="H155">
        <v>6</v>
      </c>
      <c r="I155" s="4">
        <v>42500</v>
      </c>
      <c r="J155" s="4"/>
      <c r="L155" s="4">
        <v>42500</v>
      </c>
      <c r="M155">
        <v>6</v>
      </c>
      <c r="N155">
        <f t="shared" si="23"/>
        <v>0</v>
      </c>
      <c r="R155" s="4">
        <v>42500</v>
      </c>
      <c r="S155">
        <v>6</v>
      </c>
      <c r="T155">
        <f t="shared" si="24"/>
        <v>1</v>
      </c>
      <c r="X155" s="4">
        <v>42500</v>
      </c>
      <c r="Y155">
        <v>6</v>
      </c>
      <c r="Z155" s="3">
        <v>0</v>
      </c>
      <c r="AA155">
        <f t="shared" si="25"/>
        <v>0</v>
      </c>
      <c r="AB155" s="10">
        <f t="shared" si="26"/>
        <v>0</v>
      </c>
      <c r="AC155" s="10">
        <f t="shared" si="27"/>
        <v>0</v>
      </c>
      <c r="AD155" s="10">
        <f t="shared" si="28"/>
        <v>0</v>
      </c>
      <c r="AE155" s="10">
        <f t="shared" si="29"/>
        <v>1</v>
      </c>
      <c r="AP155" s="4">
        <v>42500</v>
      </c>
      <c r="AQ155">
        <v>6</v>
      </c>
      <c r="AR155">
        <f t="shared" si="22"/>
        <v>0</v>
      </c>
      <c r="AS155">
        <f t="shared" si="30"/>
        <v>0</v>
      </c>
      <c r="AU155" s="10"/>
      <c r="AV155" s="10"/>
    </row>
    <row r="156" spans="1:48" x14ac:dyDescent="0.35">
      <c r="A156" s="1">
        <v>155</v>
      </c>
      <c r="B156">
        <v>5</v>
      </c>
      <c r="C156">
        <v>4</v>
      </c>
      <c r="D156">
        <v>32</v>
      </c>
      <c r="E156" s="3">
        <v>0</v>
      </c>
      <c r="F156" s="3" t="s">
        <v>9</v>
      </c>
      <c r="G156" s="3" t="s">
        <v>11</v>
      </c>
      <c r="H156">
        <v>7</v>
      </c>
      <c r="I156" s="4">
        <v>44000</v>
      </c>
      <c r="J156" s="4"/>
      <c r="L156" s="4">
        <v>44000</v>
      </c>
      <c r="M156">
        <v>7</v>
      </c>
      <c r="N156">
        <f t="shared" si="23"/>
        <v>1</v>
      </c>
      <c r="R156" s="4">
        <v>44000</v>
      </c>
      <c r="S156">
        <v>7</v>
      </c>
      <c r="T156">
        <f t="shared" si="24"/>
        <v>0</v>
      </c>
      <c r="X156" s="4">
        <v>44000</v>
      </c>
      <c r="Y156">
        <v>7</v>
      </c>
      <c r="Z156" s="3">
        <v>0</v>
      </c>
      <c r="AA156">
        <f t="shared" si="25"/>
        <v>1</v>
      </c>
      <c r="AB156" s="10">
        <f t="shared" si="26"/>
        <v>0</v>
      </c>
      <c r="AC156" s="10">
        <f t="shared" si="27"/>
        <v>0</v>
      </c>
      <c r="AD156" s="10">
        <f t="shared" si="28"/>
        <v>0</v>
      </c>
      <c r="AE156" s="10">
        <f t="shared" si="29"/>
        <v>1</v>
      </c>
      <c r="AP156" s="4">
        <v>44000</v>
      </c>
      <c r="AQ156">
        <v>7</v>
      </c>
      <c r="AR156">
        <f t="shared" si="22"/>
        <v>1</v>
      </c>
      <c r="AS156">
        <f t="shared" si="30"/>
        <v>7</v>
      </c>
      <c r="AU156" s="10"/>
      <c r="AV156" s="10"/>
    </row>
    <row r="157" spans="1:48" x14ac:dyDescent="0.35">
      <c r="A157" s="1">
        <v>156</v>
      </c>
      <c r="B157">
        <v>5</v>
      </c>
      <c r="C157">
        <v>4</v>
      </c>
      <c r="D157">
        <v>31</v>
      </c>
      <c r="E157" s="3">
        <v>2</v>
      </c>
      <c r="F157" s="3" t="s">
        <v>9</v>
      </c>
      <c r="G157" s="3" t="s">
        <v>10</v>
      </c>
      <c r="H157">
        <v>6</v>
      </c>
      <c r="I157" s="4">
        <v>45000</v>
      </c>
      <c r="J157" s="4"/>
      <c r="L157" s="4">
        <v>45000</v>
      </c>
      <c r="M157">
        <v>6</v>
      </c>
      <c r="N157">
        <f t="shared" si="23"/>
        <v>0</v>
      </c>
      <c r="R157" s="4">
        <v>45000</v>
      </c>
      <c r="S157">
        <v>6</v>
      </c>
      <c r="T157">
        <f t="shared" si="24"/>
        <v>1</v>
      </c>
      <c r="X157" s="4">
        <v>45000</v>
      </c>
      <c r="Y157">
        <v>6</v>
      </c>
      <c r="Z157" s="3">
        <v>2</v>
      </c>
      <c r="AA157">
        <f t="shared" si="25"/>
        <v>0</v>
      </c>
      <c r="AB157" s="10">
        <f t="shared" si="26"/>
        <v>0</v>
      </c>
      <c r="AC157" s="10">
        <f t="shared" si="27"/>
        <v>0</v>
      </c>
      <c r="AD157" s="10">
        <f t="shared" si="28"/>
        <v>0</v>
      </c>
      <c r="AE157" s="10">
        <f t="shared" si="29"/>
        <v>1</v>
      </c>
      <c r="AP157" s="4">
        <v>45000</v>
      </c>
      <c r="AQ157">
        <v>6</v>
      </c>
      <c r="AR157">
        <f t="shared" si="22"/>
        <v>0</v>
      </c>
      <c r="AS157">
        <f t="shared" si="30"/>
        <v>0</v>
      </c>
      <c r="AU157" s="10"/>
      <c r="AV157" s="10"/>
    </row>
    <row r="158" spans="1:48" x14ac:dyDescent="0.35">
      <c r="A158" s="1">
        <v>157</v>
      </c>
      <c r="B158">
        <v>2</v>
      </c>
      <c r="C158">
        <v>4</v>
      </c>
      <c r="D158">
        <v>47</v>
      </c>
      <c r="E158" s="3">
        <v>4</v>
      </c>
      <c r="F158" s="3" t="s">
        <v>9</v>
      </c>
      <c r="G158" s="3" t="s">
        <v>11</v>
      </c>
      <c r="H158">
        <v>15</v>
      </c>
      <c r="I158" s="4">
        <v>44400</v>
      </c>
      <c r="J158" s="4"/>
      <c r="L158" s="4">
        <v>44400</v>
      </c>
      <c r="M158">
        <v>15</v>
      </c>
      <c r="N158">
        <f t="shared" si="23"/>
        <v>1</v>
      </c>
      <c r="R158" s="4">
        <v>44400</v>
      </c>
      <c r="S158">
        <v>15</v>
      </c>
      <c r="T158">
        <f t="shared" si="24"/>
        <v>0</v>
      </c>
      <c r="X158" s="4">
        <v>44400</v>
      </c>
      <c r="Y158">
        <v>15</v>
      </c>
      <c r="Z158" s="3">
        <v>4</v>
      </c>
      <c r="AA158">
        <f t="shared" si="25"/>
        <v>1</v>
      </c>
      <c r="AB158" s="10">
        <f t="shared" si="26"/>
        <v>0</v>
      </c>
      <c r="AC158" s="10">
        <f t="shared" si="27"/>
        <v>1</v>
      </c>
      <c r="AD158" s="10">
        <f t="shared" si="28"/>
        <v>0</v>
      </c>
      <c r="AE158" s="10">
        <f t="shared" si="29"/>
        <v>0</v>
      </c>
      <c r="AP158" s="4">
        <v>44400</v>
      </c>
      <c r="AQ158">
        <v>15</v>
      </c>
      <c r="AR158">
        <f t="shared" si="22"/>
        <v>1</v>
      </c>
      <c r="AS158">
        <f t="shared" si="30"/>
        <v>15</v>
      </c>
      <c r="AU158" s="10"/>
      <c r="AV158" s="10"/>
    </row>
    <row r="159" spans="1:48" x14ac:dyDescent="0.35">
      <c r="A159" s="1">
        <v>158</v>
      </c>
      <c r="B159">
        <v>3</v>
      </c>
      <c r="C159">
        <v>4</v>
      </c>
      <c r="D159">
        <v>44</v>
      </c>
      <c r="E159" s="3">
        <v>0</v>
      </c>
      <c r="F159" s="3" t="s">
        <v>9</v>
      </c>
      <c r="G159" s="3" t="s">
        <v>11</v>
      </c>
      <c r="H159">
        <v>17</v>
      </c>
      <c r="I159" s="4">
        <v>38000</v>
      </c>
      <c r="J159" s="4"/>
      <c r="L159" s="4">
        <v>38000</v>
      </c>
      <c r="M159">
        <v>17</v>
      </c>
      <c r="N159">
        <f t="shared" si="23"/>
        <v>1</v>
      </c>
      <c r="R159" s="4">
        <v>38000</v>
      </c>
      <c r="S159">
        <v>17</v>
      </c>
      <c r="T159">
        <f t="shared" si="24"/>
        <v>0</v>
      </c>
      <c r="X159" s="4">
        <v>38000</v>
      </c>
      <c r="Y159">
        <v>17</v>
      </c>
      <c r="Z159" s="3">
        <v>0</v>
      </c>
      <c r="AA159">
        <f t="shared" si="25"/>
        <v>1</v>
      </c>
      <c r="AB159" s="10">
        <f t="shared" si="26"/>
        <v>0</v>
      </c>
      <c r="AC159" s="10">
        <f t="shared" si="27"/>
        <v>0</v>
      </c>
      <c r="AD159" s="10">
        <f t="shared" si="28"/>
        <v>0</v>
      </c>
      <c r="AE159" s="10">
        <f t="shared" si="29"/>
        <v>0</v>
      </c>
      <c r="AP159" s="4">
        <v>38000</v>
      </c>
      <c r="AQ159">
        <v>17</v>
      </c>
      <c r="AR159">
        <f t="shared" si="22"/>
        <v>1</v>
      </c>
      <c r="AS159">
        <f t="shared" si="30"/>
        <v>17</v>
      </c>
      <c r="AU159" s="10"/>
      <c r="AV159" s="10"/>
    </row>
    <row r="160" spans="1:48" x14ac:dyDescent="0.35">
      <c r="A160" s="1">
        <v>159</v>
      </c>
      <c r="B160">
        <v>5</v>
      </c>
      <c r="C160">
        <v>4</v>
      </c>
      <c r="D160">
        <v>27</v>
      </c>
      <c r="E160" s="3">
        <v>0</v>
      </c>
      <c r="F160" s="3" t="s">
        <v>9</v>
      </c>
      <c r="G160" s="3" t="s">
        <v>10</v>
      </c>
      <c r="H160">
        <v>4</v>
      </c>
      <c r="I160" s="4">
        <v>41800</v>
      </c>
      <c r="J160" s="4"/>
      <c r="L160" s="4">
        <v>41800</v>
      </c>
      <c r="M160">
        <v>4</v>
      </c>
      <c r="N160">
        <f t="shared" si="23"/>
        <v>0</v>
      </c>
      <c r="R160" s="4">
        <v>41800</v>
      </c>
      <c r="S160">
        <v>4</v>
      </c>
      <c r="T160">
        <f t="shared" si="24"/>
        <v>1</v>
      </c>
      <c r="X160" s="4">
        <v>41800</v>
      </c>
      <c r="Y160">
        <v>4</v>
      </c>
      <c r="Z160" s="3">
        <v>0</v>
      </c>
      <c r="AA160">
        <f t="shared" si="25"/>
        <v>0</v>
      </c>
      <c r="AB160" s="10">
        <f t="shared" si="26"/>
        <v>0</v>
      </c>
      <c r="AC160" s="10">
        <f t="shared" si="27"/>
        <v>0</v>
      </c>
      <c r="AD160" s="10">
        <f t="shared" si="28"/>
        <v>0</v>
      </c>
      <c r="AE160" s="10">
        <f t="shared" si="29"/>
        <v>1</v>
      </c>
      <c r="AP160" s="4">
        <v>41800</v>
      </c>
      <c r="AQ160">
        <v>4</v>
      </c>
      <c r="AR160">
        <f t="shared" si="22"/>
        <v>0</v>
      </c>
      <c r="AS160">
        <f t="shared" si="30"/>
        <v>0</v>
      </c>
      <c r="AU160" s="10"/>
      <c r="AV160" s="10"/>
    </row>
    <row r="161" spans="1:48" x14ac:dyDescent="0.35">
      <c r="A161" s="1">
        <v>160</v>
      </c>
      <c r="B161">
        <v>1</v>
      </c>
      <c r="C161">
        <v>4</v>
      </c>
      <c r="D161">
        <v>55</v>
      </c>
      <c r="E161" s="3">
        <v>0</v>
      </c>
      <c r="F161" s="3" t="s">
        <v>9</v>
      </c>
      <c r="G161" s="3" t="s">
        <v>10</v>
      </c>
      <c r="H161">
        <v>23</v>
      </c>
      <c r="I161" s="4">
        <v>45500</v>
      </c>
      <c r="J161" s="4"/>
      <c r="L161" s="4">
        <v>45500</v>
      </c>
      <c r="M161">
        <v>23</v>
      </c>
      <c r="N161">
        <f t="shared" si="23"/>
        <v>0</v>
      </c>
      <c r="R161" s="4">
        <v>45500</v>
      </c>
      <c r="S161">
        <v>23</v>
      </c>
      <c r="T161">
        <f t="shared" si="24"/>
        <v>1</v>
      </c>
      <c r="X161" s="4">
        <v>45500</v>
      </c>
      <c r="Y161">
        <v>23</v>
      </c>
      <c r="Z161" s="3">
        <v>0</v>
      </c>
      <c r="AA161">
        <f t="shared" si="25"/>
        <v>0</v>
      </c>
      <c r="AB161" s="10">
        <f t="shared" si="26"/>
        <v>1</v>
      </c>
      <c r="AC161" s="10">
        <f t="shared" si="27"/>
        <v>0</v>
      </c>
      <c r="AD161" s="10">
        <f t="shared" si="28"/>
        <v>0</v>
      </c>
      <c r="AE161" s="10">
        <f t="shared" si="29"/>
        <v>0</v>
      </c>
      <c r="AP161" s="4">
        <v>45500</v>
      </c>
      <c r="AQ161">
        <v>23</v>
      </c>
      <c r="AR161">
        <f t="shared" si="22"/>
        <v>0</v>
      </c>
      <c r="AS161">
        <f t="shared" si="30"/>
        <v>0</v>
      </c>
      <c r="AU161" s="10"/>
      <c r="AV161" s="10"/>
    </row>
    <row r="162" spans="1:48" x14ac:dyDescent="0.35">
      <c r="A162" s="1">
        <v>161</v>
      </c>
      <c r="B162">
        <v>3</v>
      </c>
      <c r="C162">
        <v>4</v>
      </c>
      <c r="D162">
        <v>52</v>
      </c>
      <c r="E162" s="3">
        <v>4</v>
      </c>
      <c r="F162" s="3" t="s">
        <v>9</v>
      </c>
      <c r="G162" s="3" t="s">
        <v>10</v>
      </c>
      <c r="H162">
        <v>5</v>
      </c>
      <c r="I162" s="4">
        <v>42500</v>
      </c>
      <c r="J162" s="4"/>
      <c r="L162" s="4">
        <v>42500</v>
      </c>
      <c r="M162">
        <v>5</v>
      </c>
      <c r="N162">
        <f t="shared" si="23"/>
        <v>0</v>
      </c>
      <c r="R162" s="4">
        <v>42500</v>
      </c>
      <c r="S162">
        <v>5</v>
      </c>
      <c r="T162">
        <f t="shared" si="24"/>
        <v>1</v>
      </c>
      <c r="X162" s="4">
        <v>42500</v>
      </c>
      <c r="Y162">
        <v>5</v>
      </c>
      <c r="Z162" s="3">
        <v>4</v>
      </c>
      <c r="AA162">
        <f t="shared" si="25"/>
        <v>0</v>
      </c>
      <c r="AB162" s="10">
        <f t="shared" si="26"/>
        <v>0</v>
      </c>
      <c r="AC162" s="10">
        <f t="shared" si="27"/>
        <v>0</v>
      </c>
      <c r="AD162" s="10">
        <f t="shared" si="28"/>
        <v>0</v>
      </c>
      <c r="AE162" s="10">
        <f t="shared" si="29"/>
        <v>0</v>
      </c>
      <c r="AP162" s="4">
        <v>42500</v>
      </c>
      <c r="AQ162">
        <v>5</v>
      </c>
      <c r="AR162">
        <f t="shared" si="22"/>
        <v>0</v>
      </c>
      <c r="AS162">
        <f t="shared" si="30"/>
        <v>0</v>
      </c>
      <c r="AU162" s="10"/>
      <c r="AV162" s="10"/>
    </row>
    <row r="163" spans="1:48" x14ac:dyDescent="0.35">
      <c r="A163" s="1">
        <v>162</v>
      </c>
      <c r="B163">
        <v>5</v>
      </c>
      <c r="C163">
        <v>4</v>
      </c>
      <c r="D163">
        <v>50</v>
      </c>
      <c r="E163" s="3">
        <v>12</v>
      </c>
      <c r="F163" s="3" t="s">
        <v>9</v>
      </c>
      <c r="G163" s="3" t="s">
        <v>11</v>
      </c>
      <c r="H163">
        <v>3</v>
      </c>
      <c r="I163" s="4">
        <v>44000</v>
      </c>
      <c r="J163" s="4"/>
      <c r="L163" s="4">
        <v>44000</v>
      </c>
      <c r="M163">
        <v>3</v>
      </c>
      <c r="N163">
        <f t="shared" si="23"/>
        <v>1</v>
      </c>
      <c r="R163" s="4">
        <v>44000</v>
      </c>
      <c r="S163">
        <v>3</v>
      </c>
      <c r="T163">
        <f t="shared" si="24"/>
        <v>0</v>
      </c>
      <c r="X163" s="4">
        <v>44000</v>
      </c>
      <c r="Y163">
        <v>3</v>
      </c>
      <c r="Z163" s="3">
        <v>12</v>
      </c>
      <c r="AA163">
        <f t="shared" si="25"/>
        <v>1</v>
      </c>
      <c r="AB163" s="10">
        <f t="shared" si="26"/>
        <v>0</v>
      </c>
      <c r="AC163" s="10">
        <f t="shared" si="27"/>
        <v>0</v>
      </c>
      <c r="AD163" s="10">
        <f t="shared" si="28"/>
        <v>0</v>
      </c>
      <c r="AE163" s="10">
        <f t="shared" si="29"/>
        <v>1</v>
      </c>
      <c r="AP163" s="4">
        <v>44000</v>
      </c>
      <c r="AQ163">
        <v>3</v>
      </c>
      <c r="AR163">
        <f t="shared" si="22"/>
        <v>1</v>
      </c>
      <c r="AS163">
        <f t="shared" si="30"/>
        <v>3</v>
      </c>
      <c r="AU163" s="10"/>
      <c r="AV163" s="10"/>
    </row>
    <row r="164" spans="1:48" x14ac:dyDescent="0.35">
      <c r="A164" s="1">
        <v>163</v>
      </c>
      <c r="B164">
        <v>3</v>
      </c>
      <c r="C164">
        <v>4</v>
      </c>
      <c r="D164">
        <v>59</v>
      </c>
      <c r="E164" s="3">
        <v>8</v>
      </c>
      <c r="F164" s="3" t="s">
        <v>12</v>
      </c>
      <c r="G164" s="3" t="s">
        <v>11</v>
      </c>
      <c r="H164">
        <v>19</v>
      </c>
      <c r="I164" s="4">
        <v>54300</v>
      </c>
      <c r="J164" s="4"/>
      <c r="L164" s="4">
        <v>54300</v>
      </c>
      <c r="M164">
        <v>19</v>
      </c>
      <c r="N164">
        <f t="shared" si="23"/>
        <v>1</v>
      </c>
      <c r="R164" s="4">
        <v>54300</v>
      </c>
      <c r="S164">
        <v>19</v>
      </c>
      <c r="T164">
        <f t="shared" si="24"/>
        <v>0</v>
      </c>
      <c r="X164" s="4">
        <v>54300</v>
      </c>
      <c r="Y164">
        <v>19</v>
      </c>
      <c r="Z164" s="3">
        <v>8</v>
      </c>
      <c r="AA164">
        <f t="shared" si="25"/>
        <v>1</v>
      </c>
      <c r="AB164" s="10">
        <f t="shared" si="26"/>
        <v>0</v>
      </c>
      <c r="AC164" s="10">
        <f t="shared" si="27"/>
        <v>0</v>
      </c>
      <c r="AD164" s="10">
        <f t="shared" si="28"/>
        <v>0</v>
      </c>
      <c r="AE164" s="10">
        <f t="shared" si="29"/>
        <v>0</v>
      </c>
      <c r="AP164" s="4">
        <v>54300</v>
      </c>
      <c r="AQ164">
        <v>19</v>
      </c>
      <c r="AR164">
        <f t="shared" si="22"/>
        <v>1</v>
      </c>
      <c r="AS164">
        <f t="shared" si="30"/>
        <v>19</v>
      </c>
      <c r="AU164" s="10"/>
      <c r="AV164" s="10"/>
    </row>
    <row r="165" spans="1:48" x14ac:dyDescent="0.35">
      <c r="A165" s="1">
        <v>164</v>
      </c>
      <c r="B165">
        <v>3</v>
      </c>
      <c r="C165">
        <v>4</v>
      </c>
      <c r="D165">
        <v>47</v>
      </c>
      <c r="E165" s="3">
        <v>0</v>
      </c>
      <c r="F165" s="3" t="s">
        <v>9</v>
      </c>
      <c r="G165" s="3" t="s">
        <v>11</v>
      </c>
      <c r="H165">
        <v>26</v>
      </c>
      <c r="I165" s="4">
        <v>44800</v>
      </c>
      <c r="J165" s="4"/>
      <c r="L165" s="4">
        <v>44800</v>
      </c>
      <c r="M165">
        <v>26</v>
      </c>
      <c r="N165">
        <f t="shared" si="23"/>
        <v>1</v>
      </c>
      <c r="R165" s="4">
        <v>44800</v>
      </c>
      <c r="S165">
        <v>26</v>
      </c>
      <c r="T165">
        <f t="shared" si="24"/>
        <v>0</v>
      </c>
      <c r="X165" s="4">
        <v>44800</v>
      </c>
      <c r="Y165">
        <v>26</v>
      </c>
      <c r="Z165" s="3">
        <v>0</v>
      </c>
      <c r="AA165">
        <f t="shared" si="25"/>
        <v>1</v>
      </c>
      <c r="AB165" s="10">
        <f t="shared" si="26"/>
        <v>0</v>
      </c>
      <c r="AC165" s="10">
        <f t="shared" si="27"/>
        <v>0</v>
      </c>
      <c r="AD165" s="10">
        <f t="shared" si="28"/>
        <v>0</v>
      </c>
      <c r="AE165" s="10">
        <f t="shared" si="29"/>
        <v>0</v>
      </c>
      <c r="AP165" s="4">
        <v>44800</v>
      </c>
      <c r="AQ165">
        <v>26</v>
      </c>
      <c r="AR165">
        <f t="shared" si="22"/>
        <v>1</v>
      </c>
      <c r="AS165">
        <f t="shared" si="30"/>
        <v>26</v>
      </c>
      <c r="AU165" s="10"/>
      <c r="AV165" s="10"/>
    </row>
    <row r="166" spans="1:48" x14ac:dyDescent="0.35">
      <c r="A166" s="1">
        <v>165</v>
      </c>
      <c r="B166">
        <v>3</v>
      </c>
      <c r="C166">
        <v>4</v>
      </c>
      <c r="D166">
        <v>43</v>
      </c>
      <c r="E166" s="3">
        <v>4</v>
      </c>
      <c r="F166" s="3" t="s">
        <v>9</v>
      </c>
      <c r="G166" s="3" t="s">
        <v>10</v>
      </c>
      <c r="H166">
        <v>6</v>
      </c>
      <c r="I166" s="4">
        <v>47000</v>
      </c>
      <c r="J166" s="4"/>
      <c r="L166" s="4">
        <v>47000</v>
      </c>
      <c r="M166">
        <v>6</v>
      </c>
      <c r="N166">
        <f t="shared" si="23"/>
        <v>0</v>
      </c>
      <c r="R166" s="4">
        <v>47000</v>
      </c>
      <c r="S166">
        <v>6</v>
      </c>
      <c r="T166">
        <f t="shared" si="24"/>
        <v>1</v>
      </c>
      <c r="X166" s="4">
        <v>47000</v>
      </c>
      <c r="Y166">
        <v>6</v>
      </c>
      <c r="Z166" s="3">
        <v>4</v>
      </c>
      <c r="AA166">
        <f t="shared" si="25"/>
        <v>0</v>
      </c>
      <c r="AB166" s="10">
        <f t="shared" si="26"/>
        <v>0</v>
      </c>
      <c r="AC166" s="10">
        <f t="shared" si="27"/>
        <v>0</v>
      </c>
      <c r="AD166" s="10">
        <f t="shared" si="28"/>
        <v>0</v>
      </c>
      <c r="AE166" s="10">
        <f t="shared" si="29"/>
        <v>0</v>
      </c>
      <c r="AP166" s="4">
        <v>47000</v>
      </c>
      <c r="AQ166">
        <v>6</v>
      </c>
      <c r="AR166">
        <f t="shared" si="22"/>
        <v>0</v>
      </c>
      <c r="AS166">
        <f t="shared" si="30"/>
        <v>0</v>
      </c>
      <c r="AU166" s="10"/>
      <c r="AV166" s="10"/>
    </row>
    <row r="167" spans="1:48" x14ac:dyDescent="0.35">
      <c r="A167" s="1">
        <v>166</v>
      </c>
      <c r="B167">
        <v>5</v>
      </c>
      <c r="C167">
        <v>4</v>
      </c>
      <c r="D167">
        <v>41</v>
      </c>
      <c r="E167" s="3">
        <v>0</v>
      </c>
      <c r="F167" s="3" t="s">
        <v>9</v>
      </c>
      <c r="G167" s="3" t="s">
        <v>11</v>
      </c>
      <c r="H167">
        <v>15</v>
      </c>
      <c r="I167" s="4">
        <v>43800</v>
      </c>
      <c r="J167" s="4"/>
      <c r="L167" s="4">
        <v>43800</v>
      </c>
      <c r="M167">
        <v>15</v>
      </c>
      <c r="N167">
        <f t="shared" si="23"/>
        <v>1</v>
      </c>
      <c r="R167" s="4">
        <v>43800</v>
      </c>
      <c r="S167">
        <v>15</v>
      </c>
      <c r="T167">
        <f t="shared" si="24"/>
        <v>0</v>
      </c>
      <c r="X167" s="4">
        <v>43800</v>
      </c>
      <c r="Y167">
        <v>15</v>
      </c>
      <c r="Z167" s="3">
        <v>0</v>
      </c>
      <c r="AA167">
        <f t="shared" si="25"/>
        <v>1</v>
      </c>
      <c r="AB167" s="10">
        <f t="shared" si="26"/>
        <v>0</v>
      </c>
      <c r="AC167" s="10">
        <f t="shared" si="27"/>
        <v>0</v>
      </c>
      <c r="AD167" s="10">
        <f t="shared" si="28"/>
        <v>0</v>
      </c>
      <c r="AE167" s="10">
        <f t="shared" si="29"/>
        <v>1</v>
      </c>
      <c r="AP167" s="4">
        <v>43800</v>
      </c>
      <c r="AQ167">
        <v>15</v>
      </c>
      <c r="AR167">
        <f t="shared" si="22"/>
        <v>1</v>
      </c>
      <c r="AS167">
        <f t="shared" si="30"/>
        <v>15</v>
      </c>
      <c r="AU167" s="10"/>
      <c r="AV167" s="10"/>
    </row>
    <row r="168" spans="1:48" x14ac:dyDescent="0.35">
      <c r="A168" s="1">
        <v>167</v>
      </c>
      <c r="B168">
        <v>1</v>
      </c>
      <c r="C168">
        <v>4</v>
      </c>
      <c r="D168">
        <v>39</v>
      </c>
      <c r="E168" s="3">
        <v>4</v>
      </c>
      <c r="F168" s="3" t="s">
        <v>12</v>
      </c>
      <c r="G168" s="3" t="s">
        <v>11</v>
      </c>
      <c r="H168">
        <v>12</v>
      </c>
      <c r="I168" s="4">
        <v>48000</v>
      </c>
      <c r="J168" s="4"/>
      <c r="L168" s="4">
        <v>48000</v>
      </c>
      <c r="M168">
        <v>12</v>
      </c>
      <c r="N168">
        <f t="shared" si="23"/>
        <v>1</v>
      </c>
      <c r="R168" s="4">
        <v>48000</v>
      </c>
      <c r="S168">
        <v>12</v>
      </c>
      <c r="T168">
        <f t="shared" si="24"/>
        <v>0</v>
      </c>
      <c r="X168" s="4">
        <v>48000</v>
      </c>
      <c r="Y168">
        <v>12</v>
      </c>
      <c r="Z168" s="3">
        <v>4</v>
      </c>
      <c r="AA168">
        <f t="shared" si="25"/>
        <v>1</v>
      </c>
      <c r="AB168" s="10">
        <f t="shared" si="26"/>
        <v>1</v>
      </c>
      <c r="AC168" s="10">
        <f t="shared" si="27"/>
        <v>0</v>
      </c>
      <c r="AD168" s="10">
        <f t="shared" si="28"/>
        <v>0</v>
      </c>
      <c r="AE168" s="10">
        <f t="shared" si="29"/>
        <v>0</v>
      </c>
      <c r="AP168" s="4">
        <v>48000</v>
      </c>
      <c r="AQ168">
        <v>12</v>
      </c>
      <c r="AR168">
        <f t="shared" si="22"/>
        <v>1</v>
      </c>
      <c r="AS168">
        <f t="shared" si="30"/>
        <v>12</v>
      </c>
      <c r="AU168" s="10"/>
      <c r="AV168" s="10"/>
    </row>
    <row r="169" spans="1:48" x14ac:dyDescent="0.35">
      <c r="A169" s="1">
        <v>168</v>
      </c>
      <c r="B169">
        <v>5</v>
      </c>
      <c r="C169">
        <v>4</v>
      </c>
      <c r="D169">
        <v>39</v>
      </c>
      <c r="E169" s="3">
        <v>0</v>
      </c>
      <c r="F169" s="3" t="s">
        <v>9</v>
      </c>
      <c r="G169" s="3" t="s">
        <v>11</v>
      </c>
      <c r="H169">
        <v>9</v>
      </c>
      <c r="I169" s="4">
        <v>42700</v>
      </c>
      <c r="J169" s="4"/>
      <c r="L169" s="4">
        <v>42700</v>
      </c>
      <c r="M169">
        <v>9</v>
      </c>
      <c r="N169">
        <f t="shared" si="23"/>
        <v>1</v>
      </c>
      <c r="R169" s="4">
        <v>42700</v>
      </c>
      <c r="S169">
        <v>9</v>
      </c>
      <c r="T169">
        <f t="shared" si="24"/>
        <v>0</v>
      </c>
      <c r="X169" s="4">
        <v>42700</v>
      </c>
      <c r="Y169">
        <v>9</v>
      </c>
      <c r="Z169" s="3">
        <v>0</v>
      </c>
      <c r="AA169">
        <f t="shared" si="25"/>
        <v>1</v>
      </c>
      <c r="AB169" s="10">
        <f t="shared" si="26"/>
        <v>0</v>
      </c>
      <c r="AC169" s="10">
        <f t="shared" si="27"/>
        <v>0</v>
      </c>
      <c r="AD169" s="10">
        <f t="shared" si="28"/>
        <v>0</v>
      </c>
      <c r="AE169" s="10">
        <f t="shared" si="29"/>
        <v>1</v>
      </c>
      <c r="AP169" s="4">
        <v>42700</v>
      </c>
      <c r="AQ169">
        <v>9</v>
      </c>
      <c r="AR169">
        <f t="shared" si="22"/>
        <v>1</v>
      </c>
      <c r="AS169">
        <f t="shared" si="30"/>
        <v>9</v>
      </c>
      <c r="AU169" s="10"/>
      <c r="AV169" s="10"/>
    </row>
    <row r="170" spans="1:48" x14ac:dyDescent="0.35">
      <c r="A170" s="1">
        <v>169</v>
      </c>
      <c r="B170">
        <v>3</v>
      </c>
      <c r="C170">
        <v>4</v>
      </c>
      <c r="D170">
        <v>40</v>
      </c>
      <c r="E170" s="3">
        <v>1</v>
      </c>
      <c r="F170" s="3" t="s">
        <v>12</v>
      </c>
      <c r="G170" s="3" t="s">
        <v>11</v>
      </c>
      <c r="H170">
        <v>14</v>
      </c>
      <c r="I170" s="4">
        <v>48500</v>
      </c>
      <c r="J170" s="4"/>
      <c r="L170" s="4">
        <v>48500</v>
      </c>
      <c r="M170">
        <v>14</v>
      </c>
      <c r="N170">
        <f t="shared" si="23"/>
        <v>1</v>
      </c>
      <c r="R170" s="4">
        <v>48500</v>
      </c>
      <c r="S170">
        <v>14</v>
      </c>
      <c r="T170">
        <f t="shared" si="24"/>
        <v>0</v>
      </c>
      <c r="X170" s="4">
        <v>48500</v>
      </c>
      <c r="Y170">
        <v>14</v>
      </c>
      <c r="Z170" s="3">
        <v>1</v>
      </c>
      <c r="AA170">
        <f t="shared" si="25"/>
        <v>1</v>
      </c>
      <c r="AB170" s="10">
        <f t="shared" si="26"/>
        <v>0</v>
      </c>
      <c r="AC170" s="10">
        <f t="shared" si="27"/>
        <v>0</v>
      </c>
      <c r="AD170" s="10">
        <f t="shared" si="28"/>
        <v>0</v>
      </c>
      <c r="AE170" s="10">
        <f t="shared" si="29"/>
        <v>0</v>
      </c>
      <c r="AP170" s="4">
        <v>48500</v>
      </c>
      <c r="AQ170">
        <v>14</v>
      </c>
      <c r="AR170">
        <f t="shared" si="22"/>
        <v>1</v>
      </c>
      <c r="AS170">
        <f t="shared" si="30"/>
        <v>14</v>
      </c>
      <c r="AU170" s="10"/>
      <c r="AV170" s="10"/>
    </row>
    <row r="171" spans="1:48" x14ac:dyDescent="0.35">
      <c r="A171" s="1">
        <v>170</v>
      </c>
      <c r="B171">
        <v>3</v>
      </c>
      <c r="C171">
        <v>4</v>
      </c>
      <c r="D171">
        <v>49</v>
      </c>
      <c r="E171" s="3">
        <v>0</v>
      </c>
      <c r="F171" s="3" t="s">
        <v>9</v>
      </c>
      <c r="G171" s="3" t="s">
        <v>11</v>
      </c>
      <c r="H171">
        <v>16</v>
      </c>
      <c r="I171" s="4">
        <v>42000</v>
      </c>
      <c r="J171" s="4"/>
      <c r="L171" s="4">
        <v>42000</v>
      </c>
      <c r="M171">
        <v>16</v>
      </c>
      <c r="N171">
        <f t="shared" si="23"/>
        <v>1</v>
      </c>
      <c r="R171" s="4">
        <v>42000</v>
      </c>
      <c r="S171">
        <v>16</v>
      </c>
      <c r="T171">
        <f t="shared" si="24"/>
        <v>0</v>
      </c>
      <c r="X171" s="4">
        <v>42000</v>
      </c>
      <c r="Y171">
        <v>16</v>
      </c>
      <c r="Z171" s="3">
        <v>0</v>
      </c>
      <c r="AA171">
        <f t="shared" si="25"/>
        <v>1</v>
      </c>
      <c r="AB171" s="10">
        <f t="shared" si="26"/>
        <v>0</v>
      </c>
      <c r="AC171" s="10">
        <f t="shared" si="27"/>
        <v>0</v>
      </c>
      <c r="AD171" s="10">
        <f t="shared" si="28"/>
        <v>0</v>
      </c>
      <c r="AE171" s="10">
        <f t="shared" si="29"/>
        <v>0</v>
      </c>
      <c r="AP171" s="4">
        <v>42000</v>
      </c>
      <c r="AQ171">
        <v>16</v>
      </c>
      <c r="AR171">
        <f t="shared" si="22"/>
        <v>1</v>
      </c>
      <c r="AS171">
        <f t="shared" si="30"/>
        <v>16</v>
      </c>
      <c r="AU171" s="10"/>
      <c r="AV171" s="10"/>
    </row>
    <row r="172" spans="1:48" x14ac:dyDescent="0.35">
      <c r="A172" s="1">
        <v>171</v>
      </c>
      <c r="B172">
        <v>2</v>
      </c>
      <c r="C172">
        <v>4</v>
      </c>
      <c r="D172">
        <v>53</v>
      </c>
      <c r="E172" s="3">
        <v>1</v>
      </c>
      <c r="F172" s="3" t="s">
        <v>9</v>
      </c>
      <c r="G172" s="3" t="s">
        <v>11</v>
      </c>
      <c r="H172">
        <v>16</v>
      </c>
      <c r="I172" s="4">
        <v>45500</v>
      </c>
      <c r="J172" s="4"/>
      <c r="L172" s="4">
        <v>45500</v>
      </c>
      <c r="M172">
        <v>16</v>
      </c>
      <c r="N172">
        <f t="shared" si="23"/>
        <v>1</v>
      </c>
      <c r="R172" s="4">
        <v>45500</v>
      </c>
      <c r="S172">
        <v>16</v>
      </c>
      <c r="T172">
        <f t="shared" si="24"/>
        <v>0</v>
      </c>
      <c r="X172" s="4">
        <v>45500</v>
      </c>
      <c r="Y172">
        <v>16</v>
      </c>
      <c r="Z172" s="3">
        <v>1</v>
      </c>
      <c r="AA172">
        <f t="shared" si="25"/>
        <v>1</v>
      </c>
      <c r="AB172" s="10">
        <f t="shared" si="26"/>
        <v>0</v>
      </c>
      <c r="AC172" s="10">
        <f t="shared" si="27"/>
        <v>1</v>
      </c>
      <c r="AD172" s="10">
        <f t="shared" si="28"/>
        <v>0</v>
      </c>
      <c r="AE172" s="10">
        <f t="shared" si="29"/>
        <v>0</v>
      </c>
      <c r="AP172" s="4">
        <v>45500</v>
      </c>
      <c r="AQ172">
        <v>16</v>
      </c>
      <c r="AR172">
        <f t="shared" si="22"/>
        <v>1</v>
      </c>
      <c r="AS172">
        <f t="shared" si="30"/>
        <v>16</v>
      </c>
      <c r="AU172" s="10"/>
      <c r="AV172" s="10"/>
    </row>
    <row r="173" spans="1:48" x14ac:dyDescent="0.35">
      <c r="A173" s="1">
        <v>172</v>
      </c>
      <c r="B173">
        <v>3</v>
      </c>
      <c r="C173">
        <v>4</v>
      </c>
      <c r="D173">
        <v>37</v>
      </c>
      <c r="E173" s="3">
        <v>0</v>
      </c>
      <c r="F173" s="3" t="s">
        <v>9</v>
      </c>
      <c r="G173" s="3" t="s">
        <v>11</v>
      </c>
      <c r="H173">
        <v>11</v>
      </c>
      <c r="I173" s="4">
        <v>44500</v>
      </c>
      <c r="J173" s="4"/>
      <c r="L173" s="4">
        <v>44500</v>
      </c>
      <c r="M173">
        <v>11</v>
      </c>
      <c r="N173">
        <f t="shared" si="23"/>
        <v>1</v>
      </c>
      <c r="R173" s="4">
        <v>44500</v>
      </c>
      <c r="S173">
        <v>11</v>
      </c>
      <c r="T173">
        <f t="shared" si="24"/>
        <v>0</v>
      </c>
      <c r="X173" s="4">
        <v>44500</v>
      </c>
      <c r="Y173">
        <v>11</v>
      </c>
      <c r="Z173" s="3">
        <v>0</v>
      </c>
      <c r="AA173">
        <f t="shared" si="25"/>
        <v>1</v>
      </c>
      <c r="AB173" s="10">
        <f t="shared" si="26"/>
        <v>0</v>
      </c>
      <c r="AC173" s="10">
        <f t="shared" si="27"/>
        <v>0</v>
      </c>
      <c r="AD173" s="10">
        <f t="shared" si="28"/>
        <v>0</v>
      </c>
      <c r="AE173" s="10">
        <f t="shared" si="29"/>
        <v>0</v>
      </c>
      <c r="AP173" s="4">
        <v>44500</v>
      </c>
      <c r="AQ173">
        <v>11</v>
      </c>
      <c r="AR173">
        <f t="shared" si="22"/>
        <v>1</v>
      </c>
      <c r="AS173">
        <f t="shared" si="30"/>
        <v>11</v>
      </c>
      <c r="AU173" s="10"/>
      <c r="AV173" s="10"/>
    </row>
    <row r="174" spans="1:48" x14ac:dyDescent="0.35">
      <c r="A174" s="1">
        <v>173</v>
      </c>
      <c r="B174">
        <v>2</v>
      </c>
      <c r="C174">
        <v>4</v>
      </c>
      <c r="D174">
        <v>40</v>
      </c>
      <c r="E174" s="3">
        <v>2</v>
      </c>
      <c r="F174" s="3" t="s">
        <v>9</v>
      </c>
      <c r="G174" s="3" t="s">
        <v>11</v>
      </c>
      <c r="H174">
        <v>13</v>
      </c>
      <c r="I174" s="4">
        <v>51200</v>
      </c>
      <c r="J174" s="4"/>
      <c r="L174" s="4">
        <v>51200</v>
      </c>
      <c r="M174">
        <v>13</v>
      </c>
      <c r="N174">
        <f t="shared" si="23"/>
        <v>1</v>
      </c>
      <c r="R174" s="4">
        <v>51200</v>
      </c>
      <c r="S174">
        <v>13</v>
      </c>
      <c r="T174">
        <f t="shared" si="24"/>
        <v>0</v>
      </c>
      <c r="X174" s="4">
        <v>51200</v>
      </c>
      <c r="Y174">
        <v>13</v>
      </c>
      <c r="Z174" s="3">
        <v>2</v>
      </c>
      <c r="AA174">
        <f t="shared" si="25"/>
        <v>1</v>
      </c>
      <c r="AB174" s="10">
        <f t="shared" si="26"/>
        <v>0</v>
      </c>
      <c r="AC174" s="10">
        <f t="shared" si="27"/>
        <v>1</v>
      </c>
      <c r="AD174" s="10">
        <f t="shared" si="28"/>
        <v>0</v>
      </c>
      <c r="AE174" s="10">
        <f t="shared" si="29"/>
        <v>0</v>
      </c>
      <c r="AP174" s="4">
        <v>51200</v>
      </c>
      <c r="AQ174">
        <v>13</v>
      </c>
      <c r="AR174">
        <f t="shared" si="22"/>
        <v>1</v>
      </c>
      <c r="AS174">
        <f t="shared" si="30"/>
        <v>13</v>
      </c>
      <c r="AU174" s="10"/>
      <c r="AV174" s="10"/>
    </row>
    <row r="175" spans="1:48" x14ac:dyDescent="0.35">
      <c r="A175" s="1">
        <v>174</v>
      </c>
      <c r="B175">
        <v>5</v>
      </c>
      <c r="C175">
        <v>5</v>
      </c>
      <c r="D175">
        <v>34</v>
      </c>
      <c r="E175" s="3">
        <v>0</v>
      </c>
      <c r="F175" s="3" t="s">
        <v>9</v>
      </c>
      <c r="G175" s="3" t="s">
        <v>10</v>
      </c>
      <c r="H175">
        <v>7</v>
      </c>
      <c r="I175" s="4">
        <v>47500</v>
      </c>
      <c r="J175" s="4"/>
      <c r="L175" s="4">
        <v>47500</v>
      </c>
      <c r="M175">
        <v>7</v>
      </c>
      <c r="N175">
        <f t="shared" si="23"/>
        <v>0</v>
      </c>
      <c r="R175" s="4">
        <v>47500</v>
      </c>
      <c r="S175">
        <v>7</v>
      </c>
      <c r="T175">
        <f t="shared" si="24"/>
        <v>1</v>
      </c>
      <c r="X175" s="4">
        <v>47500</v>
      </c>
      <c r="Y175">
        <v>7</v>
      </c>
      <c r="Z175" s="3">
        <v>0</v>
      </c>
      <c r="AA175">
        <f t="shared" si="25"/>
        <v>0</v>
      </c>
      <c r="AB175" s="10">
        <f t="shared" si="26"/>
        <v>0</v>
      </c>
      <c r="AC175" s="10">
        <f t="shared" si="27"/>
        <v>0</v>
      </c>
      <c r="AD175" s="10">
        <f t="shared" si="28"/>
        <v>0</v>
      </c>
      <c r="AE175" s="10">
        <f t="shared" si="29"/>
        <v>1</v>
      </c>
      <c r="AP175" s="4">
        <v>47500</v>
      </c>
      <c r="AQ175">
        <v>7</v>
      </c>
      <c r="AR175">
        <f t="shared" si="22"/>
        <v>0</v>
      </c>
      <c r="AS175">
        <f t="shared" si="30"/>
        <v>0</v>
      </c>
      <c r="AU175" s="10"/>
      <c r="AV175" s="10"/>
    </row>
    <row r="176" spans="1:48" x14ac:dyDescent="0.35">
      <c r="A176" s="1">
        <v>175</v>
      </c>
      <c r="B176">
        <v>5</v>
      </c>
      <c r="C176">
        <v>5</v>
      </c>
      <c r="D176">
        <v>37</v>
      </c>
      <c r="E176" s="3">
        <v>0</v>
      </c>
      <c r="F176" s="3" t="s">
        <v>9</v>
      </c>
      <c r="G176" s="3" t="s">
        <v>11</v>
      </c>
      <c r="H176">
        <v>8</v>
      </c>
      <c r="I176" s="4">
        <v>44500</v>
      </c>
      <c r="J176" s="4"/>
      <c r="L176" s="4">
        <v>44500</v>
      </c>
      <c r="M176">
        <v>8</v>
      </c>
      <c r="N176">
        <f t="shared" si="23"/>
        <v>1</v>
      </c>
      <c r="R176" s="4">
        <v>44500</v>
      </c>
      <c r="S176">
        <v>8</v>
      </c>
      <c r="T176">
        <f t="shared" si="24"/>
        <v>0</v>
      </c>
      <c r="X176" s="4">
        <v>44500</v>
      </c>
      <c r="Y176">
        <v>8</v>
      </c>
      <c r="Z176" s="3">
        <v>0</v>
      </c>
      <c r="AA176">
        <f t="shared" si="25"/>
        <v>1</v>
      </c>
      <c r="AB176" s="10">
        <f t="shared" si="26"/>
        <v>0</v>
      </c>
      <c r="AC176" s="10">
        <f t="shared" si="27"/>
        <v>0</v>
      </c>
      <c r="AD176" s="10">
        <f t="shared" si="28"/>
        <v>0</v>
      </c>
      <c r="AE176" s="10">
        <f t="shared" si="29"/>
        <v>1</v>
      </c>
      <c r="AP176" s="4">
        <v>44500</v>
      </c>
      <c r="AQ176">
        <v>8</v>
      </c>
      <c r="AR176">
        <f t="shared" si="22"/>
        <v>1</v>
      </c>
      <c r="AS176">
        <f t="shared" si="30"/>
        <v>8</v>
      </c>
      <c r="AU176" s="10"/>
      <c r="AV176" s="10"/>
    </row>
    <row r="177" spans="1:48" x14ac:dyDescent="0.35">
      <c r="A177" s="1">
        <v>176</v>
      </c>
      <c r="B177">
        <v>5</v>
      </c>
      <c r="C177">
        <v>5</v>
      </c>
      <c r="D177">
        <v>31</v>
      </c>
      <c r="E177" s="3">
        <v>0</v>
      </c>
      <c r="F177" s="3" t="s">
        <v>9</v>
      </c>
      <c r="G177" s="3" t="s">
        <v>10</v>
      </c>
      <c r="H177">
        <v>8</v>
      </c>
      <c r="I177" s="4">
        <v>47000</v>
      </c>
      <c r="J177" s="4"/>
      <c r="L177" s="4">
        <v>47000</v>
      </c>
      <c r="M177">
        <v>8</v>
      </c>
      <c r="N177">
        <f t="shared" si="23"/>
        <v>0</v>
      </c>
      <c r="R177" s="4">
        <v>47000</v>
      </c>
      <c r="S177">
        <v>8</v>
      </c>
      <c r="T177">
        <f t="shared" si="24"/>
        <v>1</v>
      </c>
      <c r="X177" s="4">
        <v>47000</v>
      </c>
      <c r="Y177">
        <v>8</v>
      </c>
      <c r="Z177" s="3">
        <v>0</v>
      </c>
      <c r="AA177">
        <f t="shared" si="25"/>
        <v>0</v>
      </c>
      <c r="AB177" s="10">
        <f t="shared" si="26"/>
        <v>0</v>
      </c>
      <c r="AC177" s="10">
        <f t="shared" si="27"/>
        <v>0</v>
      </c>
      <c r="AD177" s="10">
        <f t="shared" si="28"/>
        <v>0</v>
      </c>
      <c r="AE177" s="10">
        <f t="shared" si="29"/>
        <v>1</v>
      </c>
      <c r="AP177" s="4">
        <v>47000</v>
      </c>
      <c r="AQ177">
        <v>8</v>
      </c>
      <c r="AR177">
        <f t="shared" si="22"/>
        <v>0</v>
      </c>
      <c r="AS177">
        <f t="shared" si="30"/>
        <v>0</v>
      </c>
      <c r="AU177" s="10"/>
      <c r="AV177" s="10"/>
    </row>
    <row r="178" spans="1:48" x14ac:dyDescent="0.35">
      <c r="A178" s="1">
        <v>177</v>
      </c>
      <c r="B178">
        <v>5</v>
      </c>
      <c r="C178">
        <v>5</v>
      </c>
      <c r="D178">
        <v>41</v>
      </c>
      <c r="E178" s="3">
        <v>10</v>
      </c>
      <c r="F178" s="3" t="s">
        <v>9</v>
      </c>
      <c r="G178" s="3" t="s">
        <v>10</v>
      </c>
      <c r="H178">
        <v>6</v>
      </c>
      <c r="I178" s="4">
        <v>47000</v>
      </c>
      <c r="J178" s="4"/>
      <c r="L178" s="4">
        <v>47000</v>
      </c>
      <c r="M178">
        <v>6</v>
      </c>
      <c r="N178">
        <f t="shared" si="23"/>
        <v>0</v>
      </c>
      <c r="R178" s="4">
        <v>47000</v>
      </c>
      <c r="S178">
        <v>6</v>
      </c>
      <c r="T178">
        <f t="shared" si="24"/>
        <v>1</v>
      </c>
      <c r="X178" s="4">
        <v>47000</v>
      </c>
      <c r="Y178">
        <v>6</v>
      </c>
      <c r="Z178" s="3">
        <v>10</v>
      </c>
      <c r="AA178">
        <f t="shared" si="25"/>
        <v>0</v>
      </c>
      <c r="AB178" s="10">
        <f t="shared" si="26"/>
        <v>0</v>
      </c>
      <c r="AC178" s="10">
        <f t="shared" si="27"/>
        <v>0</v>
      </c>
      <c r="AD178" s="10">
        <f t="shared" si="28"/>
        <v>0</v>
      </c>
      <c r="AE178" s="10">
        <f t="shared" si="29"/>
        <v>1</v>
      </c>
      <c r="AP178" s="4">
        <v>47000</v>
      </c>
      <c r="AQ178">
        <v>6</v>
      </c>
      <c r="AR178">
        <f t="shared" si="22"/>
        <v>0</v>
      </c>
      <c r="AS178">
        <f t="shared" si="30"/>
        <v>0</v>
      </c>
      <c r="AU178" s="10"/>
      <c r="AV178" s="10"/>
    </row>
    <row r="179" spans="1:48" x14ac:dyDescent="0.35">
      <c r="A179" s="1">
        <v>178</v>
      </c>
      <c r="B179">
        <v>3</v>
      </c>
      <c r="C179">
        <v>5</v>
      </c>
      <c r="D179">
        <v>46</v>
      </c>
      <c r="E179" s="3">
        <v>4</v>
      </c>
      <c r="F179" s="3" t="s">
        <v>9</v>
      </c>
      <c r="G179" s="3" t="s">
        <v>11</v>
      </c>
      <c r="H179">
        <v>17</v>
      </c>
      <c r="I179" s="4">
        <v>43100</v>
      </c>
      <c r="J179" s="4"/>
      <c r="L179" s="4">
        <v>43100</v>
      </c>
      <c r="M179">
        <v>17</v>
      </c>
      <c r="N179">
        <f t="shared" si="23"/>
        <v>1</v>
      </c>
      <c r="R179" s="4">
        <v>43100</v>
      </c>
      <c r="S179">
        <v>17</v>
      </c>
      <c r="T179">
        <f t="shared" si="24"/>
        <v>0</v>
      </c>
      <c r="X179" s="4">
        <v>43100</v>
      </c>
      <c r="Y179">
        <v>17</v>
      </c>
      <c r="Z179" s="3">
        <v>4</v>
      </c>
      <c r="AA179">
        <f t="shared" si="25"/>
        <v>1</v>
      </c>
      <c r="AB179" s="10">
        <f t="shared" si="26"/>
        <v>0</v>
      </c>
      <c r="AC179" s="10">
        <f t="shared" si="27"/>
        <v>0</v>
      </c>
      <c r="AD179" s="10">
        <f t="shared" si="28"/>
        <v>0</v>
      </c>
      <c r="AE179" s="10">
        <f t="shared" si="29"/>
        <v>0</v>
      </c>
      <c r="AP179" s="4">
        <v>43100</v>
      </c>
      <c r="AQ179">
        <v>17</v>
      </c>
      <c r="AR179">
        <f t="shared" si="22"/>
        <v>1</v>
      </c>
      <c r="AS179">
        <f t="shared" si="30"/>
        <v>17</v>
      </c>
      <c r="AU179" s="10"/>
      <c r="AV179" s="10"/>
    </row>
    <row r="180" spans="1:48" x14ac:dyDescent="0.35">
      <c r="A180" s="1">
        <v>179</v>
      </c>
      <c r="B180">
        <v>5</v>
      </c>
      <c r="C180">
        <v>5</v>
      </c>
      <c r="D180">
        <v>37</v>
      </c>
      <c r="E180" s="3">
        <v>2</v>
      </c>
      <c r="F180" s="3" t="s">
        <v>9</v>
      </c>
      <c r="G180" s="3" t="s">
        <v>10</v>
      </c>
      <c r="H180">
        <v>8</v>
      </c>
      <c r="I180" s="4">
        <v>49000</v>
      </c>
      <c r="J180" s="4"/>
      <c r="L180" s="4">
        <v>49000</v>
      </c>
      <c r="M180">
        <v>8</v>
      </c>
      <c r="N180">
        <f t="shared" si="23"/>
        <v>0</v>
      </c>
      <c r="R180" s="4">
        <v>49000</v>
      </c>
      <c r="S180">
        <v>8</v>
      </c>
      <c r="T180">
        <f t="shared" si="24"/>
        <v>1</v>
      </c>
      <c r="X180" s="4">
        <v>49000</v>
      </c>
      <c r="Y180">
        <v>8</v>
      </c>
      <c r="Z180" s="3">
        <v>2</v>
      </c>
      <c r="AA180">
        <f t="shared" si="25"/>
        <v>0</v>
      </c>
      <c r="AB180" s="10">
        <f t="shared" si="26"/>
        <v>0</v>
      </c>
      <c r="AC180" s="10">
        <f t="shared" si="27"/>
        <v>0</v>
      </c>
      <c r="AD180" s="10">
        <f t="shared" si="28"/>
        <v>0</v>
      </c>
      <c r="AE180" s="10">
        <f t="shared" si="29"/>
        <v>1</v>
      </c>
      <c r="AP180" s="4">
        <v>49000</v>
      </c>
      <c r="AQ180">
        <v>8</v>
      </c>
      <c r="AR180">
        <f t="shared" si="22"/>
        <v>0</v>
      </c>
      <c r="AS180">
        <f t="shared" si="30"/>
        <v>0</v>
      </c>
      <c r="AU180" s="10"/>
      <c r="AV180" s="10"/>
    </row>
    <row r="181" spans="1:48" x14ac:dyDescent="0.35">
      <c r="A181" s="1">
        <v>180</v>
      </c>
      <c r="B181">
        <v>5</v>
      </c>
      <c r="C181">
        <v>5</v>
      </c>
      <c r="D181">
        <v>33</v>
      </c>
      <c r="E181" s="3">
        <v>0</v>
      </c>
      <c r="F181" s="3" t="s">
        <v>9</v>
      </c>
      <c r="G181" s="3" t="s">
        <v>10</v>
      </c>
      <c r="H181">
        <v>8</v>
      </c>
      <c r="I181" s="4">
        <v>48500</v>
      </c>
      <c r="J181" s="4"/>
      <c r="L181" s="4">
        <v>48500</v>
      </c>
      <c r="M181">
        <v>8</v>
      </c>
      <c r="N181">
        <f t="shared" si="23"/>
        <v>0</v>
      </c>
      <c r="R181" s="4">
        <v>48500</v>
      </c>
      <c r="S181">
        <v>8</v>
      </c>
      <c r="T181">
        <f t="shared" si="24"/>
        <v>1</v>
      </c>
      <c r="X181" s="4">
        <v>48500</v>
      </c>
      <c r="Y181">
        <v>8</v>
      </c>
      <c r="Z181" s="3">
        <v>0</v>
      </c>
      <c r="AA181">
        <f t="shared" si="25"/>
        <v>0</v>
      </c>
      <c r="AB181" s="10">
        <f t="shared" si="26"/>
        <v>0</v>
      </c>
      <c r="AC181" s="10">
        <f t="shared" si="27"/>
        <v>0</v>
      </c>
      <c r="AD181" s="10">
        <f t="shared" si="28"/>
        <v>0</v>
      </c>
      <c r="AE181" s="10">
        <f t="shared" si="29"/>
        <v>1</v>
      </c>
      <c r="AP181" s="4">
        <v>48500</v>
      </c>
      <c r="AQ181">
        <v>8</v>
      </c>
      <c r="AR181">
        <f t="shared" si="22"/>
        <v>0</v>
      </c>
      <c r="AS181">
        <f t="shared" si="30"/>
        <v>0</v>
      </c>
      <c r="AU181" s="10"/>
      <c r="AV181" s="10"/>
    </row>
    <row r="182" spans="1:48" x14ac:dyDescent="0.35">
      <c r="A182" s="1">
        <v>181</v>
      </c>
      <c r="B182">
        <v>3</v>
      </c>
      <c r="C182">
        <v>5</v>
      </c>
      <c r="D182">
        <v>35</v>
      </c>
      <c r="E182" s="3">
        <v>5</v>
      </c>
      <c r="F182" s="3" t="s">
        <v>9</v>
      </c>
      <c r="G182" s="3" t="s">
        <v>11</v>
      </c>
      <c r="H182">
        <v>8</v>
      </c>
      <c r="I182" s="4">
        <v>45000</v>
      </c>
      <c r="J182" s="4"/>
      <c r="L182" s="4">
        <v>45000</v>
      </c>
      <c r="M182">
        <v>8</v>
      </c>
      <c r="N182">
        <f t="shared" si="23"/>
        <v>1</v>
      </c>
      <c r="R182" s="4">
        <v>45000</v>
      </c>
      <c r="S182">
        <v>8</v>
      </c>
      <c r="T182">
        <f t="shared" si="24"/>
        <v>0</v>
      </c>
      <c r="X182" s="4">
        <v>45000</v>
      </c>
      <c r="Y182">
        <v>8</v>
      </c>
      <c r="Z182" s="3">
        <v>5</v>
      </c>
      <c r="AA182">
        <f t="shared" si="25"/>
        <v>1</v>
      </c>
      <c r="AB182" s="10">
        <f t="shared" si="26"/>
        <v>0</v>
      </c>
      <c r="AC182" s="10">
        <f t="shared" si="27"/>
        <v>0</v>
      </c>
      <c r="AD182" s="10">
        <f t="shared" si="28"/>
        <v>0</v>
      </c>
      <c r="AE182" s="10">
        <f t="shared" si="29"/>
        <v>0</v>
      </c>
      <c r="AP182" s="4">
        <v>45000</v>
      </c>
      <c r="AQ182">
        <v>8</v>
      </c>
      <c r="AR182">
        <f t="shared" si="22"/>
        <v>1</v>
      </c>
      <c r="AS182">
        <f t="shared" si="30"/>
        <v>8</v>
      </c>
      <c r="AU182" s="10"/>
      <c r="AV182" s="10"/>
    </row>
    <row r="183" spans="1:48" x14ac:dyDescent="0.35">
      <c r="A183" s="1">
        <v>182</v>
      </c>
      <c r="B183">
        <v>5</v>
      </c>
      <c r="C183">
        <v>5</v>
      </c>
      <c r="D183">
        <v>49</v>
      </c>
      <c r="E183" s="3">
        <v>5</v>
      </c>
      <c r="F183" s="3" t="s">
        <v>9</v>
      </c>
      <c r="G183" s="3" t="s">
        <v>11</v>
      </c>
      <c r="H183">
        <v>16</v>
      </c>
      <c r="I183" s="4">
        <v>52500</v>
      </c>
      <c r="J183" s="4"/>
      <c r="L183" s="4">
        <v>52500</v>
      </c>
      <c r="M183">
        <v>16</v>
      </c>
      <c r="N183">
        <f t="shared" si="23"/>
        <v>1</v>
      </c>
      <c r="R183" s="4">
        <v>52500</v>
      </c>
      <c r="S183">
        <v>16</v>
      </c>
      <c r="T183">
        <f t="shared" si="24"/>
        <v>0</v>
      </c>
      <c r="X183" s="4">
        <v>52500</v>
      </c>
      <c r="Y183">
        <v>16</v>
      </c>
      <c r="Z183" s="3">
        <v>5</v>
      </c>
      <c r="AA183">
        <f t="shared" si="25"/>
        <v>1</v>
      </c>
      <c r="AB183" s="10">
        <f t="shared" si="26"/>
        <v>0</v>
      </c>
      <c r="AC183" s="10">
        <f t="shared" si="27"/>
        <v>0</v>
      </c>
      <c r="AD183" s="10">
        <f t="shared" si="28"/>
        <v>0</v>
      </c>
      <c r="AE183" s="10">
        <f t="shared" si="29"/>
        <v>1</v>
      </c>
      <c r="AP183" s="4">
        <v>52500</v>
      </c>
      <c r="AQ183">
        <v>16</v>
      </c>
      <c r="AR183">
        <f t="shared" si="22"/>
        <v>1</v>
      </c>
      <c r="AS183">
        <f t="shared" si="30"/>
        <v>16</v>
      </c>
      <c r="AU183" s="10"/>
      <c r="AV183" s="10"/>
    </row>
    <row r="184" spans="1:48" x14ac:dyDescent="0.35">
      <c r="A184" s="1">
        <v>183</v>
      </c>
      <c r="B184">
        <v>5</v>
      </c>
      <c r="C184">
        <v>5</v>
      </c>
      <c r="D184">
        <v>33</v>
      </c>
      <c r="E184" s="3">
        <v>2</v>
      </c>
      <c r="F184" s="3" t="s">
        <v>9</v>
      </c>
      <c r="G184" s="3" t="s">
        <v>10</v>
      </c>
      <c r="H184">
        <v>6</v>
      </c>
      <c r="I184" s="4">
        <v>47500</v>
      </c>
      <c r="J184" s="4"/>
      <c r="L184" s="4">
        <v>47500</v>
      </c>
      <c r="M184">
        <v>6</v>
      </c>
      <c r="N184">
        <f t="shared" si="23"/>
        <v>0</v>
      </c>
      <c r="R184" s="4">
        <v>47500</v>
      </c>
      <c r="S184">
        <v>6</v>
      </c>
      <c r="T184">
        <f t="shared" si="24"/>
        <v>1</v>
      </c>
      <c r="X184" s="4">
        <v>47500</v>
      </c>
      <c r="Y184">
        <v>6</v>
      </c>
      <c r="Z184" s="3">
        <v>2</v>
      </c>
      <c r="AA184">
        <f t="shared" si="25"/>
        <v>0</v>
      </c>
      <c r="AB184" s="10">
        <f t="shared" si="26"/>
        <v>0</v>
      </c>
      <c r="AC184" s="10">
        <f t="shared" si="27"/>
        <v>0</v>
      </c>
      <c r="AD184" s="10">
        <f t="shared" si="28"/>
        <v>0</v>
      </c>
      <c r="AE184" s="10">
        <f t="shared" si="29"/>
        <v>1</v>
      </c>
      <c r="AP184" s="4">
        <v>47500</v>
      </c>
      <c r="AQ184">
        <v>6</v>
      </c>
      <c r="AR184">
        <f t="shared" si="22"/>
        <v>0</v>
      </c>
      <c r="AS184">
        <f t="shared" si="30"/>
        <v>0</v>
      </c>
      <c r="AU184" s="10"/>
      <c r="AV184" s="10"/>
    </row>
    <row r="185" spans="1:48" x14ac:dyDescent="0.35">
      <c r="A185" s="1">
        <v>184</v>
      </c>
      <c r="B185">
        <v>5</v>
      </c>
      <c r="C185">
        <v>5</v>
      </c>
      <c r="D185">
        <v>31</v>
      </c>
      <c r="E185" s="3">
        <v>0</v>
      </c>
      <c r="F185" s="3" t="s">
        <v>9</v>
      </c>
      <c r="G185" s="3" t="s">
        <v>10</v>
      </c>
      <c r="H185">
        <v>7</v>
      </c>
      <c r="I185" s="4">
        <v>48000</v>
      </c>
      <c r="J185" s="4"/>
      <c r="L185" s="4">
        <v>48000</v>
      </c>
      <c r="M185">
        <v>7</v>
      </c>
      <c r="N185">
        <f t="shared" si="23"/>
        <v>0</v>
      </c>
      <c r="R185" s="4">
        <v>48000</v>
      </c>
      <c r="S185">
        <v>7</v>
      </c>
      <c r="T185">
        <f t="shared" si="24"/>
        <v>1</v>
      </c>
      <c r="X185" s="4">
        <v>48000</v>
      </c>
      <c r="Y185">
        <v>7</v>
      </c>
      <c r="Z185" s="3">
        <v>0</v>
      </c>
      <c r="AA185">
        <f t="shared" si="25"/>
        <v>0</v>
      </c>
      <c r="AB185" s="10">
        <f t="shared" si="26"/>
        <v>0</v>
      </c>
      <c r="AC185" s="10">
        <f t="shared" si="27"/>
        <v>0</v>
      </c>
      <c r="AD185" s="10">
        <f t="shared" si="28"/>
        <v>0</v>
      </c>
      <c r="AE185" s="10">
        <f t="shared" si="29"/>
        <v>1</v>
      </c>
      <c r="AP185" s="4">
        <v>48000</v>
      </c>
      <c r="AQ185">
        <v>7</v>
      </c>
      <c r="AR185">
        <f t="shared" si="22"/>
        <v>0</v>
      </c>
      <c r="AS185">
        <f t="shared" si="30"/>
        <v>0</v>
      </c>
      <c r="AU185" s="10"/>
      <c r="AV185" s="10"/>
    </row>
    <row r="186" spans="1:48" x14ac:dyDescent="0.35">
      <c r="A186" s="1">
        <v>185</v>
      </c>
      <c r="B186">
        <v>5</v>
      </c>
      <c r="C186">
        <v>5</v>
      </c>
      <c r="D186">
        <v>49</v>
      </c>
      <c r="E186" s="3">
        <v>4</v>
      </c>
      <c r="F186" s="3" t="s">
        <v>9</v>
      </c>
      <c r="G186" s="3" t="s">
        <v>10</v>
      </c>
      <c r="H186">
        <v>8</v>
      </c>
      <c r="I186" s="4">
        <v>46500</v>
      </c>
      <c r="J186" s="4"/>
      <c r="L186" s="4">
        <v>46500</v>
      </c>
      <c r="M186">
        <v>8</v>
      </c>
      <c r="N186">
        <f t="shared" si="23"/>
        <v>0</v>
      </c>
      <c r="R186" s="4">
        <v>46500</v>
      </c>
      <c r="S186">
        <v>8</v>
      </c>
      <c r="T186">
        <f t="shared" si="24"/>
        <v>1</v>
      </c>
      <c r="X186" s="4">
        <v>46500</v>
      </c>
      <c r="Y186">
        <v>8</v>
      </c>
      <c r="Z186" s="3">
        <v>4</v>
      </c>
      <c r="AA186">
        <f t="shared" si="25"/>
        <v>0</v>
      </c>
      <c r="AB186" s="10">
        <f t="shared" si="26"/>
        <v>0</v>
      </c>
      <c r="AC186" s="10">
        <f t="shared" si="27"/>
        <v>0</v>
      </c>
      <c r="AD186" s="10">
        <f t="shared" si="28"/>
        <v>0</v>
      </c>
      <c r="AE186" s="10">
        <f t="shared" si="29"/>
        <v>1</v>
      </c>
      <c r="AP186" s="4">
        <v>46500</v>
      </c>
      <c r="AQ186">
        <v>8</v>
      </c>
      <c r="AR186">
        <f t="shared" si="22"/>
        <v>0</v>
      </c>
      <c r="AS186">
        <f t="shared" si="30"/>
        <v>0</v>
      </c>
      <c r="AU186" s="10"/>
      <c r="AV186" s="10"/>
    </row>
    <row r="187" spans="1:48" x14ac:dyDescent="0.35">
      <c r="A187" s="1">
        <v>186</v>
      </c>
      <c r="B187">
        <v>5</v>
      </c>
      <c r="C187">
        <v>5</v>
      </c>
      <c r="D187">
        <v>40</v>
      </c>
      <c r="E187" s="3">
        <v>2</v>
      </c>
      <c r="F187" s="3" t="s">
        <v>9</v>
      </c>
      <c r="G187" s="3" t="s">
        <v>11</v>
      </c>
      <c r="H187">
        <v>12</v>
      </c>
      <c r="I187" s="4">
        <v>61500</v>
      </c>
      <c r="J187" s="4"/>
      <c r="L187" s="4">
        <v>61500</v>
      </c>
      <c r="M187">
        <v>12</v>
      </c>
      <c r="N187">
        <f t="shared" si="23"/>
        <v>1</v>
      </c>
      <c r="R187" s="4">
        <v>61500</v>
      </c>
      <c r="S187">
        <v>12</v>
      </c>
      <c r="T187">
        <f t="shared" si="24"/>
        <v>0</v>
      </c>
      <c r="X187" s="4">
        <v>61500</v>
      </c>
      <c r="Y187">
        <v>12</v>
      </c>
      <c r="Z187" s="3">
        <v>2</v>
      </c>
      <c r="AA187">
        <f t="shared" si="25"/>
        <v>1</v>
      </c>
      <c r="AB187" s="10">
        <f t="shared" si="26"/>
        <v>0</v>
      </c>
      <c r="AC187" s="10">
        <f t="shared" si="27"/>
        <v>0</v>
      </c>
      <c r="AD187" s="10">
        <f t="shared" si="28"/>
        <v>0</v>
      </c>
      <c r="AE187" s="10">
        <f t="shared" si="29"/>
        <v>1</v>
      </c>
      <c r="AP187" s="4">
        <v>61500</v>
      </c>
      <c r="AQ187">
        <v>12</v>
      </c>
      <c r="AR187">
        <f t="shared" si="22"/>
        <v>1</v>
      </c>
      <c r="AS187">
        <f t="shared" si="30"/>
        <v>12</v>
      </c>
      <c r="AU187" s="10"/>
      <c r="AV187" s="10"/>
    </row>
    <row r="188" spans="1:48" x14ac:dyDescent="0.35">
      <c r="A188" s="1">
        <v>187</v>
      </c>
      <c r="B188">
        <v>5</v>
      </c>
      <c r="C188">
        <v>5</v>
      </c>
      <c r="D188">
        <v>37</v>
      </c>
      <c r="E188" s="3">
        <v>2</v>
      </c>
      <c r="F188" s="3" t="s">
        <v>9</v>
      </c>
      <c r="G188" s="3" t="s">
        <v>11</v>
      </c>
      <c r="H188">
        <v>9</v>
      </c>
      <c r="I188" s="4">
        <v>50000</v>
      </c>
      <c r="J188" s="4"/>
      <c r="L188" s="4">
        <v>50000</v>
      </c>
      <c r="M188">
        <v>9</v>
      </c>
      <c r="N188">
        <f t="shared" si="23"/>
        <v>1</v>
      </c>
      <c r="R188" s="4">
        <v>50000</v>
      </c>
      <c r="S188">
        <v>9</v>
      </c>
      <c r="T188">
        <f t="shared" si="24"/>
        <v>0</v>
      </c>
      <c r="X188" s="4">
        <v>50000</v>
      </c>
      <c r="Y188">
        <v>9</v>
      </c>
      <c r="Z188" s="3">
        <v>2</v>
      </c>
      <c r="AA188">
        <f t="shared" si="25"/>
        <v>1</v>
      </c>
      <c r="AB188" s="10">
        <f t="shared" si="26"/>
        <v>0</v>
      </c>
      <c r="AC188" s="10">
        <f t="shared" si="27"/>
        <v>0</v>
      </c>
      <c r="AD188" s="10">
        <f t="shared" si="28"/>
        <v>0</v>
      </c>
      <c r="AE188" s="10">
        <f t="shared" si="29"/>
        <v>1</v>
      </c>
      <c r="AP188" s="4">
        <v>50000</v>
      </c>
      <c r="AQ188">
        <v>9</v>
      </c>
      <c r="AR188">
        <f t="shared" si="22"/>
        <v>1</v>
      </c>
      <c r="AS188">
        <f t="shared" si="30"/>
        <v>9</v>
      </c>
      <c r="AU188" s="10"/>
      <c r="AV188" s="10"/>
    </row>
    <row r="189" spans="1:48" x14ac:dyDescent="0.35">
      <c r="A189" s="1">
        <v>188</v>
      </c>
      <c r="B189">
        <v>5</v>
      </c>
      <c r="C189">
        <v>5</v>
      </c>
      <c r="D189">
        <v>46</v>
      </c>
      <c r="E189" s="3">
        <v>2</v>
      </c>
      <c r="F189" s="3" t="s">
        <v>9</v>
      </c>
      <c r="G189" s="3" t="s">
        <v>11</v>
      </c>
      <c r="H189">
        <v>12</v>
      </c>
      <c r="I189" s="4">
        <v>61800</v>
      </c>
      <c r="J189" s="4"/>
      <c r="L189" s="4">
        <v>61800</v>
      </c>
      <c r="M189">
        <v>12</v>
      </c>
      <c r="N189">
        <f t="shared" si="23"/>
        <v>1</v>
      </c>
      <c r="R189" s="4">
        <v>61800</v>
      </c>
      <c r="S189">
        <v>12</v>
      </c>
      <c r="T189">
        <f t="shared" si="24"/>
        <v>0</v>
      </c>
      <c r="X189" s="4">
        <v>61800</v>
      </c>
      <c r="Y189">
        <v>12</v>
      </c>
      <c r="Z189" s="3">
        <v>2</v>
      </c>
      <c r="AA189">
        <f t="shared" si="25"/>
        <v>1</v>
      </c>
      <c r="AB189" s="10">
        <f t="shared" si="26"/>
        <v>0</v>
      </c>
      <c r="AC189" s="10">
        <f t="shared" si="27"/>
        <v>0</v>
      </c>
      <c r="AD189" s="10">
        <f t="shared" si="28"/>
        <v>0</v>
      </c>
      <c r="AE189" s="10">
        <f t="shared" si="29"/>
        <v>1</v>
      </c>
      <c r="AP189" s="4">
        <v>61800</v>
      </c>
      <c r="AQ189">
        <v>12</v>
      </c>
      <c r="AR189">
        <f t="shared" si="22"/>
        <v>1</v>
      </c>
      <c r="AS189">
        <f t="shared" si="30"/>
        <v>12</v>
      </c>
      <c r="AU189" s="10"/>
      <c r="AV189" s="10"/>
    </row>
    <row r="190" spans="1:48" x14ac:dyDescent="0.35">
      <c r="A190" s="1">
        <v>189</v>
      </c>
      <c r="B190">
        <v>4</v>
      </c>
      <c r="C190">
        <v>5</v>
      </c>
      <c r="D190">
        <v>43</v>
      </c>
      <c r="E190" s="3">
        <v>0</v>
      </c>
      <c r="F190" s="3" t="s">
        <v>9</v>
      </c>
      <c r="G190" s="3" t="s">
        <v>11</v>
      </c>
      <c r="H190">
        <v>16</v>
      </c>
      <c r="I190" s="4">
        <v>43000</v>
      </c>
      <c r="J190" s="4"/>
      <c r="L190" s="4">
        <v>43000</v>
      </c>
      <c r="M190">
        <v>16</v>
      </c>
      <c r="N190">
        <f t="shared" si="23"/>
        <v>1</v>
      </c>
      <c r="R190" s="4">
        <v>43000</v>
      </c>
      <c r="S190">
        <v>16</v>
      </c>
      <c r="T190">
        <f t="shared" si="24"/>
        <v>0</v>
      </c>
      <c r="X190" s="4">
        <v>43000</v>
      </c>
      <c r="Y190">
        <v>16</v>
      </c>
      <c r="Z190" s="3">
        <v>0</v>
      </c>
      <c r="AA190">
        <f t="shared" si="25"/>
        <v>1</v>
      </c>
      <c r="AB190" s="10">
        <f t="shared" si="26"/>
        <v>0</v>
      </c>
      <c r="AC190" s="10">
        <f t="shared" si="27"/>
        <v>0</v>
      </c>
      <c r="AD190" s="10">
        <f t="shared" si="28"/>
        <v>1</v>
      </c>
      <c r="AE190" s="10">
        <f t="shared" si="29"/>
        <v>0</v>
      </c>
      <c r="AP190" s="4">
        <v>43000</v>
      </c>
      <c r="AQ190">
        <v>16</v>
      </c>
      <c r="AR190">
        <f t="shared" si="22"/>
        <v>1</v>
      </c>
      <c r="AS190">
        <f t="shared" si="30"/>
        <v>16</v>
      </c>
      <c r="AU190" s="10"/>
      <c r="AV190" s="10"/>
    </row>
    <row r="191" spans="1:48" x14ac:dyDescent="0.35">
      <c r="A191" s="1">
        <v>190</v>
      </c>
      <c r="B191">
        <v>5</v>
      </c>
      <c r="C191">
        <v>5</v>
      </c>
      <c r="D191">
        <v>36</v>
      </c>
      <c r="E191" s="3">
        <v>1</v>
      </c>
      <c r="F191" s="3" t="s">
        <v>9</v>
      </c>
      <c r="G191" s="3" t="s">
        <v>10</v>
      </c>
      <c r="H191">
        <v>11</v>
      </c>
      <c r="I191" s="4">
        <v>47000</v>
      </c>
      <c r="J191" s="4"/>
      <c r="L191" s="4">
        <v>47000</v>
      </c>
      <c r="M191">
        <v>11</v>
      </c>
      <c r="N191">
        <f t="shared" si="23"/>
        <v>0</v>
      </c>
      <c r="R191" s="4">
        <v>47000</v>
      </c>
      <c r="S191">
        <v>11</v>
      </c>
      <c r="T191">
        <f t="shared" si="24"/>
        <v>1</v>
      </c>
      <c r="X191" s="4">
        <v>47000</v>
      </c>
      <c r="Y191">
        <v>11</v>
      </c>
      <c r="Z191" s="3">
        <v>1</v>
      </c>
      <c r="AA191">
        <f t="shared" si="25"/>
        <v>0</v>
      </c>
      <c r="AB191" s="10">
        <f t="shared" si="26"/>
        <v>0</v>
      </c>
      <c r="AC191" s="10">
        <f t="shared" si="27"/>
        <v>0</v>
      </c>
      <c r="AD191" s="10">
        <f t="shared" si="28"/>
        <v>0</v>
      </c>
      <c r="AE191" s="10">
        <f t="shared" si="29"/>
        <v>1</v>
      </c>
      <c r="AP191" s="4">
        <v>47000</v>
      </c>
      <c r="AQ191">
        <v>11</v>
      </c>
      <c r="AR191">
        <f t="shared" si="22"/>
        <v>0</v>
      </c>
      <c r="AS191">
        <f t="shared" si="30"/>
        <v>0</v>
      </c>
      <c r="AU191" s="10"/>
      <c r="AV191" s="10"/>
    </row>
    <row r="192" spans="1:48" x14ac:dyDescent="0.35">
      <c r="A192" s="1">
        <v>191</v>
      </c>
      <c r="B192">
        <v>5</v>
      </c>
      <c r="C192">
        <v>5</v>
      </c>
      <c r="D192">
        <v>37</v>
      </c>
      <c r="E192" s="3">
        <v>6</v>
      </c>
      <c r="F192" s="3" t="s">
        <v>9</v>
      </c>
      <c r="G192" s="3" t="s">
        <v>11</v>
      </c>
      <c r="H192">
        <v>9</v>
      </c>
      <c r="I192" s="4">
        <v>58500</v>
      </c>
      <c r="J192" s="4"/>
      <c r="L192" s="4">
        <v>58500</v>
      </c>
      <c r="M192">
        <v>9</v>
      </c>
      <c r="N192">
        <f t="shared" si="23"/>
        <v>1</v>
      </c>
      <c r="R192" s="4">
        <v>58500</v>
      </c>
      <c r="S192">
        <v>9</v>
      </c>
      <c r="T192">
        <f t="shared" si="24"/>
        <v>0</v>
      </c>
      <c r="X192" s="4">
        <v>58500</v>
      </c>
      <c r="Y192">
        <v>9</v>
      </c>
      <c r="Z192" s="3">
        <v>6</v>
      </c>
      <c r="AA192">
        <f t="shared" si="25"/>
        <v>1</v>
      </c>
      <c r="AB192" s="10">
        <f t="shared" si="26"/>
        <v>0</v>
      </c>
      <c r="AC192" s="10">
        <f t="shared" si="27"/>
        <v>0</v>
      </c>
      <c r="AD192" s="10">
        <f t="shared" si="28"/>
        <v>0</v>
      </c>
      <c r="AE192" s="10">
        <f t="shared" si="29"/>
        <v>1</v>
      </c>
      <c r="AP192" s="4">
        <v>58500</v>
      </c>
      <c r="AQ192">
        <v>9</v>
      </c>
      <c r="AR192">
        <f t="shared" si="22"/>
        <v>1</v>
      </c>
      <c r="AS192">
        <f t="shared" si="30"/>
        <v>9</v>
      </c>
      <c r="AU192" s="10"/>
      <c r="AV192" s="10"/>
    </row>
    <row r="193" spans="1:48" x14ac:dyDescent="0.35">
      <c r="A193" s="1">
        <v>192</v>
      </c>
      <c r="B193">
        <v>5</v>
      </c>
      <c r="C193">
        <v>5</v>
      </c>
      <c r="D193">
        <v>40</v>
      </c>
      <c r="E193" s="3">
        <v>7</v>
      </c>
      <c r="F193" s="3" t="s">
        <v>9</v>
      </c>
      <c r="G193" s="3" t="s">
        <v>10</v>
      </c>
      <c r="H193">
        <v>16</v>
      </c>
      <c r="I193" s="4">
        <v>55000</v>
      </c>
      <c r="J193" s="4"/>
      <c r="L193" s="4">
        <v>55000</v>
      </c>
      <c r="M193">
        <v>16</v>
      </c>
      <c r="N193">
        <f t="shared" si="23"/>
        <v>0</v>
      </c>
      <c r="R193" s="4">
        <v>55000</v>
      </c>
      <c r="S193">
        <v>16</v>
      </c>
      <c r="T193">
        <f t="shared" si="24"/>
        <v>1</v>
      </c>
      <c r="X193" s="4">
        <v>55000</v>
      </c>
      <c r="Y193">
        <v>16</v>
      </c>
      <c r="Z193" s="3">
        <v>7</v>
      </c>
      <c r="AA193">
        <f t="shared" si="25"/>
        <v>0</v>
      </c>
      <c r="AB193" s="10">
        <f t="shared" si="26"/>
        <v>0</v>
      </c>
      <c r="AC193" s="10">
        <f t="shared" si="27"/>
        <v>0</v>
      </c>
      <c r="AD193" s="10">
        <f t="shared" si="28"/>
        <v>0</v>
      </c>
      <c r="AE193" s="10">
        <f t="shared" si="29"/>
        <v>1</v>
      </c>
      <c r="AP193" s="4">
        <v>55000</v>
      </c>
      <c r="AQ193">
        <v>16</v>
      </c>
      <c r="AR193">
        <f t="shared" si="22"/>
        <v>0</v>
      </c>
      <c r="AS193">
        <f t="shared" si="30"/>
        <v>0</v>
      </c>
      <c r="AU193" s="10"/>
      <c r="AV193" s="10"/>
    </row>
    <row r="194" spans="1:48" x14ac:dyDescent="0.35">
      <c r="A194" s="1">
        <v>193</v>
      </c>
      <c r="B194">
        <v>3</v>
      </c>
      <c r="C194">
        <v>5</v>
      </c>
      <c r="D194">
        <v>54</v>
      </c>
      <c r="E194" s="3">
        <v>3</v>
      </c>
      <c r="F194" s="3" t="s">
        <v>9</v>
      </c>
      <c r="G194" s="3" t="s">
        <v>10</v>
      </c>
      <c r="H194">
        <v>24</v>
      </c>
      <c r="I194" s="4">
        <v>57000</v>
      </c>
      <c r="J194" s="4"/>
      <c r="L194" s="4">
        <v>57000</v>
      </c>
      <c r="M194">
        <v>24</v>
      </c>
      <c r="N194">
        <f t="shared" si="23"/>
        <v>0</v>
      </c>
      <c r="R194" s="4">
        <v>57000</v>
      </c>
      <c r="S194">
        <v>24</v>
      </c>
      <c r="T194">
        <f t="shared" si="24"/>
        <v>1</v>
      </c>
      <c r="X194" s="4">
        <v>57000</v>
      </c>
      <c r="Y194">
        <v>24</v>
      </c>
      <c r="Z194" s="3">
        <v>3</v>
      </c>
      <c r="AA194">
        <f t="shared" si="25"/>
        <v>0</v>
      </c>
      <c r="AB194" s="10">
        <f t="shared" si="26"/>
        <v>0</v>
      </c>
      <c r="AC194" s="10">
        <f t="shared" si="27"/>
        <v>0</v>
      </c>
      <c r="AD194" s="10">
        <f t="shared" si="28"/>
        <v>0</v>
      </c>
      <c r="AE194" s="10">
        <f t="shared" si="29"/>
        <v>0</v>
      </c>
      <c r="AP194" s="4">
        <v>57000</v>
      </c>
      <c r="AQ194">
        <v>24</v>
      </c>
      <c r="AR194">
        <f t="shared" ref="AR194:AR209" si="31">IF(G194=$AR$1,1,0)</f>
        <v>0</v>
      </c>
      <c r="AS194">
        <f t="shared" si="30"/>
        <v>0</v>
      </c>
      <c r="AU194" s="10"/>
      <c r="AV194" s="10"/>
    </row>
    <row r="195" spans="1:48" x14ac:dyDescent="0.35">
      <c r="A195" s="1">
        <v>194</v>
      </c>
      <c r="B195">
        <v>5</v>
      </c>
      <c r="C195">
        <v>5</v>
      </c>
      <c r="D195">
        <v>57</v>
      </c>
      <c r="E195" s="3">
        <v>1</v>
      </c>
      <c r="F195" s="3" t="s">
        <v>9</v>
      </c>
      <c r="G195" s="3" t="s">
        <v>10</v>
      </c>
      <c r="H195">
        <v>17</v>
      </c>
      <c r="I195" s="4">
        <v>57000</v>
      </c>
      <c r="J195" s="4"/>
      <c r="L195" s="4">
        <v>57000</v>
      </c>
      <c r="M195">
        <v>17</v>
      </c>
      <c r="N195">
        <f t="shared" ref="N195:N209" si="32">IF(G195="Female",1,0)</f>
        <v>0</v>
      </c>
      <c r="R195" s="4">
        <v>57000</v>
      </c>
      <c r="S195">
        <v>17</v>
      </c>
      <c r="T195">
        <f t="shared" ref="T195:T209" si="33">IF(G195="Male",1,0)</f>
        <v>1</v>
      </c>
      <c r="X195" s="4">
        <v>57000</v>
      </c>
      <c r="Y195">
        <v>17</v>
      </c>
      <c r="Z195" s="3">
        <v>1</v>
      </c>
      <c r="AA195">
        <f t="shared" ref="AA195:AA209" si="34">IF(G195="Female",1,0)</f>
        <v>0</v>
      </c>
      <c r="AB195" s="10">
        <f t="shared" ref="AB195:AB209" si="35">IF(B195=1,1,0)</f>
        <v>0</v>
      </c>
      <c r="AC195" s="10">
        <f t="shared" ref="AC195:AC209" si="36">IF(B195=2,1,0)</f>
        <v>0</v>
      </c>
      <c r="AD195" s="10">
        <f t="shared" ref="AD195:AD209" si="37">IF(B195=4,1,0)</f>
        <v>0</v>
      </c>
      <c r="AE195" s="10">
        <f t="shared" ref="AE195:AE209" si="38">IF(B195=5,1,0)</f>
        <v>1</v>
      </c>
      <c r="AP195" s="4">
        <v>57000</v>
      </c>
      <c r="AQ195">
        <v>17</v>
      </c>
      <c r="AR195">
        <f t="shared" si="31"/>
        <v>0</v>
      </c>
      <c r="AS195">
        <f t="shared" ref="AS195:AS209" si="39">AQ195*AR195</f>
        <v>0</v>
      </c>
      <c r="AU195" s="10"/>
      <c r="AV195" s="10"/>
    </row>
    <row r="196" spans="1:48" x14ac:dyDescent="0.35">
      <c r="A196" s="1">
        <v>195</v>
      </c>
      <c r="B196">
        <v>5</v>
      </c>
      <c r="C196">
        <v>6</v>
      </c>
      <c r="D196">
        <v>49</v>
      </c>
      <c r="E196" s="3">
        <v>0</v>
      </c>
      <c r="F196" s="3" t="s">
        <v>9</v>
      </c>
      <c r="G196" s="3" t="s">
        <v>10</v>
      </c>
      <c r="H196">
        <v>14</v>
      </c>
      <c r="I196" s="4">
        <v>60000</v>
      </c>
      <c r="J196" s="4"/>
      <c r="L196" s="4">
        <v>60000</v>
      </c>
      <c r="M196">
        <v>14</v>
      </c>
      <c r="N196">
        <f t="shared" si="32"/>
        <v>0</v>
      </c>
      <c r="R196" s="4">
        <v>60000</v>
      </c>
      <c r="S196">
        <v>14</v>
      </c>
      <c r="T196">
        <f t="shared" si="33"/>
        <v>1</v>
      </c>
      <c r="X196" s="4">
        <v>60000</v>
      </c>
      <c r="Y196">
        <v>14</v>
      </c>
      <c r="Z196" s="3">
        <v>0</v>
      </c>
      <c r="AA196">
        <f t="shared" si="34"/>
        <v>0</v>
      </c>
      <c r="AB196" s="10">
        <f t="shared" si="35"/>
        <v>0</v>
      </c>
      <c r="AC196" s="10">
        <f t="shared" si="36"/>
        <v>0</v>
      </c>
      <c r="AD196" s="10">
        <f t="shared" si="37"/>
        <v>0</v>
      </c>
      <c r="AE196" s="10">
        <f t="shared" si="38"/>
        <v>1</v>
      </c>
      <c r="AP196" s="4">
        <v>60000</v>
      </c>
      <c r="AQ196">
        <v>14</v>
      </c>
      <c r="AR196">
        <f t="shared" si="31"/>
        <v>0</v>
      </c>
      <c r="AS196">
        <f t="shared" si="39"/>
        <v>0</v>
      </c>
      <c r="AU196" s="10"/>
      <c r="AV196" s="10"/>
    </row>
    <row r="197" spans="1:48" x14ac:dyDescent="0.35">
      <c r="A197" s="1">
        <v>196</v>
      </c>
      <c r="B197">
        <v>3</v>
      </c>
      <c r="C197">
        <v>6</v>
      </c>
      <c r="D197">
        <v>41</v>
      </c>
      <c r="E197" s="3">
        <v>0</v>
      </c>
      <c r="F197" s="3" t="s">
        <v>9</v>
      </c>
      <c r="G197" s="3" t="s">
        <v>10</v>
      </c>
      <c r="H197">
        <v>13</v>
      </c>
      <c r="I197" s="4">
        <v>60000</v>
      </c>
      <c r="J197" s="4"/>
      <c r="L197" s="4">
        <v>60000</v>
      </c>
      <c r="M197">
        <v>13</v>
      </c>
      <c r="N197">
        <f t="shared" si="32"/>
        <v>0</v>
      </c>
      <c r="R197" s="4">
        <v>60000</v>
      </c>
      <c r="S197">
        <v>13</v>
      </c>
      <c r="T197">
        <f t="shared" si="33"/>
        <v>1</v>
      </c>
      <c r="X197" s="4">
        <v>60000</v>
      </c>
      <c r="Y197">
        <v>13</v>
      </c>
      <c r="Z197" s="3">
        <v>0</v>
      </c>
      <c r="AA197">
        <f t="shared" si="34"/>
        <v>0</v>
      </c>
      <c r="AB197" s="10">
        <f t="shared" si="35"/>
        <v>0</v>
      </c>
      <c r="AC197" s="10">
        <f t="shared" si="36"/>
        <v>0</v>
      </c>
      <c r="AD197" s="10">
        <f t="shared" si="37"/>
        <v>0</v>
      </c>
      <c r="AE197" s="10">
        <f t="shared" si="38"/>
        <v>0</v>
      </c>
      <c r="AP197" s="4">
        <v>60000</v>
      </c>
      <c r="AQ197">
        <v>13</v>
      </c>
      <c r="AR197">
        <f t="shared" si="31"/>
        <v>0</v>
      </c>
      <c r="AS197">
        <f t="shared" si="39"/>
        <v>0</v>
      </c>
      <c r="AU197" s="10"/>
      <c r="AV197" s="10"/>
    </row>
    <row r="198" spans="1:48" x14ac:dyDescent="0.35">
      <c r="A198" s="1">
        <v>197</v>
      </c>
      <c r="B198">
        <v>5</v>
      </c>
      <c r="C198">
        <v>6</v>
      </c>
      <c r="D198">
        <v>59</v>
      </c>
      <c r="E198" s="3">
        <v>4</v>
      </c>
      <c r="F198" s="3" t="s">
        <v>9</v>
      </c>
      <c r="G198" s="3" t="s">
        <v>10</v>
      </c>
      <c r="H198">
        <v>19</v>
      </c>
      <c r="I198" s="4">
        <v>59000</v>
      </c>
      <c r="J198" s="4"/>
      <c r="L198" s="4">
        <v>59000</v>
      </c>
      <c r="M198">
        <v>19</v>
      </c>
      <c r="N198">
        <f t="shared" si="32"/>
        <v>0</v>
      </c>
      <c r="R198" s="4">
        <v>59000</v>
      </c>
      <c r="S198">
        <v>19</v>
      </c>
      <c r="T198">
        <f t="shared" si="33"/>
        <v>1</v>
      </c>
      <c r="X198" s="4">
        <v>59000</v>
      </c>
      <c r="Y198">
        <v>19</v>
      </c>
      <c r="Z198" s="3">
        <v>4</v>
      </c>
      <c r="AA198">
        <f t="shared" si="34"/>
        <v>0</v>
      </c>
      <c r="AB198" s="10">
        <f t="shared" si="35"/>
        <v>0</v>
      </c>
      <c r="AC198" s="10">
        <f t="shared" si="36"/>
        <v>0</v>
      </c>
      <c r="AD198" s="10">
        <f t="shared" si="37"/>
        <v>0</v>
      </c>
      <c r="AE198" s="10">
        <f t="shared" si="38"/>
        <v>1</v>
      </c>
      <c r="AP198" s="4">
        <v>59000</v>
      </c>
      <c r="AQ198">
        <v>19</v>
      </c>
      <c r="AR198">
        <f t="shared" si="31"/>
        <v>0</v>
      </c>
      <c r="AS198">
        <f t="shared" si="39"/>
        <v>0</v>
      </c>
      <c r="AU198" s="10"/>
      <c r="AV198" s="10"/>
    </row>
    <row r="199" spans="1:48" x14ac:dyDescent="0.35">
      <c r="A199" s="1">
        <v>198</v>
      </c>
      <c r="B199">
        <v>5</v>
      </c>
      <c r="C199">
        <v>6</v>
      </c>
      <c r="D199">
        <v>51</v>
      </c>
      <c r="E199" s="3">
        <v>0</v>
      </c>
      <c r="F199" s="3" t="s">
        <v>9</v>
      </c>
      <c r="G199" s="3" t="s">
        <v>10</v>
      </c>
      <c r="H199">
        <v>12</v>
      </c>
      <c r="I199" s="4">
        <v>60000</v>
      </c>
      <c r="J199" s="4"/>
      <c r="L199" s="4">
        <v>60000</v>
      </c>
      <c r="M199">
        <v>12</v>
      </c>
      <c r="N199">
        <f t="shared" si="32"/>
        <v>0</v>
      </c>
      <c r="R199" s="4">
        <v>60000</v>
      </c>
      <c r="S199">
        <v>12</v>
      </c>
      <c r="T199">
        <f t="shared" si="33"/>
        <v>1</v>
      </c>
      <c r="X199" s="4">
        <v>60000</v>
      </c>
      <c r="Y199">
        <v>12</v>
      </c>
      <c r="Z199" s="3">
        <v>0</v>
      </c>
      <c r="AA199">
        <f t="shared" si="34"/>
        <v>0</v>
      </c>
      <c r="AB199" s="10">
        <f t="shared" si="35"/>
        <v>0</v>
      </c>
      <c r="AC199" s="10">
        <f t="shared" si="36"/>
        <v>0</v>
      </c>
      <c r="AD199" s="10">
        <f t="shared" si="37"/>
        <v>0</v>
      </c>
      <c r="AE199" s="10">
        <f t="shared" si="38"/>
        <v>1</v>
      </c>
      <c r="AP199" s="4">
        <v>60000</v>
      </c>
      <c r="AQ199">
        <v>12</v>
      </c>
      <c r="AR199">
        <f t="shared" si="31"/>
        <v>0</v>
      </c>
      <c r="AS199">
        <f t="shared" si="39"/>
        <v>0</v>
      </c>
      <c r="AU199" s="10"/>
      <c r="AV199" s="10"/>
    </row>
    <row r="200" spans="1:48" x14ac:dyDescent="0.35">
      <c r="A200" s="1">
        <v>199</v>
      </c>
      <c r="B200">
        <v>5</v>
      </c>
      <c r="C200">
        <v>6</v>
      </c>
      <c r="D200">
        <v>45</v>
      </c>
      <c r="E200" s="3">
        <v>0</v>
      </c>
      <c r="F200" s="3" t="s">
        <v>9</v>
      </c>
      <c r="G200" s="3" t="s">
        <v>10</v>
      </c>
      <c r="H200">
        <v>20</v>
      </c>
      <c r="I200" s="4">
        <v>65000</v>
      </c>
      <c r="J200" s="4"/>
      <c r="L200" s="4">
        <v>65000</v>
      </c>
      <c r="M200">
        <v>20</v>
      </c>
      <c r="N200">
        <f t="shared" si="32"/>
        <v>0</v>
      </c>
      <c r="R200" s="4">
        <v>65000</v>
      </c>
      <c r="S200">
        <v>20</v>
      </c>
      <c r="T200">
        <f t="shared" si="33"/>
        <v>1</v>
      </c>
      <c r="X200" s="4">
        <v>65000</v>
      </c>
      <c r="Y200">
        <v>20</v>
      </c>
      <c r="Z200" s="3">
        <v>0</v>
      </c>
      <c r="AA200">
        <f t="shared" si="34"/>
        <v>0</v>
      </c>
      <c r="AB200" s="10">
        <f t="shared" si="35"/>
        <v>0</v>
      </c>
      <c r="AC200" s="10">
        <f t="shared" si="36"/>
        <v>0</v>
      </c>
      <c r="AD200" s="10">
        <f t="shared" si="37"/>
        <v>0</v>
      </c>
      <c r="AE200" s="10">
        <f t="shared" si="38"/>
        <v>1</v>
      </c>
      <c r="AP200" s="4">
        <v>65000</v>
      </c>
      <c r="AQ200">
        <v>20</v>
      </c>
      <c r="AR200">
        <f t="shared" si="31"/>
        <v>0</v>
      </c>
      <c r="AS200">
        <f t="shared" si="39"/>
        <v>0</v>
      </c>
      <c r="AU200" s="10"/>
      <c r="AV200" s="10"/>
    </row>
    <row r="201" spans="1:48" x14ac:dyDescent="0.35">
      <c r="A201" s="1">
        <v>200</v>
      </c>
      <c r="B201">
        <v>5</v>
      </c>
      <c r="C201">
        <v>6</v>
      </c>
      <c r="D201">
        <v>56</v>
      </c>
      <c r="E201" s="3">
        <v>1</v>
      </c>
      <c r="F201" s="3" t="s">
        <v>9</v>
      </c>
      <c r="G201" s="3" t="s">
        <v>10</v>
      </c>
      <c r="H201">
        <v>20</v>
      </c>
      <c r="I201" s="4">
        <v>52000</v>
      </c>
      <c r="J201" s="4"/>
      <c r="L201" s="4">
        <v>52000</v>
      </c>
      <c r="M201">
        <v>20</v>
      </c>
      <c r="N201">
        <f t="shared" si="32"/>
        <v>0</v>
      </c>
      <c r="R201" s="4">
        <v>52000</v>
      </c>
      <c r="S201">
        <v>20</v>
      </c>
      <c r="T201">
        <f t="shared" si="33"/>
        <v>1</v>
      </c>
      <c r="X201" s="4">
        <v>52000</v>
      </c>
      <c r="Y201">
        <v>20</v>
      </c>
      <c r="Z201" s="3">
        <v>1</v>
      </c>
      <c r="AA201">
        <f t="shared" si="34"/>
        <v>0</v>
      </c>
      <c r="AB201" s="10">
        <f t="shared" si="35"/>
        <v>0</v>
      </c>
      <c r="AC201" s="10">
        <f t="shared" si="36"/>
        <v>0</v>
      </c>
      <c r="AD201" s="10">
        <f t="shared" si="37"/>
        <v>0</v>
      </c>
      <c r="AE201" s="10">
        <f t="shared" si="38"/>
        <v>1</v>
      </c>
      <c r="AP201" s="4">
        <v>52000</v>
      </c>
      <c r="AQ201">
        <v>20</v>
      </c>
      <c r="AR201">
        <f t="shared" si="31"/>
        <v>0</v>
      </c>
      <c r="AS201">
        <f t="shared" si="39"/>
        <v>0</v>
      </c>
      <c r="AU201" s="10"/>
      <c r="AV201" s="10"/>
    </row>
    <row r="202" spans="1:48" x14ac:dyDescent="0.35">
      <c r="A202" s="1">
        <v>201</v>
      </c>
      <c r="B202">
        <v>5</v>
      </c>
      <c r="C202">
        <v>6</v>
      </c>
      <c r="D202">
        <v>57</v>
      </c>
      <c r="E202" s="3">
        <v>0</v>
      </c>
      <c r="F202" s="3" t="s">
        <v>9</v>
      </c>
      <c r="G202" s="3" t="s">
        <v>10</v>
      </c>
      <c r="H202">
        <v>22</v>
      </c>
      <c r="I202" s="4">
        <v>58000</v>
      </c>
      <c r="J202" s="4"/>
      <c r="L202" s="4">
        <v>58000</v>
      </c>
      <c r="M202">
        <v>22</v>
      </c>
      <c r="N202">
        <f t="shared" si="32"/>
        <v>0</v>
      </c>
      <c r="R202" s="4">
        <v>58000</v>
      </c>
      <c r="S202">
        <v>22</v>
      </c>
      <c r="T202">
        <f t="shared" si="33"/>
        <v>1</v>
      </c>
      <c r="X202" s="4">
        <v>58000</v>
      </c>
      <c r="Y202">
        <v>22</v>
      </c>
      <c r="Z202" s="3">
        <v>0</v>
      </c>
      <c r="AA202">
        <f t="shared" si="34"/>
        <v>0</v>
      </c>
      <c r="AB202" s="10">
        <f t="shared" si="35"/>
        <v>0</v>
      </c>
      <c r="AC202" s="10">
        <f t="shared" si="36"/>
        <v>0</v>
      </c>
      <c r="AD202" s="10">
        <f t="shared" si="37"/>
        <v>0</v>
      </c>
      <c r="AE202" s="10">
        <f t="shared" si="38"/>
        <v>1</v>
      </c>
      <c r="AP202" s="4">
        <v>58000</v>
      </c>
      <c r="AQ202">
        <v>22</v>
      </c>
      <c r="AR202">
        <f t="shared" si="31"/>
        <v>0</v>
      </c>
      <c r="AS202">
        <f t="shared" si="39"/>
        <v>0</v>
      </c>
      <c r="AU202" s="10"/>
      <c r="AV202" s="10"/>
    </row>
    <row r="203" spans="1:48" x14ac:dyDescent="0.35">
      <c r="A203" s="1">
        <v>202</v>
      </c>
      <c r="B203">
        <v>4</v>
      </c>
      <c r="C203">
        <v>6</v>
      </c>
      <c r="D203">
        <v>53</v>
      </c>
      <c r="E203" s="3">
        <v>0</v>
      </c>
      <c r="F203" s="3" t="s">
        <v>9</v>
      </c>
      <c r="G203" s="3" t="s">
        <v>10</v>
      </c>
      <c r="H203">
        <v>21</v>
      </c>
      <c r="I203" s="4">
        <v>60000</v>
      </c>
      <c r="J203" s="4"/>
      <c r="L203" s="4">
        <v>60000</v>
      </c>
      <c r="M203">
        <v>21</v>
      </c>
      <c r="N203">
        <f t="shared" si="32"/>
        <v>0</v>
      </c>
      <c r="R203" s="4">
        <v>60000</v>
      </c>
      <c r="S203">
        <v>21</v>
      </c>
      <c r="T203">
        <f t="shared" si="33"/>
        <v>1</v>
      </c>
      <c r="X203" s="4">
        <v>60000</v>
      </c>
      <c r="Y203">
        <v>21</v>
      </c>
      <c r="Z203" s="3">
        <v>0</v>
      </c>
      <c r="AA203">
        <f t="shared" si="34"/>
        <v>0</v>
      </c>
      <c r="AB203" s="10">
        <f t="shared" si="35"/>
        <v>0</v>
      </c>
      <c r="AC203" s="10">
        <f t="shared" si="36"/>
        <v>0</v>
      </c>
      <c r="AD203" s="10">
        <f t="shared" si="37"/>
        <v>1</v>
      </c>
      <c r="AE203" s="10">
        <f t="shared" si="38"/>
        <v>0</v>
      </c>
      <c r="AP203" s="4">
        <v>60000</v>
      </c>
      <c r="AQ203">
        <v>21</v>
      </c>
      <c r="AR203">
        <f t="shared" si="31"/>
        <v>0</v>
      </c>
      <c r="AS203">
        <f t="shared" si="39"/>
        <v>0</v>
      </c>
      <c r="AU203" s="10"/>
      <c r="AV203" s="10"/>
    </row>
    <row r="204" spans="1:48" x14ac:dyDescent="0.35">
      <c r="A204" s="1">
        <v>203</v>
      </c>
      <c r="B204">
        <v>5</v>
      </c>
      <c r="C204">
        <v>6</v>
      </c>
      <c r="D204">
        <v>65</v>
      </c>
      <c r="E204" s="3">
        <v>0</v>
      </c>
      <c r="F204" s="3" t="s">
        <v>9</v>
      </c>
      <c r="G204" s="3" t="s">
        <v>10</v>
      </c>
      <c r="H204">
        <v>39</v>
      </c>
      <c r="I204" s="4">
        <v>74000</v>
      </c>
      <c r="J204" s="4"/>
      <c r="L204" s="4">
        <v>74000</v>
      </c>
      <c r="M204">
        <v>39</v>
      </c>
      <c r="N204">
        <f t="shared" si="32"/>
        <v>0</v>
      </c>
      <c r="R204" s="4">
        <v>74000</v>
      </c>
      <c r="S204">
        <v>39</v>
      </c>
      <c r="T204">
        <f t="shared" si="33"/>
        <v>1</v>
      </c>
      <c r="X204" s="4">
        <v>74000</v>
      </c>
      <c r="Y204">
        <v>39</v>
      </c>
      <c r="Z204" s="3">
        <v>0</v>
      </c>
      <c r="AA204">
        <f t="shared" si="34"/>
        <v>0</v>
      </c>
      <c r="AB204" s="10">
        <f t="shared" si="35"/>
        <v>0</v>
      </c>
      <c r="AC204" s="10">
        <f t="shared" si="36"/>
        <v>0</v>
      </c>
      <c r="AD204" s="10">
        <f t="shared" si="37"/>
        <v>0</v>
      </c>
      <c r="AE204" s="10">
        <f t="shared" si="38"/>
        <v>1</v>
      </c>
      <c r="AP204" s="4">
        <v>74000</v>
      </c>
      <c r="AQ204">
        <v>39</v>
      </c>
      <c r="AR204">
        <f t="shared" si="31"/>
        <v>0</v>
      </c>
      <c r="AS204">
        <f t="shared" si="39"/>
        <v>0</v>
      </c>
      <c r="AU204" s="10"/>
      <c r="AV204" s="10"/>
    </row>
    <row r="205" spans="1:48" x14ac:dyDescent="0.35">
      <c r="A205" s="1">
        <v>204</v>
      </c>
      <c r="B205">
        <v>3</v>
      </c>
      <c r="C205">
        <v>6</v>
      </c>
      <c r="D205">
        <v>60</v>
      </c>
      <c r="E205" s="3">
        <v>0</v>
      </c>
      <c r="F205" s="3" t="s">
        <v>9</v>
      </c>
      <c r="G205" s="3" t="s">
        <v>10</v>
      </c>
      <c r="H205">
        <v>34</v>
      </c>
      <c r="I205" s="4">
        <v>95000</v>
      </c>
      <c r="J205" s="4"/>
      <c r="L205" s="4">
        <v>95000</v>
      </c>
      <c r="M205">
        <v>34</v>
      </c>
      <c r="N205">
        <f t="shared" si="32"/>
        <v>0</v>
      </c>
      <c r="R205" s="4">
        <v>95000</v>
      </c>
      <c r="S205">
        <v>34</v>
      </c>
      <c r="T205">
        <f t="shared" si="33"/>
        <v>1</v>
      </c>
      <c r="X205" s="4">
        <v>95000</v>
      </c>
      <c r="Y205">
        <v>34</v>
      </c>
      <c r="Z205" s="3">
        <v>0</v>
      </c>
      <c r="AA205">
        <f t="shared" si="34"/>
        <v>0</v>
      </c>
      <c r="AB205" s="10">
        <f t="shared" si="35"/>
        <v>0</v>
      </c>
      <c r="AC205" s="10">
        <f t="shared" si="36"/>
        <v>0</v>
      </c>
      <c r="AD205" s="10">
        <f t="shared" si="37"/>
        <v>0</v>
      </c>
      <c r="AE205" s="10">
        <f t="shared" si="38"/>
        <v>0</v>
      </c>
      <c r="AP205" s="4">
        <v>95000</v>
      </c>
      <c r="AQ205">
        <v>34</v>
      </c>
      <c r="AR205">
        <f t="shared" si="31"/>
        <v>0</v>
      </c>
      <c r="AS205">
        <f t="shared" si="39"/>
        <v>0</v>
      </c>
      <c r="AU205" s="10"/>
      <c r="AV205" s="10"/>
    </row>
    <row r="206" spans="1:48" x14ac:dyDescent="0.35">
      <c r="A206" s="1">
        <v>205</v>
      </c>
      <c r="B206">
        <v>5</v>
      </c>
      <c r="C206">
        <v>6</v>
      </c>
      <c r="D206">
        <v>61</v>
      </c>
      <c r="E206" s="3">
        <v>0</v>
      </c>
      <c r="F206" s="3" t="s">
        <v>9</v>
      </c>
      <c r="G206" s="3" t="s">
        <v>10</v>
      </c>
      <c r="H206">
        <v>36</v>
      </c>
      <c r="I206" s="4">
        <v>97000</v>
      </c>
      <c r="J206" s="4"/>
      <c r="L206" s="4">
        <v>97000</v>
      </c>
      <c r="M206">
        <v>36</v>
      </c>
      <c r="N206">
        <f t="shared" si="32"/>
        <v>0</v>
      </c>
      <c r="R206" s="4">
        <v>97000</v>
      </c>
      <c r="S206">
        <v>36</v>
      </c>
      <c r="T206">
        <f t="shared" si="33"/>
        <v>1</v>
      </c>
      <c r="X206" s="4">
        <v>97000</v>
      </c>
      <c r="Y206">
        <v>36</v>
      </c>
      <c r="Z206" s="3">
        <v>0</v>
      </c>
      <c r="AA206">
        <f t="shared" si="34"/>
        <v>0</v>
      </c>
      <c r="AB206" s="10">
        <f t="shared" si="35"/>
        <v>0</v>
      </c>
      <c r="AC206" s="10">
        <f t="shared" si="36"/>
        <v>0</v>
      </c>
      <c r="AD206" s="10">
        <f t="shared" si="37"/>
        <v>0</v>
      </c>
      <c r="AE206" s="10">
        <f t="shared" si="38"/>
        <v>1</v>
      </c>
      <c r="AP206" s="4">
        <v>97000</v>
      </c>
      <c r="AQ206">
        <v>36</v>
      </c>
      <c r="AR206">
        <f t="shared" si="31"/>
        <v>0</v>
      </c>
      <c r="AS206">
        <f t="shared" si="39"/>
        <v>0</v>
      </c>
      <c r="AU206" s="10"/>
      <c r="AV206" s="10"/>
    </row>
    <row r="207" spans="1:48" x14ac:dyDescent="0.35">
      <c r="A207" s="1">
        <v>206</v>
      </c>
      <c r="B207">
        <v>5</v>
      </c>
      <c r="C207">
        <v>6</v>
      </c>
      <c r="D207">
        <v>62</v>
      </c>
      <c r="E207" s="3">
        <v>0</v>
      </c>
      <c r="F207" s="3" t="s">
        <v>9</v>
      </c>
      <c r="G207" s="3" t="s">
        <v>10</v>
      </c>
      <c r="H207">
        <v>32</v>
      </c>
      <c r="I207" s="4">
        <v>88000</v>
      </c>
      <c r="J207" s="4"/>
      <c r="L207" s="4">
        <v>88000</v>
      </c>
      <c r="M207">
        <v>32</v>
      </c>
      <c r="N207">
        <f t="shared" si="32"/>
        <v>0</v>
      </c>
      <c r="R207" s="4">
        <v>88000</v>
      </c>
      <c r="S207">
        <v>32</v>
      </c>
      <c r="T207">
        <f t="shared" si="33"/>
        <v>1</v>
      </c>
      <c r="X207" s="4">
        <v>88000</v>
      </c>
      <c r="Y207">
        <v>32</v>
      </c>
      <c r="Z207" s="3">
        <v>0</v>
      </c>
      <c r="AA207">
        <f t="shared" si="34"/>
        <v>0</v>
      </c>
      <c r="AB207" s="10">
        <f t="shared" si="35"/>
        <v>0</v>
      </c>
      <c r="AC207" s="10">
        <f t="shared" si="36"/>
        <v>0</v>
      </c>
      <c r="AD207" s="10">
        <f t="shared" si="37"/>
        <v>0</v>
      </c>
      <c r="AE207" s="10">
        <f t="shared" si="38"/>
        <v>1</v>
      </c>
      <c r="AP207" s="4">
        <v>88000</v>
      </c>
      <c r="AQ207">
        <v>32</v>
      </c>
      <c r="AR207">
        <f t="shared" si="31"/>
        <v>0</v>
      </c>
      <c r="AS207">
        <f t="shared" si="39"/>
        <v>0</v>
      </c>
      <c r="AU207" s="10"/>
      <c r="AV207" s="10"/>
    </row>
    <row r="208" spans="1:48" x14ac:dyDescent="0.35">
      <c r="A208" s="1">
        <v>207</v>
      </c>
      <c r="B208">
        <v>5</v>
      </c>
      <c r="C208">
        <v>6</v>
      </c>
      <c r="D208">
        <v>59</v>
      </c>
      <c r="E208" s="3">
        <v>0</v>
      </c>
      <c r="F208" s="3" t="s">
        <v>9</v>
      </c>
      <c r="G208" s="3" t="s">
        <v>10</v>
      </c>
      <c r="H208">
        <v>35</v>
      </c>
      <c r="I208" s="4">
        <v>94000</v>
      </c>
      <c r="J208" s="4"/>
      <c r="L208" s="4">
        <v>94000</v>
      </c>
      <c r="M208">
        <v>35</v>
      </c>
      <c r="N208">
        <f t="shared" si="32"/>
        <v>0</v>
      </c>
      <c r="R208" s="4">
        <v>94000</v>
      </c>
      <c r="S208">
        <v>35</v>
      </c>
      <c r="T208">
        <f t="shared" si="33"/>
        <v>1</v>
      </c>
      <c r="X208" s="4">
        <v>94000</v>
      </c>
      <c r="Y208">
        <v>35</v>
      </c>
      <c r="Z208" s="3">
        <v>0</v>
      </c>
      <c r="AA208">
        <f t="shared" si="34"/>
        <v>0</v>
      </c>
      <c r="AB208" s="10">
        <f t="shared" si="35"/>
        <v>0</v>
      </c>
      <c r="AC208" s="10">
        <f t="shared" si="36"/>
        <v>0</v>
      </c>
      <c r="AD208" s="10">
        <f t="shared" si="37"/>
        <v>0</v>
      </c>
      <c r="AE208" s="10">
        <f t="shared" si="38"/>
        <v>1</v>
      </c>
      <c r="AP208" s="4">
        <v>94000</v>
      </c>
      <c r="AQ208">
        <v>35</v>
      </c>
      <c r="AR208">
        <f t="shared" si="31"/>
        <v>0</v>
      </c>
      <c r="AS208">
        <f t="shared" si="39"/>
        <v>0</v>
      </c>
      <c r="AU208" s="10"/>
      <c r="AV208" s="10"/>
    </row>
    <row r="209" spans="1:48" x14ac:dyDescent="0.35">
      <c r="A209" s="1">
        <v>208</v>
      </c>
      <c r="B209">
        <v>5</v>
      </c>
      <c r="C209">
        <v>6</v>
      </c>
      <c r="D209">
        <v>62</v>
      </c>
      <c r="E209" s="3">
        <v>0</v>
      </c>
      <c r="F209" s="3" t="s">
        <v>9</v>
      </c>
      <c r="G209" s="3" t="s">
        <v>11</v>
      </c>
      <c r="H209">
        <v>33</v>
      </c>
      <c r="I209" s="4">
        <v>30000</v>
      </c>
      <c r="J209" s="4"/>
      <c r="L209" s="4">
        <v>30000</v>
      </c>
      <c r="M209">
        <v>33</v>
      </c>
      <c r="N209">
        <f t="shared" si="32"/>
        <v>1</v>
      </c>
      <c r="R209" s="4">
        <v>30000</v>
      </c>
      <c r="S209">
        <v>33</v>
      </c>
      <c r="T209">
        <f t="shared" si="33"/>
        <v>0</v>
      </c>
      <c r="X209" s="4">
        <v>30000</v>
      </c>
      <c r="Y209">
        <v>33</v>
      </c>
      <c r="Z209" s="3">
        <v>0</v>
      </c>
      <c r="AA209">
        <f t="shared" si="34"/>
        <v>1</v>
      </c>
      <c r="AB209" s="10">
        <f t="shared" si="35"/>
        <v>0</v>
      </c>
      <c r="AC209" s="10">
        <f t="shared" si="36"/>
        <v>0</v>
      </c>
      <c r="AD209" s="10">
        <f t="shared" si="37"/>
        <v>0</v>
      </c>
      <c r="AE209" s="10">
        <f t="shared" si="38"/>
        <v>1</v>
      </c>
      <c r="AP209" s="4">
        <v>30000</v>
      </c>
      <c r="AQ209">
        <v>33</v>
      </c>
      <c r="AR209">
        <f t="shared" si="31"/>
        <v>1</v>
      </c>
      <c r="AS209">
        <f t="shared" si="39"/>
        <v>33</v>
      </c>
      <c r="AU209" s="10"/>
      <c r="AV20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624C-C298-4EA7-AB89-14B9B3609A51}">
  <dimension ref="A1:I209"/>
  <sheetViews>
    <sheetView workbookViewId="0">
      <selection activeCell="B1" sqref="B1"/>
    </sheetView>
  </sheetViews>
  <sheetFormatPr defaultRowHeight="14.5" x14ac:dyDescent="0.35"/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1</v>
      </c>
      <c r="B2">
        <v>3</v>
      </c>
      <c r="C2">
        <v>1</v>
      </c>
      <c r="D2">
        <v>26</v>
      </c>
      <c r="E2" s="3">
        <v>1</v>
      </c>
      <c r="F2" s="3" t="s">
        <v>9</v>
      </c>
      <c r="G2" s="3" t="s">
        <v>10</v>
      </c>
      <c r="H2">
        <v>3</v>
      </c>
      <c r="I2" s="4">
        <v>32000</v>
      </c>
    </row>
    <row r="3" spans="1:9" x14ac:dyDescent="0.35">
      <c r="A3" s="1">
        <v>2</v>
      </c>
      <c r="B3">
        <v>1</v>
      </c>
      <c r="C3">
        <v>1</v>
      </c>
      <c r="D3">
        <v>38</v>
      </c>
      <c r="E3" s="3">
        <v>1</v>
      </c>
      <c r="F3" s="3" t="s">
        <v>9</v>
      </c>
      <c r="G3" s="3" t="s">
        <v>11</v>
      </c>
      <c r="H3">
        <v>14</v>
      </c>
      <c r="I3" s="4">
        <v>39100</v>
      </c>
    </row>
    <row r="4" spans="1:9" x14ac:dyDescent="0.35">
      <c r="A4" s="1">
        <v>3</v>
      </c>
      <c r="B4">
        <v>1</v>
      </c>
      <c r="C4">
        <v>1</v>
      </c>
      <c r="D4">
        <v>35</v>
      </c>
      <c r="E4" s="3">
        <v>0</v>
      </c>
      <c r="F4" s="3" t="s">
        <v>9</v>
      </c>
      <c r="G4" s="3" t="s">
        <v>11</v>
      </c>
      <c r="H4">
        <v>12</v>
      </c>
      <c r="I4" s="4">
        <v>33200</v>
      </c>
    </row>
    <row r="5" spans="1:9" x14ac:dyDescent="0.35">
      <c r="A5" s="1">
        <v>4</v>
      </c>
      <c r="B5">
        <v>2</v>
      </c>
      <c r="C5">
        <v>1</v>
      </c>
      <c r="D5">
        <v>40</v>
      </c>
      <c r="E5" s="3">
        <v>7</v>
      </c>
      <c r="F5" s="3" t="s">
        <v>9</v>
      </c>
      <c r="G5" s="3" t="s">
        <v>11</v>
      </c>
      <c r="H5">
        <v>8</v>
      </c>
      <c r="I5" s="4">
        <v>30600</v>
      </c>
    </row>
    <row r="6" spans="1:9" x14ac:dyDescent="0.35">
      <c r="A6" s="1">
        <v>5</v>
      </c>
      <c r="B6">
        <v>3</v>
      </c>
      <c r="C6">
        <v>1</v>
      </c>
      <c r="D6">
        <v>28</v>
      </c>
      <c r="E6" s="3">
        <v>0</v>
      </c>
      <c r="F6" s="3" t="s">
        <v>9</v>
      </c>
      <c r="G6" s="3" t="s">
        <v>10</v>
      </c>
      <c r="H6">
        <v>3</v>
      </c>
      <c r="I6" s="4">
        <v>29000</v>
      </c>
    </row>
    <row r="7" spans="1:9" x14ac:dyDescent="0.35">
      <c r="A7" s="1">
        <v>6</v>
      </c>
      <c r="B7">
        <v>3</v>
      </c>
      <c r="C7">
        <v>1</v>
      </c>
      <c r="D7">
        <v>24</v>
      </c>
      <c r="E7" s="3">
        <v>0</v>
      </c>
      <c r="F7" s="3" t="s">
        <v>9</v>
      </c>
      <c r="G7" s="3" t="s">
        <v>11</v>
      </c>
      <c r="H7">
        <v>3</v>
      </c>
      <c r="I7" s="4">
        <v>30500</v>
      </c>
    </row>
    <row r="8" spans="1:9" x14ac:dyDescent="0.35">
      <c r="A8" s="1">
        <v>7</v>
      </c>
      <c r="B8">
        <v>3</v>
      </c>
      <c r="C8">
        <v>1</v>
      </c>
      <c r="D8">
        <v>27</v>
      </c>
      <c r="E8" s="3">
        <v>0</v>
      </c>
      <c r="F8" s="3" t="s">
        <v>9</v>
      </c>
      <c r="G8" s="3" t="s">
        <v>11</v>
      </c>
      <c r="H8">
        <v>4</v>
      </c>
      <c r="I8" s="4">
        <v>30000</v>
      </c>
    </row>
    <row r="9" spans="1:9" x14ac:dyDescent="0.35">
      <c r="A9" s="1">
        <v>8</v>
      </c>
      <c r="B9">
        <v>3</v>
      </c>
      <c r="C9">
        <v>1</v>
      </c>
      <c r="D9">
        <v>33</v>
      </c>
      <c r="E9" s="3">
        <v>2</v>
      </c>
      <c r="F9" s="3" t="s">
        <v>9</v>
      </c>
      <c r="G9" s="3" t="s">
        <v>10</v>
      </c>
      <c r="H9">
        <v>8</v>
      </c>
      <c r="I9" s="4">
        <v>27000</v>
      </c>
    </row>
    <row r="10" spans="1:9" x14ac:dyDescent="0.35">
      <c r="A10" s="1">
        <v>9</v>
      </c>
      <c r="B10">
        <v>1</v>
      </c>
      <c r="C10">
        <v>1</v>
      </c>
      <c r="D10">
        <v>62</v>
      </c>
      <c r="E10" s="3">
        <v>0</v>
      </c>
      <c r="F10" s="3" t="s">
        <v>9</v>
      </c>
      <c r="G10" s="3" t="s">
        <v>11</v>
      </c>
      <c r="H10">
        <v>4</v>
      </c>
      <c r="I10" s="4">
        <v>34000</v>
      </c>
    </row>
    <row r="11" spans="1:9" x14ac:dyDescent="0.35">
      <c r="A11" s="1">
        <v>10</v>
      </c>
      <c r="B11">
        <v>3</v>
      </c>
      <c r="C11">
        <v>1</v>
      </c>
      <c r="D11">
        <v>31</v>
      </c>
      <c r="E11" s="3">
        <v>0</v>
      </c>
      <c r="F11" s="3" t="s">
        <v>9</v>
      </c>
      <c r="G11" s="3" t="s">
        <v>11</v>
      </c>
      <c r="H11">
        <v>9</v>
      </c>
      <c r="I11" s="4">
        <v>29500</v>
      </c>
    </row>
    <row r="12" spans="1:9" x14ac:dyDescent="0.35">
      <c r="A12" s="1">
        <v>11</v>
      </c>
      <c r="B12">
        <v>3</v>
      </c>
      <c r="C12">
        <v>1</v>
      </c>
      <c r="D12">
        <v>34</v>
      </c>
      <c r="E12" s="3">
        <v>2</v>
      </c>
      <c r="F12" s="3" t="s">
        <v>9</v>
      </c>
      <c r="G12" s="3" t="s">
        <v>11</v>
      </c>
      <c r="H12">
        <v>9</v>
      </c>
      <c r="I12" s="4">
        <v>26800</v>
      </c>
    </row>
    <row r="13" spans="1:9" x14ac:dyDescent="0.35">
      <c r="A13" s="1">
        <v>12</v>
      </c>
      <c r="B13">
        <v>2</v>
      </c>
      <c r="C13">
        <v>1</v>
      </c>
      <c r="D13">
        <v>37</v>
      </c>
      <c r="E13" s="3">
        <v>8</v>
      </c>
      <c r="F13" s="3" t="s">
        <v>9</v>
      </c>
      <c r="G13" s="3" t="s">
        <v>11</v>
      </c>
      <c r="H13">
        <v>8</v>
      </c>
      <c r="I13" s="4">
        <v>31300</v>
      </c>
    </row>
    <row r="14" spans="1:9" x14ac:dyDescent="0.35">
      <c r="A14" s="1">
        <v>13</v>
      </c>
      <c r="B14">
        <v>2</v>
      </c>
      <c r="C14">
        <v>1</v>
      </c>
      <c r="D14">
        <v>37</v>
      </c>
      <c r="E14" s="3">
        <v>0</v>
      </c>
      <c r="F14" s="3" t="s">
        <v>9</v>
      </c>
      <c r="G14" s="3" t="s">
        <v>11</v>
      </c>
      <c r="H14">
        <v>9</v>
      </c>
      <c r="I14" s="4">
        <v>31200</v>
      </c>
    </row>
    <row r="15" spans="1:9" x14ac:dyDescent="0.35">
      <c r="A15" s="1">
        <v>14</v>
      </c>
      <c r="B15">
        <v>2</v>
      </c>
      <c r="C15">
        <v>1</v>
      </c>
      <c r="D15">
        <v>58</v>
      </c>
      <c r="E15" s="3">
        <v>6</v>
      </c>
      <c r="F15" s="3" t="s">
        <v>9</v>
      </c>
      <c r="G15" s="3" t="s">
        <v>11</v>
      </c>
      <c r="H15">
        <v>10</v>
      </c>
      <c r="I15" s="4">
        <v>34700</v>
      </c>
    </row>
    <row r="16" spans="1:9" x14ac:dyDescent="0.35">
      <c r="A16" s="1">
        <v>15</v>
      </c>
      <c r="B16">
        <v>3</v>
      </c>
      <c r="C16">
        <v>1</v>
      </c>
      <c r="D16">
        <v>33</v>
      </c>
      <c r="E16" s="3">
        <v>0</v>
      </c>
      <c r="F16" s="3" t="s">
        <v>9</v>
      </c>
      <c r="G16" s="3" t="s">
        <v>11</v>
      </c>
      <c r="H16">
        <v>4</v>
      </c>
      <c r="I16" s="4">
        <v>30000</v>
      </c>
    </row>
    <row r="17" spans="1:9" x14ac:dyDescent="0.35">
      <c r="A17" s="1">
        <v>16</v>
      </c>
      <c r="B17">
        <v>3</v>
      </c>
      <c r="C17">
        <v>1</v>
      </c>
      <c r="D17">
        <v>27</v>
      </c>
      <c r="E17" s="3">
        <v>0</v>
      </c>
      <c r="F17" s="3" t="s">
        <v>9</v>
      </c>
      <c r="G17" s="3" t="s">
        <v>11</v>
      </c>
      <c r="H17">
        <v>3</v>
      </c>
      <c r="I17" s="4">
        <v>31000</v>
      </c>
    </row>
    <row r="18" spans="1:9" x14ac:dyDescent="0.35">
      <c r="A18" s="1">
        <v>17</v>
      </c>
      <c r="B18">
        <v>3</v>
      </c>
      <c r="C18">
        <v>1</v>
      </c>
      <c r="D18">
        <v>30</v>
      </c>
      <c r="E18" s="3">
        <v>0</v>
      </c>
      <c r="F18" s="3" t="s">
        <v>9</v>
      </c>
      <c r="G18" s="3" t="s">
        <v>11</v>
      </c>
      <c r="H18">
        <v>6</v>
      </c>
      <c r="I18" s="4">
        <v>27000</v>
      </c>
    </row>
    <row r="19" spans="1:9" x14ac:dyDescent="0.35">
      <c r="A19" s="1">
        <v>18</v>
      </c>
      <c r="B19">
        <v>2</v>
      </c>
      <c r="C19">
        <v>1</v>
      </c>
      <c r="D19">
        <v>37</v>
      </c>
      <c r="E19" s="3">
        <v>9</v>
      </c>
      <c r="F19" s="3" t="s">
        <v>9</v>
      </c>
      <c r="G19" s="3" t="s">
        <v>11</v>
      </c>
      <c r="H19">
        <v>8</v>
      </c>
      <c r="I19" s="4">
        <v>29600</v>
      </c>
    </row>
    <row r="20" spans="1:9" x14ac:dyDescent="0.35">
      <c r="A20" s="1">
        <v>19</v>
      </c>
      <c r="B20">
        <v>3</v>
      </c>
      <c r="C20">
        <v>1</v>
      </c>
      <c r="D20">
        <v>44</v>
      </c>
      <c r="E20" s="3">
        <v>6</v>
      </c>
      <c r="F20" s="3" t="s">
        <v>9</v>
      </c>
      <c r="G20" s="3" t="s">
        <v>11</v>
      </c>
      <c r="H20">
        <v>5</v>
      </c>
      <c r="I20" s="4">
        <v>32600</v>
      </c>
    </row>
    <row r="21" spans="1:9" x14ac:dyDescent="0.35">
      <c r="A21" s="1">
        <v>20</v>
      </c>
      <c r="B21">
        <v>2</v>
      </c>
      <c r="C21">
        <v>1</v>
      </c>
      <c r="D21">
        <v>29</v>
      </c>
      <c r="E21" s="3">
        <v>3</v>
      </c>
      <c r="F21" s="3" t="s">
        <v>9</v>
      </c>
      <c r="G21" s="3" t="s">
        <v>11</v>
      </c>
      <c r="H21">
        <v>4</v>
      </c>
      <c r="I21" s="4">
        <v>29600</v>
      </c>
    </row>
    <row r="22" spans="1:9" x14ac:dyDescent="0.35">
      <c r="A22" s="1">
        <v>21</v>
      </c>
      <c r="B22">
        <v>3</v>
      </c>
      <c r="C22">
        <v>1</v>
      </c>
      <c r="D22">
        <v>36</v>
      </c>
      <c r="E22" s="3">
        <v>2</v>
      </c>
      <c r="F22" s="3" t="s">
        <v>9</v>
      </c>
      <c r="G22" s="3" t="s">
        <v>11</v>
      </c>
      <c r="H22">
        <v>4</v>
      </c>
      <c r="I22" s="4">
        <v>29500</v>
      </c>
    </row>
    <row r="23" spans="1:9" x14ac:dyDescent="0.35">
      <c r="A23" s="1">
        <v>22</v>
      </c>
      <c r="B23">
        <v>2</v>
      </c>
      <c r="C23">
        <v>1</v>
      </c>
      <c r="D23">
        <v>28</v>
      </c>
      <c r="E23" s="3">
        <v>3</v>
      </c>
      <c r="F23" s="3" t="s">
        <v>9</v>
      </c>
      <c r="G23" s="3" t="s">
        <v>10</v>
      </c>
      <c r="H23">
        <v>3</v>
      </c>
      <c r="I23" s="4">
        <v>31000</v>
      </c>
    </row>
    <row r="24" spans="1:9" x14ac:dyDescent="0.35">
      <c r="A24" s="1">
        <v>23</v>
      </c>
      <c r="B24">
        <v>1</v>
      </c>
      <c r="C24">
        <v>1</v>
      </c>
      <c r="D24">
        <v>45</v>
      </c>
      <c r="E24" s="3">
        <v>0</v>
      </c>
      <c r="F24" s="3" t="s">
        <v>9</v>
      </c>
      <c r="G24" s="3" t="s">
        <v>11</v>
      </c>
      <c r="H24">
        <v>5</v>
      </c>
      <c r="I24" s="4">
        <v>28500</v>
      </c>
    </row>
    <row r="25" spans="1:9" x14ac:dyDescent="0.35">
      <c r="A25" s="1">
        <v>24</v>
      </c>
      <c r="B25">
        <v>2</v>
      </c>
      <c r="C25">
        <v>1</v>
      </c>
      <c r="D25">
        <v>33</v>
      </c>
      <c r="E25" s="3">
        <v>4</v>
      </c>
      <c r="F25" s="3" t="s">
        <v>9</v>
      </c>
      <c r="G25" s="3" t="s">
        <v>10</v>
      </c>
      <c r="H25">
        <v>3</v>
      </c>
      <c r="I25" s="4">
        <v>26700</v>
      </c>
    </row>
    <row r="26" spans="1:9" x14ac:dyDescent="0.35">
      <c r="A26" s="1">
        <v>25</v>
      </c>
      <c r="B26">
        <v>3</v>
      </c>
      <c r="C26">
        <v>1</v>
      </c>
      <c r="D26">
        <v>24</v>
      </c>
      <c r="E26" s="3">
        <v>1</v>
      </c>
      <c r="F26" s="3" t="s">
        <v>9</v>
      </c>
      <c r="G26" s="3" t="s">
        <v>10</v>
      </c>
      <c r="H26">
        <v>3</v>
      </c>
      <c r="I26" s="4">
        <v>30750</v>
      </c>
    </row>
    <row r="27" spans="1:9" x14ac:dyDescent="0.35">
      <c r="A27" s="1">
        <v>26</v>
      </c>
      <c r="B27">
        <v>3</v>
      </c>
      <c r="C27">
        <v>1</v>
      </c>
      <c r="D27">
        <v>27</v>
      </c>
      <c r="E27" s="3">
        <v>1</v>
      </c>
      <c r="F27" s="3" t="s">
        <v>9</v>
      </c>
      <c r="G27" s="3" t="s">
        <v>10</v>
      </c>
      <c r="H27">
        <v>3</v>
      </c>
      <c r="I27" s="4">
        <v>29500</v>
      </c>
    </row>
    <row r="28" spans="1:9" x14ac:dyDescent="0.35">
      <c r="A28" s="1">
        <v>27</v>
      </c>
      <c r="B28">
        <v>2</v>
      </c>
      <c r="C28">
        <v>1</v>
      </c>
      <c r="D28">
        <v>60</v>
      </c>
      <c r="E28" s="3">
        <v>6</v>
      </c>
      <c r="F28" s="3" t="s">
        <v>9</v>
      </c>
      <c r="G28" s="3" t="s">
        <v>11</v>
      </c>
      <c r="H28">
        <v>16</v>
      </c>
      <c r="I28" s="4">
        <v>42200</v>
      </c>
    </row>
    <row r="29" spans="1:9" x14ac:dyDescent="0.35">
      <c r="A29" s="1">
        <v>28</v>
      </c>
      <c r="B29">
        <v>1</v>
      </c>
      <c r="C29">
        <v>1</v>
      </c>
      <c r="D29">
        <v>48</v>
      </c>
      <c r="E29" s="3">
        <v>0</v>
      </c>
      <c r="F29" s="3" t="s">
        <v>9</v>
      </c>
      <c r="G29" s="3" t="s">
        <v>11</v>
      </c>
      <c r="H29">
        <v>13</v>
      </c>
      <c r="I29" s="4">
        <v>37600</v>
      </c>
    </row>
    <row r="30" spans="1:9" x14ac:dyDescent="0.35">
      <c r="A30" s="1">
        <v>29</v>
      </c>
      <c r="B30">
        <v>1</v>
      </c>
      <c r="C30">
        <v>1</v>
      </c>
      <c r="D30">
        <v>40</v>
      </c>
      <c r="E30" s="3">
        <v>6</v>
      </c>
      <c r="F30" s="3" t="s">
        <v>9</v>
      </c>
      <c r="G30" s="3" t="s">
        <v>11</v>
      </c>
      <c r="H30">
        <v>12</v>
      </c>
      <c r="I30" s="4">
        <v>34000</v>
      </c>
    </row>
    <row r="31" spans="1:9" x14ac:dyDescent="0.35">
      <c r="A31" s="1">
        <v>30</v>
      </c>
      <c r="B31">
        <v>2</v>
      </c>
      <c r="C31">
        <v>1</v>
      </c>
      <c r="D31">
        <v>33</v>
      </c>
      <c r="E31" s="3">
        <v>7</v>
      </c>
      <c r="F31" s="3" t="s">
        <v>9</v>
      </c>
      <c r="G31" s="3" t="s">
        <v>11</v>
      </c>
      <c r="H31">
        <v>4</v>
      </c>
      <c r="I31" s="4">
        <v>33000</v>
      </c>
    </row>
    <row r="32" spans="1:9" x14ac:dyDescent="0.35">
      <c r="A32" s="1">
        <v>31</v>
      </c>
      <c r="B32">
        <v>1</v>
      </c>
      <c r="C32">
        <v>1</v>
      </c>
      <c r="D32">
        <v>35</v>
      </c>
      <c r="E32" s="3">
        <v>4</v>
      </c>
      <c r="F32" s="3" t="s">
        <v>9</v>
      </c>
      <c r="G32" s="3" t="s">
        <v>11</v>
      </c>
      <c r="H32">
        <v>7</v>
      </c>
      <c r="I32" s="4">
        <v>28760</v>
      </c>
    </row>
    <row r="33" spans="1:9" x14ac:dyDescent="0.35">
      <c r="A33" s="1">
        <v>32</v>
      </c>
      <c r="B33">
        <v>1</v>
      </c>
      <c r="C33">
        <v>1</v>
      </c>
      <c r="D33">
        <v>44</v>
      </c>
      <c r="E33" s="3">
        <v>0</v>
      </c>
      <c r="F33" s="3" t="s">
        <v>9</v>
      </c>
      <c r="G33" s="3" t="s">
        <v>11</v>
      </c>
      <c r="H33">
        <v>11</v>
      </c>
      <c r="I33" s="4">
        <v>35400</v>
      </c>
    </row>
    <row r="34" spans="1:9" x14ac:dyDescent="0.35">
      <c r="A34" s="1">
        <v>33</v>
      </c>
      <c r="B34">
        <v>3</v>
      </c>
      <c r="C34">
        <v>1</v>
      </c>
      <c r="D34">
        <v>43</v>
      </c>
      <c r="E34" s="3">
        <v>8</v>
      </c>
      <c r="F34" s="3" t="s">
        <v>9</v>
      </c>
      <c r="G34" s="3" t="s">
        <v>10</v>
      </c>
      <c r="H34">
        <v>3</v>
      </c>
      <c r="I34" s="4">
        <v>31000</v>
      </c>
    </row>
    <row r="35" spans="1:9" x14ac:dyDescent="0.35">
      <c r="A35" s="1">
        <v>34</v>
      </c>
      <c r="B35">
        <v>2</v>
      </c>
      <c r="C35">
        <v>1</v>
      </c>
      <c r="D35">
        <v>46</v>
      </c>
      <c r="E35" s="3">
        <v>2</v>
      </c>
      <c r="F35" s="3" t="s">
        <v>9</v>
      </c>
      <c r="G35" s="3" t="s">
        <v>11</v>
      </c>
      <c r="H35">
        <v>18</v>
      </c>
      <c r="I35" s="4">
        <v>38800</v>
      </c>
    </row>
    <row r="36" spans="1:9" x14ac:dyDescent="0.35">
      <c r="A36" s="1">
        <v>35</v>
      </c>
      <c r="B36">
        <v>2</v>
      </c>
      <c r="C36">
        <v>1</v>
      </c>
      <c r="D36">
        <v>42</v>
      </c>
      <c r="E36" s="3">
        <v>0</v>
      </c>
      <c r="F36" s="3" t="s">
        <v>9</v>
      </c>
      <c r="G36" s="3" t="s">
        <v>11</v>
      </c>
      <c r="H36">
        <v>14</v>
      </c>
      <c r="I36" s="4">
        <v>34300</v>
      </c>
    </row>
    <row r="37" spans="1:9" x14ac:dyDescent="0.35">
      <c r="A37" s="1">
        <v>36</v>
      </c>
      <c r="B37">
        <v>1</v>
      </c>
      <c r="C37">
        <v>1</v>
      </c>
      <c r="D37">
        <v>47</v>
      </c>
      <c r="E37" s="3">
        <v>0</v>
      </c>
      <c r="F37" s="3" t="s">
        <v>9</v>
      </c>
      <c r="G37" s="3" t="s">
        <v>11</v>
      </c>
      <c r="H37">
        <v>19</v>
      </c>
      <c r="I37" s="4">
        <v>35000</v>
      </c>
    </row>
    <row r="38" spans="1:9" x14ac:dyDescent="0.35">
      <c r="A38" s="1">
        <v>37</v>
      </c>
      <c r="B38">
        <v>3</v>
      </c>
      <c r="C38">
        <v>1</v>
      </c>
      <c r="D38">
        <v>25</v>
      </c>
      <c r="E38" s="3">
        <v>2</v>
      </c>
      <c r="F38" s="3" t="s">
        <v>12</v>
      </c>
      <c r="G38" s="3" t="s">
        <v>11</v>
      </c>
      <c r="H38">
        <v>3</v>
      </c>
      <c r="I38" s="4">
        <v>34600</v>
      </c>
    </row>
    <row r="39" spans="1:9" x14ac:dyDescent="0.35">
      <c r="A39" s="1">
        <v>38</v>
      </c>
      <c r="B39">
        <v>2</v>
      </c>
      <c r="C39">
        <v>1</v>
      </c>
      <c r="D39">
        <v>30</v>
      </c>
      <c r="E39" s="3">
        <v>4</v>
      </c>
      <c r="F39" s="3" t="s">
        <v>9</v>
      </c>
      <c r="G39" s="3" t="s">
        <v>11</v>
      </c>
      <c r="H39">
        <v>2</v>
      </c>
      <c r="I39" s="4">
        <v>28500</v>
      </c>
    </row>
    <row r="40" spans="1:9" x14ac:dyDescent="0.35">
      <c r="A40" s="1">
        <v>39</v>
      </c>
      <c r="B40">
        <v>1</v>
      </c>
      <c r="C40">
        <v>1</v>
      </c>
      <c r="D40">
        <v>40</v>
      </c>
      <c r="E40" s="3">
        <v>0</v>
      </c>
      <c r="F40" s="3" t="s">
        <v>9</v>
      </c>
      <c r="G40" s="3" t="s">
        <v>11</v>
      </c>
      <c r="H40">
        <v>11</v>
      </c>
      <c r="I40" s="4">
        <v>29500</v>
      </c>
    </row>
    <row r="41" spans="1:9" x14ac:dyDescent="0.35">
      <c r="A41" s="1">
        <v>40</v>
      </c>
      <c r="B41">
        <v>3</v>
      </c>
      <c r="C41">
        <v>1</v>
      </c>
      <c r="D41">
        <v>26</v>
      </c>
      <c r="E41" s="3">
        <v>2</v>
      </c>
      <c r="F41" s="3" t="s">
        <v>9</v>
      </c>
      <c r="G41" s="3" t="s">
        <v>10</v>
      </c>
      <c r="H41">
        <v>3</v>
      </c>
      <c r="I41" s="4">
        <v>30500</v>
      </c>
    </row>
    <row r="42" spans="1:9" x14ac:dyDescent="0.35">
      <c r="A42" s="1">
        <v>41</v>
      </c>
      <c r="B42">
        <v>3</v>
      </c>
      <c r="C42">
        <v>1</v>
      </c>
      <c r="D42">
        <v>32</v>
      </c>
      <c r="E42" s="3">
        <v>1</v>
      </c>
      <c r="F42" s="3" t="s">
        <v>9</v>
      </c>
      <c r="G42" s="3" t="s">
        <v>11</v>
      </c>
      <c r="H42">
        <v>5</v>
      </c>
      <c r="I42" s="4">
        <v>34200</v>
      </c>
    </row>
    <row r="43" spans="1:9" x14ac:dyDescent="0.35">
      <c r="A43" s="1">
        <v>42</v>
      </c>
      <c r="B43">
        <v>1</v>
      </c>
      <c r="C43">
        <v>1</v>
      </c>
      <c r="D43">
        <v>51</v>
      </c>
      <c r="E43" s="3">
        <v>0</v>
      </c>
      <c r="F43" s="3" t="s">
        <v>9</v>
      </c>
      <c r="G43" s="3" t="s">
        <v>11</v>
      </c>
      <c r="H43">
        <v>15</v>
      </c>
      <c r="I43" s="4">
        <v>43600</v>
      </c>
    </row>
    <row r="44" spans="1:9" x14ac:dyDescent="0.35">
      <c r="A44" s="1">
        <v>43</v>
      </c>
      <c r="B44">
        <v>5</v>
      </c>
      <c r="C44">
        <v>1</v>
      </c>
      <c r="D44">
        <v>35</v>
      </c>
      <c r="E44" s="3">
        <v>0</v>
      </c>
      <c r="F44" s="3" t="s">
        <v>12</v>
      </c>
      <c r="G44" s="3" t="s">
        <v>11</v>
      </c>
      <c r="H44">
        <v>7</v>
      </c>
      <c r="I44" s="4">
        <v>33500</v>
      </c>
    </row>
    <row r="45" spans="1:9" x14ac:dyDescent="0.35">
      <c r="A45" s="1">
        <v>44</v>
      </c>
      <c r="B45">
        <v>3</v>
      </c>
      <c r="C45">
        <v>1</v>
      </c>
      <c r="D45">
        <v>37</v>
      </c>
      <c r="E45" s="3">
        <v>1</v>
      </c>
      <c r="F45" s="3" t="s">
        <v>9</v>
      </c>
      <c r="G45" s="3" t="s">
        <v>11</v>
      </c>
      <c r="H45">
        <v>12</v>
      </c>
      <c r="I45" s="4">
        <v>33000</v>
      </c>
    </row>
    <row r="46" spans="1:9" x14ac:dyDescent="0.35">
      <c r="A46" s="1">
        <v>45</v>
      </c>
      <c r="B46">
        <v>1</v>
      </c>
      <c r="C46">
        <v>1</v>
      </c>
      <c r="D46">
        <v>44</v>
      </c>
      <c r="E46" s="3">
        <v>0</v>
      </c>
      <c r="F46" s="3" t="s">
        <v>9</v>
      </c>
      <c r="G46" s="3" t="s">
        <v>11</v>
      </c>
      <c r="H46">
        <v>18</v>
      </c>
      <c r="I46" s="4">
        <v>45300</v>
      </c>
    </row>
    <row r="47" spans="1:9" x14ac:dyDescent="0.35">
      <c r="A47" s="1">
        <v>46</v>
      </c>
      <c r="B47">
        <v>1</v>
      </c>
      <c r="C47">
        <v>1</v>
      </c>
      <c r="D47">
        <v>53</v>
      </c>
      <c r="E47" s="3">
        <v>3</v>
      </c>
      <c r="F47" s="3" t="s">
        <v>9</v>
      </c>
      <c r="G47" s="3" t="s">
        <v>10</v>
      </c>
      <c r="H47">
        <v>17</v>
      </c>
      <c r="I47" s="4">
        <v>38800</v>
      </c>
    </row>
    <row r="48" spans="1:9" x14ac:dyDescent="0.35">
      <c r="A48" s="1">
        <v>47</v>
      </c>
      <c r="B48">
        <v>1</v>
      </c>
      <c r="C48">
        <v>1</v>
      </c>
      <c r="D48">
        <v>40</v>
      </c>
      <c r="E48" s="3">
        <v>0</v>
      </c>
      <c r="F48" s="3" t="s">
        <v>9</v>
      </c>
      <c r="G48" s="3" t="s">
        <v>11</v>
      </c>
      <c r="H48">
        <v>10</v>
      </c>
      <c r="I48" s="4">
        <v>29900</v>
      </c>
    </row>
    <row r="49" spans="1:9" x14ac:dyDescent="0.35">
      <c r="A49" s="1">
        <v>48</v>
      </c>
      <c r="B49">
        <v>3</v>
      </c>
      <c r="C49">
        <v>1</v>
      </c>
      <c r="D49">
        <v>51</v>
      </c>
      <c r="E49" s="3">
        <v>10</v>
      </c>
      <c r="F49" s="3" t="s">
        <v>9</v>
      </c>
      <c r="G49" s="3" t="s">
        <v>10</v>
      </c>
      <c r="H49">
        <v>5</v>
      </c>
      <c r="I49" s="4">
        <v>31200</v>
      </c>
    </row>
    <row r="50" spans="1:9" x14ac:dyDescent="0.35">
      <c r="A50" s="1">
        <v>49</v>
      </c>
      <c r="B50">
        <v>1</v>
      </c>
      <c r="C50">
        <v>1</v>
      </c>
      <c r="D50">
        <v>42</v>
      </c>
      <c r="E50" s="3">
        <v>0</v>
      </c>
      <c r="F50" s="3" t="s">
        <v>9</v>
      </c>
      <c r="G50" s="3" t="s">
        <v>11</v>
      </c>
      <c r="H50">
        <v>15</v>
      </c>
      <c r="I50" s="4">
        <v>34000</v>
      </c>
    </row>
    <row r="51" spans="1:9" x14ac:dyDescent="0.35">
      <c r="A51" s="1">
        <v>50</v>
      </c>
      <c r="B51">
        <v>2</v>
      </c>
      <c r="C51">
        <v>1</v>
      </c>
      <c r="D51">
        <v>53</v>
      </c>
      <c r="E51" s="3">
        <v>0</v>
      </c>
      <c r="F51" s="3" t="s">
        <v>9</v>
      </c>
      <c r="G51" s="3" t="s">
        <v>11</v>
      </c>
      <c r="H51">
        <v>2</v>
      </c>
      <c r="I51" s="4">
        <v>30450</v>
      </c>
    </row>
    <row r="52" spans="1:9" x14ac:dyDescent="0.35">
      <c r="A52" s="1">
        <v>51</v>
      </c>
      <c r="B52">
        <v>1</v>
      </c>
      <c r="C52">
        <v>1</v>
      </c>
      <c r="D52">
        <v>58</v>
      </c>
      <c r="E52" s="3">
        <v>3</v>
      </c>
      <c r="F52" s="3" t="s">
        <v>9</v>
      </c>
      <c r="G52" s="3" t="s">
        <v>10</v>
      </c>
      <c r="H52">
        <v>3</v>
      </c>
      <c r="I52" s="4">
        <v>35500</v>
      </c>
    </row>
    <row r="53" spans="1:9" x14ac:dyDescent="0.35">
      <c r="A53" s="1">
        <v>52</v>
      </c>
      <c r="B53">
        <v>1</v>
      </c>
      <c r="C53">
        <v>1</v>
      </c>
      <c r="D53">
        <v>44</v>
      </c>
      <c r="E53" s="3">
        <v>10</v>
      </c>
      <c r="F53" s="3" t="s">
        <v>12</v>
      </c>
      <c r="G53" s="3" t="s">
        <v>11</v>
      </c>
      <c r="H53">
        <v>4</v>
      </c>
      <c r="I53" s="4">
        <v>34000</v>
      </c>
    </row>
    <row r="54" spans="1:9" x14ac:dyDescent="0.35">
      <c r="A54" s="1">
        <v>53</v>
      </c>
      <c r="B54">
        <v>2</v>
      </c>
      <c r="C54">
        <v>1</v>
      </c>
      <c r="D54">
        <v>31</v>
      </c>
      <c r="E54" s="3">
        <v>0</v>
      </c>
      <c r="F54" s="3" t="s">
        <v>9</v>
      </c>
      <c r="G54" s="3" t="s">
        <v>11</v>
      </c>
      <c r="H54">
        <v>7</v>
      </c>
      <c r="I54" s="4">
        <v>29100</v>
      </c>
    </row>
    <row r="55" spans="1:9" x14ac:dyDescent="0.35">
      <c r="A55" s="1">
        <v>54</v>
      </c>
      <c r="B55">
        <v>1</v>
      </c>
      <c r="C55">
        <v>1</v>
      </c>
      <c r="D55">
        <v>64</v>
      </c>
      <c r="E55" s="3">
        <v>0</v>
      </c>
      <c r="F55" s="3" t="s">
        <v>9</v>
      </c>
      <c r="G55" s="3" t="s">
        <v>11</v>
      </c>
      <c r="H55">
        <v>8</v>
      </c>
      <c r="I55" s="4">
        <v>29650</v>
      </c>
    </row>
    <row r="56" spans="1:9" x14ac:dyDescent="0.35">
      <c r="A56" s="1">
        <v>55</v>
      </c>
      <c r="B56">
        <v>3</v>
      </c>
      <c r="C56">
        <v>1</v>
      </c>
      <c r="D56">
        <v>47</v>
      </c>
      <c r="E56" s="3">
        <v>1</v>
      </c>
      <c r="F56" s="3" t="s">
        <v>9</v>
      </c>
      <c r="G56" s="3" t="s">
        <v>11</v>
      </c>
      <c r="H56">
        <v>15</v>
      </c>
      <c r="I56" s="4">
        <v>29200</v>
      </c>
    </row>
    <row r="57" spans="1:9" x14ac:dyDescent="0.35">
      <c r="A57" s="1">
        <v>56</v>
      </c>
      <c r="B57">
        <v>3</v>
      </c>
      <c r="C57">
        <v>1</v>
      </c>
      <c r="D57">
        <v>37</v>
      </c>
      <c r="E57" s="3">
        <v>0</v>
      </c>
      <c r="F57" s="3" t="s">
        <v>12</v>
      </c>
      <c r="G57" s="3" t="s">
        <v>11</v>
      </c>
      <c r="H57">
        <v>9</v>
      </c>
      <c r="I57" s="4">
        <v>29800</v>
      </c>
    </row>
    <row r="58" spans="1:9" x14ac:dyDescent="0.35">
      <c r="A58" s="1">
        <v>57</v>
      </c>
      <c r="B58">
        <v>2</v>
      </c>
      <c r="C58">
        <v>1</v>
      </c>
      <c r="D58">
        <v>46</v>
      </c>
      <c r="E58" s="3">
        <v>0</v>
      </c>
      <c r="F58" s="3" t="s">
        <v>9</v>
      </c>
      <c r="G58" s="3" t="s">
        <v>11</v>
      </c>
      <c r="H58">
        <v>16</v>
      </c>
      <c r="I58" s="4">
        <v>33500</v>
      </c>
    </row>
    <row r="59" spans="1:9" x14ac:dyDescent="0.35">
      <c r="A59" s="1">
        <v>58</v>
      </c>
      <c r="B59">
        <v>1</v>
      </c>
      <c r="C59">
        <v>1</v>
      </c>
      <c r="D59">
        <v>55</v>
      </c>
      <c r="E59" s="3">
        <v>0</v>
      </c>
      <c r="F59" s="3" t="s">
        <v>9</v>
      </c>
      <c r="G59" s="3" t="s">
        <v>11</v>
      </c>
      <c r="H59">
        <v>8</v>
      </c>
      <c r="I59" s="4">
        <v>34000</v>
      </c>
    </row>
    <row r="60" spans="1:9" x14ac:dyDescent="0.35">
      <c r="A60" s="1">
        <v>59</v>
      </c>
      <c r="B60">
        <v>1</v>
      </c>
      <c r="C60">
        <v>1</v>
      </c>
      <c r="D60">
        <v>39</v>
      </c>
      <c r="E60" s="3">
        <v>0</v>
      </c>
      <c r="F60" s="3" t="s">
        <v>9</v>
      </c>
      <c r="G60" s="3" t="s">
        <v>11</v>
      </c>
      <c r="H60">
        <v>9</v>
      </c>
      <c r="I60" s="4">
        <v>29600</v>
      </c>
    </row>
    <row r="61" spans="1:9" x14ac:dyDescent="0.35">
      <c r="A61" s="1">
        <v>60</v>
      </c>
      <c r="B61">
        <v>3</v>
      </c>
      <c r="C61">
        <v>1</v>
      </c>
      <c r="D61">
        <v>51</v>
      </c>
      <c r="E61" s="3">
        <v>0</v>
      </c>
      <c r="F61" s="3" t="s">
        <v>9</v>
      </c>
      <c r="G61" s="3" t="s">
        <v>11</v>
      </c>
      <c r="H61">
        <v>18</v>
      </c>
      <c r="I61" s="4">
        <v>34000</v>
      </c>
    </row>
    <row r="62" spans="1:9" x14ac:dyDescent="0.35">
      <c r="A62" s="1">
        <v>61</v>
      </c>
      <c r="B62">
        <v>2</v>
      </c>
      <c r="C62">
        <v>2</v>
      </c>
      <c r="D62">
        <v>37</v>
      </c>
      <c r="E62" s="3">
        <v>8</v>
      </c>
      <c r="F62" s="3" t="s">
        <v>9</v>
      </c>
      <c r="G62" s="3" t="s">
        <v>11</v>
      </c>
      <c r="H62">
        <v>3</v>
      </c>
      <c r="I62" s="4">
        <v>37250</v>
      </c>
    </row>
    <row r="63" spans="1:9" x14ac:dyDescent="0.35">
      <c r="A63" s="1">
        <v>62</v>
      </c>
      <c r="B63">
        <v>2</v>
      </c>
      <c r="C63">
        <v>2</v>
      </c>
      <c r="D63">
        <v>30</v>
      </c>
      <c r="E63" s="3">
        <v>3</v>
      </c>
      <c r="F63" s="3" t="s">
        <v>9</v>
      </c>
      <c r="G63" s="3" t="s">
        <v>10</v>
      </c>
      <c r="H63">
        <v>6</v>
      </c>
      <c r="I63" s="4">
        <v>33000</v>
      </c>
    </row>
    <row r="64" spans="1:9" x14ac:dyDescent="0.35">
      <c r="A64" s="1">
        <v>63</v>
      </c>
      <c r="B64">
        <v>3</v>
      </c>
      <c r="C64">
        <v>2</v>
      </c>
      <c r="D64">
        <v>26</v>
      </c>
      <c r="E64" s="3">
        <v>0</v>
      </c>
      <c r="F64" s="3" t="s">
        <v>9</v>
      </c>
      <c r="G64" s="3" t="s">
        <v>11</v>
      </c>
      <c r="H64">
        <v>4</v>
      </c>
      <c r="I64" s="4">
        <v>28600</v>
      </c>
    </row>
    <row r="65" spans="1:9" x14ac:dyDescent="0.35">
      <c r="A65" s="1">
        <v>64</v>
      </c>
      <c r="B65">
        <v>5</v>
      </c>
      <c r="C65">
        <v>2</v>
      </c>
      <c r="D65">
        <v>41</v>
      </c>
      <c r="E65" s="3">
        <v>1</v>
      </c>
      <c r="F65" s="3" t="s">
        <v>12</v>
      </c>
      <c r="G65" s="3" t="s">
        <v>11</v>
      </c>
      <c r="H65">
        <v>5</v>
      </c>
      <c r="I65" s="4">
        <v>36000</v>
      </c>
    </row>
    <row r="66" spans="1:9" x14ac:dyDescent="0.35">
      <c r="A66" s="1">
        <v>65</v>
      </c>
      <c r="B66">
        <v>3</v>
      </c>
      <c r="C66">
        <v>2</v>
      </c>
      <c r="D66">
        <v>34</v>
      </c>
      <c r="E66" s="3">
        <v>4</v>
      </c>
      <c r="F66" s="3" t="s">
        <v>12</v>
      </c>
      <c r="G66" s="3" t="s">
        <v>11</v>
      </c>
      <c r="H66">
        <v>4</v>
      </c>
      <c r="I66" s="4">
        <v>37300</v>
      </c>
    </row>
    <row r="67" spans="1:9" x14ac:dyDescent="0.35">
      <c r="A67" s="1">
        <v>66</v>
      </c>
      <c r="B67">
        <v>2</v>
      </c>
      <c r="C67">
        <v>2</v>
      </c>
      <c r="D67">
        <v>57</v>
      </c>
      <c r="E67" s="3">
        <v>4</v>
      </c>
      <c r="F67" s="3" t="s">
        <v>9</v>
      </c>
      <c r="G67" s="3" t="s">
        <v>10</v>
      </c>
      <c r="H67">
        <v>7</v>
      </c>
      <c r="I67" s="4">
        <v>29900</v>
      </c>
    </row>
    <row r="68" spans="1:9" x14ac:dyDescent="0.35">
      <c r="A68" s="1">
        <v>67</v>
      </c>
      <c r="B68">
        <v>1</v>
      </c>
      <c r="C68">
        <v>2</v>
      </c>
      <c r="D68">
        <v>53</v>
      </c>
      <c r="E68" s="3">
        <v>8</v>
      </c>
      <c r="F68" s="3" t="s">
        <v>9</v>
      </c>
      <c r="G68" s="3" t="s">
        <v>11</v>
      </c>
      <c r="H68">
        <v>11</v>
      </c>
      <c r="I68" s="4">
        <v>31500</v>
      </c>
    </row>
    <row r="69" spans="1:9" x14ac:dyDescent="0.35">
      <c r="A69" s="1">
        <v>68</v>
      </c>
      <c r="B69">
        <v>3</v>
      </c>
      <c r="C69">
        <v>2</v>
      </c>
      <c r="D69">
        <v>32</v>
      </c>
      <c r="E69" s="3">
        <v>4</v>
      </c>
      <c r="F69" s="3" t="s">
        <v>12</v>
      </c>
      <c r="G69" s="3" t="s">
        <v>11</v>
      </c>
      <c r="H69">
        <v>5</v>
      </c>
      <c r="I69" s="4">
        <v>41400</v>
      </c>
    </row>
    <row r="70" spans="1:9" x14ac:dyDescent="0.35">
      <c r="A70" s="1">
        <v>69</v>
      </c>
      <c r="B70">
        <v>1</v>
      </c>
      <c r="C70">
        <v>2</v>
      </c>
      <c r="D70">
        <v>44</v>
      </c>
      <c r="E70" s="3">
        <v>5</v>
      </c>
      <c r="F70" s="3" t="s">
        <v>9</v>
      </c>
      <c r="G70" s="3" t="s">
        <v>11</v>
      </c>
      <c r="H70">
        <v>17</v>
      </c>
      <c r="I70" s="4">
        <v>32740.000000000004</v>
      </c>
    </row>
    <row r="71" spans="1:9" x14ac:dyDescent="0.35">
      <c r="A71" s="1">
        <v>70</v>
      </c>
      <c r="B71">
        <v>3</v>
      </c>
      <c r="C71">
        <v>2</v>
      </c>
      <c r="D71">
        <v>25</v>
      </c>
      <c r="E71" s="3">
        <v>1</v>
      </c>
      <c r="F71" s="3" t="s">
        <v>9</v>
      </c>
      <c r="G71" s="3" t="s">
        <v>10</v>
      </c>
      <c r="H71">
        <v>3</v>
      </c>
      <c r="I71" s="4">
        <v>33500</v>
      </c>
    </row>
    <row r="72" spans="1:9" x14ac:dyDescent="0.35">
      <c r="A72" s="1">
        <v>71</v>
      </c>
      <c r="B72">
        <v>1</v>
      </c>
      <c r="C72">
        <v>2</v>
      </c>
      <c r="D72">
        <v>31</v>
      </c>
      <c r="E72" s="3">
        <v>9</v>
      </c>
      <c r="F72" s="3" t="s">
        <v>9</v>
      </c>
      <c r="G72" s="3" t="s">
        <v>11</v>
      </c>
      <c r="H72">
        <v>5</v>
      </c>
      <c r="I72" s="4">
        <v>32000</v>
      </c>
    </row>
    <row r="73" spans="1:9" x14ac:dyDescent="0.35">
      <c r="A73" s="1">
        <v>72</v>
      </c>
      <c r="B73">
        <v>1</v>
      </c>
      <c r="C73">
        <v>2</v>
      </c>
      <c r="D73">
        <v>50</v>
      </c>
      <c r="E73" s="3">
        <v>0</v>
      </c>
      <c r="F73" s="3" t="s">
        <v>9</v>
      </c>
      <c r="G73" s="3" t="s">
        <v>11</v>
      </c>
      <c r="H73">
        <v>9</v>
      </c>
      <c r="I73" s="4">
        <v>30800</v>
      </c>
    </row>
    <row r="74" spans="1:9" x14ac:dyDescent="0.35">
      <c r="A74" s="1">
        <v>73</v>
      </c>
      <c r="B74">
        <v>5</v>
      </c>
      <c r="C74">
        <v>2</v>
      </c>
      <c r="D74">
        <v>47</v>
      </c>
      <c r="E74" s="3">
        <v>3</v>
      </c>
      <c r="F74" s="3" t="s">
        <v>12</v>
      </c>
      <c r="G74" s="3" t="s">
        <v>11</v>
      </c>
      <c r="H74">
        <v>3</v>
      </c>
      <c r="I74" s="4">
        <v>42000</v>
      </c>
    </row>
    <row r="75" spans="1:9" x14ac:dyDescent="0.35">
      <c r="A75" s="1">
        <v>74</v>
      </c>
      <c r="B75">
        <v>3</v>
      </c>
      <c r="C75">
        <v>2</v>
      </c>
      <c r="D75">
        <v>35</v>
      </c>
      <c r="E75" s="3">
        <v>0</v>
      </c>
      <c r="F75" s="3" t="s">
        <v>9</v>
      </c>
      <c r="G75" s="3" t="s">
        <v>10</v>
      </c>
      <c r="H75">
        <v>4</v>
      </c>
      <c r="I75" s="4">
        <v>34000</v>
      </c>
    </row>
    <row r="76" spans="1:9" x14ac:dyDescent="0.35">
      <c r="A76" s="1">
        <v>75</v>
      </c>
      <c r="B76">
        <v>2</v>
      </c>
      <c r="C76">
        <v>2</v>
      </c>
      <c r="D76">
        <v>43</v>
      </c>
      <c r="E76" s="3">
        <v>0</v>
      </c>
      <c r="F76" s="3" t="s">
        <v>9</v>
      </c>
      <c r="G76" s="3" t="s">
        <v>11</v>
      </c>
      <c r="H76">
        <v>16</v>
      </c>
      <c r="I76" s="4">
        <v>32500</v>
      </c>
    </row>
    <row r="77" spans="1:9" x14ac:dyDescent="0.35">
      <c r="A77" s="1">
        <v>76</v>
      </c>
      <c r="B77">
        <v>2</v>
      </c>
      <c r="C77">
        <v>2</v>
      </c>
      <c r="D77">
        <v>46</v>
      </c>
      <c r="E77" s="3">
        <v>10</v>
      </c>
      <c r="F77" s="3" t="s">
        <v>9</v>
      </c>
      <c r="G77" s="3" t="s">
        <v>11</v>
      </c>
      <c r="H77">
        <v>9</v>
      </c>
      <c r="I77" s="4">
        <v>31700</v>
      </c>
    </row>
    <row r="78" spans="1:9" x14ac:dyDescent="0.35">
      <c r="A78" s="1">
        <v>77</v>
      </c>
      <c r="B78">
        <v>5</v>
      </c>
      <c r="C78">
        <v>2</v>
      </c>
      <c r="D78">
        <v>35</v>
      </c>
      <c r="E78" s="3">
        <v>0</v>
      </c>
      <c r="F78" s="3" t="s">
        <v>9</v>
      </c>
      <c r="G78" s="3" t="s">
        <v>10</v>
      </c>
      <c r="H78">
        <v>3</v>
      </c>
      <c r="I78" s="4">
        <v>36500</v>
      </c>
    </row>
    <row r="79" spans="1:9" x14ac:dyDescent="0.35">
      <c r="A79" s="1">
        <v>78</v>
      </c>
      <c r="B79">
        <v>3</v>
      </c>
      <c r="C79">
        <v>2</v>
      </c>
      <c r="D79">
        <v>22</v>
      </c>
      <c r="E79" s="3">
        <v>0</v>
      </c>
      <c r="F79" s="3" t="s">
        <v>9</v>
      </c>
      <c r="G79" s="3" t="s">
        <v>10</v>
      </c>
      <c r="H79">
        <v>4</v>
      </c>
      <c r="I79" s="4">
        <v>33000</v>
      </c>
    </row>
    <row r="80" spans="1:9" x14ac:dyDescent="0.35">
      <c r="A80" s="1">
        <v>79</v>
      </c>
      <c r="B80">
        <v>2</v>
      </c>
      <c r="C80">
        <v>2</v>
      </c>
      <c r="D80">
        <v>58</v>
      </c>
      <c r="E80" s="3">
        <v>0</v>
      </c>
      <c r="F80" s="3" t="s">
        <v>9</v>
      </c>
      <c r="G80" s="3" t="s">
        <v>11</v>
      </c>
      <c r="H80">
        <v>8</v>
      </c>
      <c r="I80" s="4">
        <v>31200</v>
      </c>
    </row>
    <row r="81" spans="1:9" x14ac:dyDescent="0.35">
      <c r="A81" s="1">
        <v>80</v>
      </c>
      <c r="B81">
        <v>5</v>
      </c>
      <c r="C81">
        <v>2</v>
      </c>
      <c r="D81">
        <v>40</v>
      </c>
      <c r="E81" s="3">
        <v>0</v>
      </c>
      <c r="F81" s="3" t="s">
        <v>9</v>
      </c>
      <c r="G81" s="3" t="s">
        <v>11</v>
      </c>
      <c r="H81">
        <v>8</v>
      </c>
      <c r="I81" s="4">
        <v>34000</v>
      </c>
    </row>
    <row r="82" spans="1:9" x14ac:dyDescent="0.35">
      <c r="A82" s="1">
        <v>81</v>
      </c>
      <c r="B82">
        <v>3</v>
      </c>
      <c r="C82">
        <v>2</v>
      </c>
      <c r="D82">
        <v>30</v>
      </c>
      <c r="E82" s="3">
        <v>0</v>
      </c>
      <c r="F82" s="3" t="s">
        <v>9</v>
      </c>
      <c r="G82" s="3" t="s">
        <v>11</v>
      </c>
      <c r="H82">
        <v>6</v>
      </c>
      <c r="I82" s="4">
        <v>33000</v>
      </c>
    </row>
    <row r="83" spans="1:9" x14ac:dyDescent="0.35">
      <c r="A83" s="1">
        <v>82</v>
      </c>
      <c r="B83">
        <v>5</v>
      </c>
      <c r="C83">
        <v>2</v>
      </c>
      <c r="D83">
        <v>29</v>
      </c>
      <c r="E83" s="3">
        <v>4</v>
      </c>
      <c r="F83" s="3" t="s">
        <v>9</v>
      </c>
      <c r="G83" s="3" t="s">
        <v>11</v>
      </c>
      <c r="H83">
        <v>4</v>
      </c>
      <c r="I83" s="4">
        <v>33900</v>
      </c>
    </row>
    <row r="84" spans="1:9" x14ac:dyDescent="0.35">
      <c r="A84" s="1">
        <v>83</v>
      </c>
      <c r="B84">
        <v>1</v>
      </c>
      <c r="C84">
        <v>2</v>
      </c>
      <c r="D84">
        <v>31</v>
      </c>
      <c r="E84" s="3">
        <v>9</v>
      </c>
      <c r="F84" s="3" t="s">
        <v>12</v>
      </c>
      <c r="G84" s="3" t="s">
        <v>11</v>
      </c>
      <c r="H84">
        <v>3</v>
      </c>
      <c r="I84" s="4">
        <v>39000</v>
      </c>
    </row>
    <row r="85" spans="1:9" x14ac:dyDescent="0.35">
      <c r="A85" s="1">
        <v>84</v>
      </c>
      <c r="B85">
        <v>2</v>
      </c>
      <c r="C85">
        <v>2</v>
      </c>
      <c r="D85">
        <v>52</v>
      </c>
      <c r="E85" s="3">
        <v>18</v>
      </c>
      <c r="F85" s="3" t="s">
        <v>9</v>
      </c>
      <c r="G85" s="3" t="s">
        <v>10</v>
      </c>
      <c r="H85">
        <v>12</v>
      </c>
      <c r="I85" s="4">
        <v>34920</v>
      </c>
    </row>
    <row r="86" spans="1:9" x14ac:dyDescent="0.35">
      <c r="A86" s="1">
        <v>85</v>
      </c>
      <c r="B86">
        <v>5</v>
      </c>
      <c r="C86">
        <v>2</v>
      </c>
      <c r="D86">
        <v>33</v>
      </c>
      <c r="E86" s="3">
        <v>5</v>
      </c>
      <c r="F86" s="3" t="s">
        <v>9</v>
      </c>
      <c r="G86" s="3" t="s">
        <v>10</v>
      </c>
      <c r="H86">
        <v>3</v>
      </c>
      <c r="I86" s="4">
        <v>39000</v>
      </c>
    </row>
    <row r="87" spans="1:9" x14ac:dyDescent="0.35">
      <c r="A87" s="1">
        <v>86</v>
      </c>
      <c r="B87">
        <v>1</v>
      </c>
      <c r="C87">
        <v>2</v>
      </c>
      <c r="D87">
        <v>49</v>
      </c>
      <c r="E87" s="3">
        <v>0</v>
      </c>
      <c r="F87" s="3" t="s">
        <v>9</v>
      </c>
      <c r="G87" s="3" t="s">
        <v>11</v>
      </c>
      <c r="H87">
        <v>8</v>
      </c>
      <c r="I87" s="4">
        <v>34000</v>
      </c>
    </row>
    <row r="88" spans="1:9" x14ac:dyDescent="0.35">
      <c r="A88" s="1">
        <v>87</v>
      </c>
      <c r="B88">
        <v>2</v>
      </c>
      <c r="C88">
        <v>2</v>
      </c>
      <c r="D88">
        <v>34</v>
      </c>
      <c r="E88" s="3">
        <v>7</v>
      </c>
      <c r="F88" s="3" t="s">
        <v>9</v>
      </c>
      <c r="G88" s="3" t="s">
        <v>11</v>
      </c>
      <c r="H88">
        <v>6</v>
      </c>
      <c r="I88" s="4">
        <v>31900</v>
      </c>
    </row>
    <row r="89" spans="1:9" x14ac:dyDescent="0.35">
      <c r="A89" s="1">
        <v>88</v>
      </c>
      <c r="B89">
        <v>5</v>
      </c>
      <c r="C89">
        <v>2</v>
      </c>
      <c r="D89">
        <v>26</v>
      </c>
      <c r="E89" s="3">
        <v>1</v>
      </c>
      <c r="F89" s="3" t="s">
        <v>9</v>
      </c>
      <c r="G89" s="3" t="s">
        <v>10</v>
      </c>
      <c r="H89">
        <v>3</v>
      </c>
      <c r="I89" s="4">
        <v>37000</v>
      </c>
    </row>
    <row r="90" spans="1:9" x14ac:dyDescent="0.35">
      <c r="A90" s="1">
        <v>89</v>
      </c>
      <c r="B90">
        <v>5</v>
      </c>
      <c r="C90">
        <v>2</v>
      </c>
      <c r="D90">
        <v>28</v>
      </c>
      <c r="E90" s="3">
        <v>0</v>
      </c>
      <c r="F90" s="3" t="s">
        <v>9</v>
      </c>
      <c r="G90" s="3" t="s">
        <v>10</v>
      </c>
      <c r="H90">
        <v>4</v>
      </c>
      <c r="I90" s="4">
        <v>34000</v>
      </c>
    </row>
    <row r="91" spans="1:9" x14ac:dyDescent="0.35">
      <c r="A91" s="1">
        <v>90</v>
      </c>
      <c r="B91">
        <v>5</v>
      </c>
      <c r="C91">
        <v>2</v>
      </c>
      <c r="D91">
        <v>35</v>
      </c>
      <c r="E91" s="3">
        <v>2</v>
      </c>
      <c r="F91" s="3" t="s">
        <v>9</v>
      </c>
      <c r="G91" s="3" t="s">
        <v>11</v>
      </c>
      <c r="H91">
        <v>3</v>
      </c>
      <c r="I91" s="4">
        <v>36400</v>
      </c>
    </row>
    <row r="92" spans="1:9" x14ac:dyDescent="0.35">
      <c r="A92" s="1">
        <v>91</v>
      </c>
      <c r="B92">
        <v>1</v>
      </c>
      <c r="C92">
        <v>2</v>
      </c>
      <c r="D92">
        <v>47</v>
      </c>
      <c r="E92" s="3">
        <v>1</v>
      </c>
      <c r="F92" s="3" t="s">
        <v>12</v>
      </c>
      <c r="G92" s="3" t="s">
        <v>11</v>
      </c>
      <c r="H92">
        <v>15</v>
      </c>
      <c r="I92" s="4">
        <v>38200</v>
      </c>
    </row>
    <row r="93" spans="1:9" x14ac:dyDescent="0.35">
      <c r="A93" s="1">
        <v>92</v>
      </c>
      <c r="B93">
        <v>1</v>
      </c>
      <c r="C93">
        <v>2</v>
      </c>
      <c r="D93">
        <v>51</v>
      </c>
      <c r="E93" s="3">
        <v>0</v>
      </c>
      <c r="F93" s="3" t="s">
        <v>9</v>
      </c>
      <c r="G93" s="3" t="s">
        <v>11</v>
      </c>
      <c r="H93">
        <v>15</v>
      </c>
      <c r="I93" s="4">
        <v>35300</v>
      </c>
    </row>
    <row r="94" spans="1:9" x14ac:dyDescent="0.35">
      <c r="A94" s="1">
        <v>93</v>
      </c>
      <c r="B94">
        <v>3</v>
      </c>
      <c r="C94">
        <v>2</v>
      </c>
      <c r="D94">
        <v>26</v>
      </c>
      <c r="E94" s="3">
        <v>2</v>
      </c>
      <c r="F94" s="3" t="s">
        <v>9</v>
      </c>
      <c r="G94" s="3" t="s">
        <v>10</v>
      </c>
      <c r="H94">
        <v>3</v>
      </c>
      <c r="I94" s="4">
        <v>34500</v>
      </c>
    </row>
    <row r="95" spans="1:9" x14ac:dyDescent="0.35">
      <c r="A95" s="1">
        <v>94</v>
      </c>
      <c r="B95">
        <v>3</v>
      </c>
      <c r="C95">
        <v>2</v>
      </c>
      <c r="D95">
        <v>33</v>
      </c>
      <c r="E95" s="3">
        <v>0</v>
      </c>
      <c r="F95" s="3" t="s">
        <v>9</v>
      </c>
      <c r="G95" s="3" t="s">
        <v>11</v>
      </c>
      <c r="H95">
        <v>12</v>
      </c>
      <c r="I95" s="4">
        <v>30500</v>
      </c>
    </row>
    <row r="96" spans="1:9" x14ac:dyDescent="0.35">
      <c r="A96" s="1">
        <v>95</v>
      </c>
      <c r="B96">
        <v>4</v>
      </c>
      <c r="C96">
        <v>2</v>
      </c>
      <c r="D96">
        <v>27</v>
      </c>
      <c r="E96" s="3">
        <v>2</v>
      </c>
      <c r="F96" s="3" t="s">
        <v>9</v>
      </c>
      <c r="G96" s="3" t="s">
        <v>10</v>
      </c>
      <c r="H96">
        <v>2</v>
      </c>
      <c r="I96" s="4">
        <v>30000</v>
      </c>
    </row>
    <row r="97" spans="1:9" x14ac:dyDescent="0.35">
      <c r="A97" s="1">
        <v>96</v>
      </c>
      <c r="B97">
        <v>5</v>
      </c>
      <c r="C97">
        <v>2</v>
      </c>
      <c r="D97">
        <v>34</v>
      </c>
      <c r="E97" s="3">
        <v>0</v>
      </c>
      <c r="F97" s="3" t="s">
        <v>12</v>
      </c>
      <c r="G97" s="3" t="s">
        <v>11</v>
      </c>
      <c r="H97">
        <v>8</v>
      </c>
      <c r="I97" s="4">
        <v>37300</v>
      </c>
    </row>
    <row r="98" spans="1:9" x14ac:dyDescent="0.35">
      <c r="A98" s="1">
        <v>97</v>
      </c>
      <c r="B98">
        <v>4</v>
      </c>
      <c r="C98">
        <v>2</v>
      </c>
      <c r="D98">
        <v>29</v>
      </c>
      <c r="E98" s="3">
        <v>0</v>
      </c>
      <c r="F98" s="3" t="s">
        <v>9</v>
      </c>
      <c r="G98" s="3" t="s">
        <v>11</v>
      </c>
      <c r="H98">
        <v>5</v>
      </c>
      <c r="I98" s="4">
        <v>40200</v>
      </c>
    </row>
    <row r="99" spans="1:9" x14ac:dyDescent="0.35">
      <c r="A99" s="1">
        <v>98</v>
      </c>
      <c r="B99">
        <v>3</v>
      </c>
      <c r="C99">
        <v>2</v>
      </c>
      <c r="D99">
        <v>27</v>
      </c>
      <c r="E99" s="3">
        <v>0</v>
      </c>
      <c r="F99" s="3" t="s">
        <v>9</v>
      </c>
      <c r="G99" s="3" t="s">
        <v>10</v>
      </c>
      <c r="H99">
        <v>5</v>
      </c>
      <c r="I99" s="4">
        <v>35500</v>
      </c>
    </row>
    <row r="100" spans="1:9" x14ac:dyDescent="0.35">
      <c r="A100" s="1">
        <v>99</v>
      </c>
      <c r="B100">
        <v>1</v>
      </c>
      <c r="C100">
        <v>2</v>
      </c>
      <c r="D100">
        <v>43</v>
      </c>
      <c r="E100" s="3">
        <v>0</v>
      </c>
      <c r="F100" s="3" t="s">
        <v>9</v>
      </c>
      <c r="G100" s="3" t="s">
        <v>11</v>
      </c>
      <c r="H100">
        <v>11</v>
      </c>
      <c r="I100" s="4">
        <v>35000</v>
      </c>
    </row>
    <row r="101" spans="1:9" x14ac:dyDescent="0.35">
      <c r="A101" s="1">
        <v>100</v>
      </c>
      <c r="B101">
        <v>3</v>
      </c>
      <c r="C101">
        <v>2</v>
      </c>
      <c r="D101">
        <v>36</v>
      </c>
      <c r="E101" s="3">
        <v>3</v>
      </c>
      <c r="F101" s="3" t="s">
        <v>9</v>
      </c>
      <c r="G101" s="3" t="s">
        <v>11</v>
      </c>
      <c r="H101">
        <v>4</v>
      </c>
      <c r="I101" s="4">
        <v>38000</v>
      </c>
    </row>
    <row r="102" spans="1:9" x14ac:dyDescent="0.35">
      <c r="A102" s="1">
        <v>101</v>
      </c>
      <c r="B102">
        <v>1</v>
      </c>
      <c r="C102">
        <v>2</v>
      </c>
      <c r="D102">
        <v>38</v>
      </c>
      <c r="E102" s="3">
        <v>0</v>
      </c>
      <c r="F102" s="3" t="s">
        <v>9</v>
      </c>
      <c r="G102" s="3" t="s">
        <v>11</v>
      </c>
      <c r="H102">
        <v>9</v>
      </c>
      <c r="I102" s="4">
        <v>35300</v>
      </c>
    </row>
    <row r="103" spans="1:9" x14ac:dyDescent="0.35">
      <c r="A103" s="1">
        <v>102</v>
      </c>
      <c r="B103">
        <v>2</v>
      </c>
      <c r="C103">
        <v>2</v>
      </c>
      <c r="D103">
        <v>60</v>
      </c>
      <c r="E103" s="3">
        <v>0</v>
      </c>
      <c r="F103" s="3" t="s">
        <v>9</v>
      </c>
      <c r="G103" s="3" t="s">
        <v>11</v>
      </c>
      <c r="H103">
        <v>14</v>
      </c>
      <c r="I103" s="4">
        <v>34100</v>
      </c>
    </row>
    <row r="104" spans="1:9" x14ac:dyDescent="0.35">
      <c r="A104" s="1">
        <v>103</v>
      </c>
      <c r="B104">
        <v>3</v>
      </c>
      <c r="C104">
        <v>3</v>
      </c>
      <c r="D104">
        <v>43</v>
      </c>
      <c r="E104" s="3">
        <v>5</v>
      </c>
      <c r="F104" s="3" t="s">
        <v>12</v>
      </c>
      <c r="G104" s="3" t="s">
        <v>11</v>
      </c>
      <c r="H104">
        <v>4</v>
      </c>
      <c r="I104" s="4">
        <v>43200</v>
      </c>
    </row>
    <row r="105" spans="1:9" x14ac:dyDescent="0.35">
      <c r="A105" s="1">
        <v>104</v>
      </c>
      <c r="B105">
        <v>2</v>
      </c>
      <c r="C105">
        <v>3</v>
      </c>
      <c r="D105">
        <v>48</v>
      </c>
      <c r="E105" s="3">
        <v>5</v>
      </c>
      <c r="F105" s="3" t="s">
        <v>9</v>
      </c>
      <c r="G105" s="3" t="s">
        <v>11</v>
      </c>
      <c r="H105">
        <v>15</v>
      </c>
      <c r="I105" s="4">
        <v>36100</v>
      </c>
    </row>
    <row r="106" spans="1:9" x14ac:dyDescent="0.35">
      <c r="A106" s="1">
        <v>105</v>
      </c>
      <c r="B106">
        <v>5</v>
      </c>
      <c r="C106">
        <v>3</v>
      </c>
      <c r="D106">
        <v>32</v>
      </c>
      <c r="E106" s="3">
        <v>3</v>
      </c>
      <c r="F106" s="3" t="s">
        <v>9</v>
      </c>
      <c r="G106" s="3" t="s">
        <v>11</v>
      </c>
      <c r="H106">
        <v>7</v>
      </c>
      <c r="I106" s="4">
        <v>34600</v>
      </c>
    </row>
    <row r="107" spans="1:9" x14ac:dyDescent="0.35">
      <c r="A107" s="1">
        <v>106</v>
      </c>
      <c r="B107">
        <v>3</v>
      </c>
      <c r="C107">
        <v>3</v>
      </c>
      <c r="D107">
        <v>31</v>
      </c>
      <c r="E107" s="3">
        <v>0</v>
      </c>
      <c r="F107" s="3" t="s">
        <v>9</v>
      </c>
      <c r="G107" s="3" t="s">
        <v>10</v>
      </c>
      <c r="H107">
        <v>5</v>
      </c>
      <c r="I107" s="4">
        <v>36000</v>
      </c>
    </row>
    <row r="108" spans="1:9" x14ac:dyDescent="0.35">
      <c r="A108" s="1">
        <v>107</v>
      </c>
      <c r="B108">
        <v>5</v>
      </c>
      <c r="C108">
        <v>3</v>
      </c>
      <c r="D108">
        <v>29</v>
      </c>
      <c r="E108" s="3">
        <v>2</v>
      </c>
      <c r="F108" s="3" t="s">
        <v>9</v>
      </c>
      <c r="G108" s="3" t="s">
        <v>11</v>
      </c>
      <c r="H108">
        <v>7</v>
      </c>
      <c r="I108" s="4">
        <v>36200</v>
      </c>
    </row>
    <row r="109" spans="1:9" x14ac:dyDescent="0.35">
      <c r="A109" s="1">
        <v>108</v>
      </c>
      <c r="B109">
        <v>3</v>
      </c>
      <c r="C109">
        <v>3</v>
      </c>
      <c r="D109">
        <v>35</v>
      </c>
      <c r="E109" s="3">
        <v>0</v>
      </c>
      <c r="F109" s="3" t="s">
        <v>9</v>
      </c>
      <c r="G109" s="3" t="s">
        <v>11</v>
      </c>
      <c r="H109">
        <v>7</v>
      </c>
      <c r="I109" s="4">
        <v>37500</v>
      </c>
    </row>
    <row r="110" spans="1:9" x14ac:dyDescent="0.35">
      <c r="A110" s="1">
        <v>109</v>
      </c>
      <c r="B110">
        <v>3</v>
      </c>
      <c r="C110">
        <v>3</v>
      </c>
      <c r="D110">
        <v>37</v>
      </c>
      <c r="E110" s="3">
        <v>12</v>
      </c>
      <c r="F110" s="3" t="s">
        <v>9</v>
      </c>
      <c r="G110" s="3" t="s">
        <v>11</v>
      </c>
      <c r="H110">
        <v>4</v>
      </c>
      <c r="I110" s="4">
        <v>41000</v>
      </c>
    </row>
    <row r="111" spans="1:9" x14ac:dyDescent="0.35">
      <c r="A111" s="1">
        <v>110</v>
      </c>
      <c r="B111">
        <v>2</v>
      </c>
      <c r="C111">
        <v>3</v>
      </c>
      <c r="D111">
        <v>43</v>
      </c>
      <c r="E111" s="3">
        <v>0</v>
      </c>
      <c r="F111" s="3" t="s">
        <v>9</v>
      </c>
      <c r="G111" s="3" t="s">
        <v>11</v>
      </c>
      <c r="H111">
        <v>10</v>
      </c>
      <c r="I111" s="4">
        <v>35600</v>
      </c>
    </row>
    <row r="112" spans="1:9" x14ac:dyDescent="0.35">
      <c r="A112" s="1">
        <v>111</v>
      </c>
      <c r="B112">
        <v>3</v>
      </c>
      <c r="C112">
        <v>3</v>
      </c>
      <c r="D112">
        <v>33</v>
      </c>
      <c r="E112" s="3">
        <v>5</v>
      </c>
      <c r="F112" s="3" t="s">
        <v>9</v>
      </c>
      <c r="G112" s="3" t="s">
        <v>11</v>
      </c>
      <c r="H112">
        <v>5</v>
      </c>
      <c r="I112" s="4">
        <v>39800</v>
      </c>
    </row>
    <row r="113" spans="1:9" x14ac:dyDescent="0.35">
      <c r="A113" s="1">
        <v>112</v>
      </c>
      <c r="B113">
        <v>4</v>
      </c>
      <c r="C113">
        <v>3</v>
      </c>
      <c r="D113">
        <v>58</v>
      </c>
      <c r="E113" s="3">
        <v>4</v>
      </c>
      <c r="F113" s="3" t="s">
        <v>12</v>
      </c>
      <c r="G113" s="3" t="s">
        <v>11</v>
      </c>
      <c r="H113">
        <v>11</v>
      </c>
      <c r="I113" s="4">
        <v>41300</v>
      </c>
    </row>
    <row r="114" spans="1:9" x14ac:dyDescent="0.35">
      <c r="A114" s="1">
        <v>113</v>
      </c>
      <c r="B114">
        <v>3</v>
      </c>
      <c r="C114">
        <v>3</v>
      </c>
      <c r="D114">
        <v>44</v>
      </c>
      <c r="E114" s="3">
        <v>7</v>
      </c>
      <c r="F114" s="3" t="s">
        <v>9</v>
      </c>
      <c r="G114" s="3" t="s">
        <v>11</v>
      </c>
      <c r="H114">
        <v>9</v>
      </c>
      <c r="I114" s="4">
        <v>42500</v>
      </c>
    </row>
    <row r="115" spans="1:9" x14ac:dyDescent="0.35">
      <c r="A115" s="1">
        <v>114</v>
      </c>
      <c r="B115">
        <v>3</v>
      </c>
      <c r="C115">
        <v>3</v>
      </c>
      <c r="D115">
        <v>37</v>
      </c>
      <c r="E115" s="3">
        <v>8</v>
      </c>
      <c r="F115" s="3" t="s">
        <v>12</v>
      </c>
      <c r="G115" s="3" t="s">
        <v>11</v>
      </c>
      <c r="H115">
        <v>4</v>
      </c>
      <c r="I115" s="4">
        <v>45800</v>
      </c>
    </row>
    <row r="116" spans="1:9" x14ac:dyDescent="0.35">
      <c r="A116" s="1">
        <v>115</v>
      </c>
      <c r="B116">
        <v>5</v>
      </c>
      <c r="C116">
        <v>3</v>
      </c>
      <c r="D116">
        <v>48</v>
      </c>
      <c r="E116" s="3">
        <v>6</v>
      </c>
      <c r="F116" s="3" t="s">
        <v>9</v>
      </c>
      <c r="G116" s="3" t="s">
        <v>11</v>
      </c>
      <c r="H116">
        <v>5</v>
      </c>
      <c r="I116" s="4">
        <v>34900</v>
      </c>
    </row>
    <row r="117" spans="1:9" x14ac:dyDescent="0.35">
      <c r="A117" s="1">
        <v>116</v>
      </c>
      <c r="B117">
        <v>5</v>
      </c>
      <c r="C117">
        <v>3</v>
      </c>
      <c r="D117">
        <v>26</v>
      </c>
      <c r="E117" s="3">
        <v>0</v>
      </c>
      <c r="F117" s="3" t="s">
        <v>9</v>
      </c>
      <c r="G117" s="3" t="s">
        <v>10</v>
      </c>
      <c r="H117">
        <v>4</v>
      </c>
      <c r="I117" s="4">
        <v>41500</v>
      </c>
    </row>
    <row r="118" spans="1:9" x14ac:dyDescent="0.35">
      <c r="A118" s="1">
        <v>117</v>
      </c>
      <c r="B118">
        <v>3</v>
      </c>
      <c r="C118">
        <v>3</v>
      </c>
      <c r="D118">
        <v>25</v>
      </c>
      <c r="E118" s="3">
        <v>0</v>
      </c>
      <c r="F118" s="3" t="s">
        <v>9</v>
      </c>
      <c r="G118" s="3" t="s">
        <v>11</v>
      </c>
      <c r="H118">
        <v>5</v>
      </c>
      <c r="I118" s="4">
        <v>38000</v>
      </c>
    </row>
    <row r="119" spans="1:9" x14ac:dyDescent="0.35">
      <c r="A119" s="1">
        <v>118</v>
      </c>
      <c r="B119">
        <v>4</v>
      </c>
      <c r="C119">
        <v>3</v>
      </c>
      <c r="D119">
        <v>38</v>
      </c>
      <c r="E119" s="3">
        <v>0</v>
      </c>
      <c r="F119" s="3" t="s">
        <v>9</v>
      </c>
      <c r="G119" s="3" t="s">
        <v>11</v>
      </c>
      <c r="H119">
        <v>6</v>
      </c>
      <c r="I119" s="4">
        <v>35000</v>
      </c>
    </row>
    <row r="120" spans="1:9" x14ac:dyDescent="0.35">
      <c r="A120" s="1">
        <v>119</v>
      </c>
      <c r="B120">
        <v>3</v>
      </c>
      <c r="C120">
        <v>3</v>
      </c>
      <c r="D120">
        <v>41</v>
      </c>
      <c r="E120" s="3">
        <v>0</v>
      </c>
      <c r="F120" s="3" t="s">
        <v>9</v>
      </c>
      <c r="G120" s="3" t="s">
        <v>11</v>
      </c>
      <c r="H120">
        <v>6</v>
      </c>
      <c r="I120" s="4">
        <v>40000</v>
      </c>
    </row>
    <row r="121" spans="1:9" x14ac:dyDescent="0.35">
      <c r="A121" s="1">
        <v>120</v>
      </c>
      <c r="B121">
        <v>3</v>
      </c>
      <c r="C121">
        <v>3</v>
      </c>
      <c r="D121">
        <v>29</v>
      </c>
      <c r="E121" s="3">
        <v>0</v>
      </c>
      <c r="F121" s="3" t="s">
        <v>9</v>
      </c>
      <c r="G121" s="3" t="s">
        <v>10</v>
      </c>
      <c r="H121">
        <v>5</v>
      </c>
      <c r="I121" s="4">
        <v>36000</v>
      </c>
    </row>
    <row r="122" spans="1:9" x14ac:dyDescent="0.35">
      <c r="A122" s="1">
        <v>121</v>
      </c>
      <c r="B122">
        <v>2</v>
      </c>
      <c r="C122">
        <v>3</v>
      </c>
      <c r="D122">
        <v>59</v>
      </c>
      <c r="E122" s="3">
        <v>0</v>
      </c>
      <c r="F122" s="3" t="s">
        <v>9</v>
      </c>
      <c r="G122" s="3" t="s">
        <v>11</v>
      </c>
      <c r="H122">
        <v>9</v>
      </c>
      <c r="I122" s="4">
        <v>33700</v>
      </c>
    </row>
    <row r="123" spans="1:9" x14ac:dyDescent="0.35">
      <c r="A123" s="1">
        <v>122</v>
      </c>
      <c r="B123">
        <v>2</v>
      </c>
      <c r="C123">
        <v>3</v>
      </c>
      <c r="D123">
        <v>29</v>
      </c>
      <c r="E123" s="3">
        <v>4</v>
      </c>
      <c r="F123" s="3" t="s">
        <v>9</v>
      </c>
      <c r="G123" s="3" t="s">
        <v>10</v>
      </c>
      <c r="H123">
        <v>5</v>
      </c>
      <c r="I123" s="4">
        <v>36300</v>
      </c>
    </row>
    <row r="124" spans="1:9" x14ac:dyDescent="0.35">
      <c r="A124" s="1">
        <v>123</v>
      </c>
      <c r="B124">
        <v>3</v>
      </c>
      <c r="C124">
        <v>3</v>
      </c>
      <c r="D124">
        <v>27</v>
      </c>
      <c r="E124" s="3">
        <v>2</v>
      </c>
      <c r="F124" s="3" t="s">
        <v>12</v>
      </c>
      <c r="G124" s="3" t="s">
        <v>11</v>
      </c>
      <c r="H124">
        <v>3</v>
      </c>
      <c r="I124" s="4">
        <v>38000</v>
      </c>
    </row>
    <row r="125" spans="1:9" x14ac:dyDescent="0.35">
      <c r="A125" s="1">
        <v>124</v>
      </c>
      <c r="B125">
        <v>5</v>
      </c>
      <c r="C125">
        <v>3</v>
      </c>
      <c r="D125">
        <v>30</v>
      </c>
      <c r="E125" s="3">
        <v>0</v>
      </c>
      <c r="F125" s="3" t="s">
        <v>9</v>
      </c>
      <c r="G125" s="3" t="s">
        <v>11</v>
      </c>
      <c r="H125">
        <v>4</v>
      </c>
      <c r="I125" s="4">
        <v>39500</v>
      </c>
    </row>
    <row r="126" spans="1:9" x14ac:dyDescent="0.35">
      <c r="A126" s="1">
        <v>125</v>
      </c>
      <c r="B126">
        <v>2</v>
      </c>
      <c r="C126">
        <v>3</v>
      </c>
      <c r="D126">
        <v>34</v>
      </c>
      <c r="E126" s="3">
        <v>5</v>
      </c>
      <c r="F126" s="3" t="s">
        <v>9</v>
      </c>
      <c r="G126" s="3" t="s">
        <v>11</v>
      </c>
      <c r="H126">
        <v>7</v>
      </c>
      <c r="I126" s="4">
        <v>36300</v>
      </c>
    </row>
    <row r="127" spans="1:9" x14ac:dyDescent="0.35">
      <c r="A127" s="1">
        <v>126</v>
      </c>
      <c r="B127">
        <v>3</v>
      </c>
      <c r="C127">
        <v>3</v>
      </c>
      <c r="D127">
        <v>35</v>
      </c>
      <c r="E127" s="3">
        <v>2</v>
      </c>
      <c r="F127" s="3" t="s">
        <v>9</v>
      </c>
      <c r="G127" s="3" t="s">
        <v>11</v>
      </c>
      <c r="H127">
        <v>8</v>
      </c>
      <c r="I127" s="4">
        <v>32500</v>
      </c>
    </row>
    <row r="128" spans="1:9" x14ac:dyDescent="0.35">
      <c r="A128" s="1">
        <v>127</v>
      </c>
      <c r="B128">
        <v>2</v>
      </c>
      <c r="C128">
        <v>3</v>
      </c>
      <c r="D128">
        <v>50</v>
      </c>
      <c r="E128" s="3">
        <v>6</v>
      </c>
      <c r="F128" s="3" t="s">
        <v>9</v>
      </c>
      <c r="G128" s="3" t="s">
        <v>11</v>
      </c>
      <c r="H128">
        <v>12</v>
      </c>
      <c r="I128" s="4">
        <v>37000</v>
      </c>
    </row>
    <row r="129" spans="1:9" x14ac:dyDescent="0.35">
      <c r="A129" s="1">
        <v>128</v>
      </c>
      <c r="B129">
        <v>5</v>
      </c>
      <c r="C129">
        <v>3</v>
      </c>
      <c r="D129">
        <v>33</v>
      </c>
      <c r="E129" s="3">
        <v>1</v>
      </c>
      <c r="F129" s="3" t="s">
        <v>9</v>
      </c>
      <c r="G129" s="3" t="s">
        <v>11</v>
      </c>
      <c r="H129">
        <v>3</v>
      </c>
      <c r="I129" s="4">
        <v>32600</v>
      </c>
    </row>
    <row r="130" spans="1:9" x14ac:dyDescent="0.35">
      <c r="A130" s="1">
        <v>129</v>
      </c>
      <c r="B130">
        <v>3</v>
      </c>
      <c r="C130">
        <v>3</v>
      </c>
      <c r="D130">
        <v>26</v>
      </c>
      <c r="E130" s="3">
        <v>0</v>
      </c>
      <c r="F130" s="3" t="s">
        <v>9</v>
      </c>
      <c r="G130" s="3" t="s">
        <v>11</v>
      </c>
      <c r="H130">
        <v>4</v>
      </c>
      <c r="I130" s="4">
        <v>36000</v>
      </c>
    </row>
    <row r="131" spans="1:9" x14ac:dyDescent="0.35">
      <c r="A131" s="1">
        <v>130</v>
      </c>
      <c r="B131">
        <v>5</v>
      </c>
      <c r="C131">
        <v>3</v>
      </c>
      <c r="D131">
        <v>36</v>
      </c>
      <c r="E131" s="3">
        <v>0</v>
      </c>
      <c r="F131" s="3" t="s">
        <v>9</v>
      </c>
      <c r="G131" s="3" t="s">
        <v>11</v>
      </c>
      <c r="H131">
        <v>3</v>
      </c>
      <c r="I131" s="4">
        <v>35000</v>
      </c>
    </row>
    <row r="132" spans="1:9" x14ac:dyDescent="0.35">
      <c r="A132" s="1">
        <v>131</v>
      </c>
      <c r="B132">
        <v>5</v>
      </c>
      <c r="C132">
        <v>3</v>
      </c>
      <c r="D132">
        <v>33</v>
      </c>
      <c r="E132" s="3">
        <v>5</v>
      </c>
      <c r="F132" s="3" t="s">
        <v>12</v>
      </c>
      <c r="G132" s="3" t="s">
        <v>11</v>
      </c>
      <c r="H132">
        <v>3</v>
      </c>
      <c r="I132" s="4">
        <v>43600</v>
      </c>
    </row>
    <row r="133" spans="1:9" x14ac:dyDescent="0.35">
      <c r="A133" s="1">
        <v>132</v>
      </c>
      <c r="B133">
        <v>3</v>
      </c>
      <c r="C133">
        <v>3</v>
      </c>
      <c r="D133">
        <v>47</v>
      </c>
      <c r="E133" s="3">
        <v>0</v>
      </c>
      <c r="F133" s="3" t="s">
        <v>9</v>
      </c>
      <c r="G133" s="3" t="s">
        <v>11</v>
      </c>
      <c r="H133">
        <v>8</v>
      </c>
      <c r="I133" s="4">
        <v>33800</v>
      </c>
    </row>
    <row r="134" spans="1:9" x14ac:dyDescent="0.35">
      <c r="A134" s="1">
        <v>133</v>
      </c>
      <c r="B134">
        <v>1</v>
      </c>
      <c r="C134">
        <v>3</v>
      </c>
      <c r="D134">
        <v>51</v>
      </c>
      <c r="E134" s="3">
        <v>0</v>
      </c>
      <c r="F134" s="3" t="s">
        <v>9</v>
      </c>
      <c r="G134" s="3" t="s">
        <v>11</v>
      </c>
      <c r="H134">
        <v>21</v>
      </c>
      <c r="I134" s="4">
        <v>35300</v>
      </c>
    </row>
    <row r="135" spans="1:9" x14ac:dyDescent="0.35">
      <c r="A135" s="1">
        <v>134</v>
      </c>
      <c r="B135">
        <v>1</v>
      </c>
      <c r="C135">
        <v>3</v>
      </c>
      <c r="D135">
        <v>42</v>
      </c>
      <c r="E135" s="3">
        <v>6</v>
      </c>
      <c r="F135" s="3" t="s">
        <v>9</v>
      </c>
      <c r="G135" s="3" t="s">
        <v>11</v>
      </c>
      <c r="H135">
        <v>16</v>
      </c>
      <c r="I135" s="4">
        <v>42400</v>
      </c>
    </row>
    <row r="136" spans="1:9" x14ac:dyDescent="0.35">
      <c r="A136" s="1">
        <v>135</v>
      </c>
      <c r="B136">
        <v>5</v>
      </c>
      <c r="C136">
        <v>3</v>
      </c>
      <c r="D136">
        <v>31</v>
      </c>
      <c r="E136" s="3">
        <v>0</v>
      </c>
      <c r="F136" s="3" t="s">
        <v>9</v>
      </c>
      <c r="G136" s="3" t="s">
        <v>10</v>
      </c>
      <c r="H136">
        <v>5</v>
      </c>
      <c r="I136" s="4">
        <v>39500</v>
      </c>
    </row>
    <row r="137" spans="1:9" x14ac:dyDescent="0.35">
      <c r="A137" s="1">
        <v>136</v>
      </c>
      <c r="B137">
        <v>2</v>
      </c>
      <c r="C137">
        <v>3</v>
      </c>
      <c r="D137">
        <v>62</v>
      </c>
      <c r="E137" s="3">
        <v>10</v>
      </c>
      <c r="F137" s="3" t="s">
        <v>9</v>
      </c>
      <c r="G137" s="3" t="s">
        <v>11</v>
      </c>
      <c r="H137">
        <v>25</v>
      </c>
      <c r="I137" s="4">
        <v>43500</v>
      </c>
    </row>
    <row r="138" spans="1:9" x14ac:dyDescent="0.35">
      <c r="A138" s="1">
        <v>137</v>
      </c>
      <c r="B138">
        <v>5</v>
      </c>
      <c r="C138">
        <v>3</v>
      </c>
      <c r="D138">
        <v>46</v>
      </c>
      <c r="E138" s="3">
        <v>1</v>
      </c>
      <c r="F138" s="3" t="s">
        <v>9</v>
      </c>
      <c r="G138" s="3" t="s">
        <v>10</v>
      </c>
      <c r="H138">
        <v>6</v>
      </c>
      <c r="I138" s="4">
        <v>42000</v>
      </c>
    </row>
    <row r="139" spans="1:9" x14ac:dyDescent="0.35">
      <c r="A139" s="1">
        <v>138</v>
      </c>
      <c r="B139">
        <v>3</v>
      </c>
      <c r="C139">
        <v>3</v>
      </c>
      <c r="D139">
        <v>60</v>
      </c>
      <c r="E139" s="3">
        <v>9</v>
      </c>
      <c r="F139" s="3" t="s">
        <v>9</v>
      </c>
      <c r="G139" s="3" t="s">
        <v>11</v>
      </c>
      <c r="H139">
        <v>21</v>
      </c>
      <c r="I139" s="4">
        <v>40300</v>
      </c>
    </row>
    <row r="140" spans="1:9" x14ac:dyDescent="0.35">
      <c r="A140" s="1">
        <v>139</v>
      </c>
      <c r="B140">
        <v>4</v>
      </c>
      <c r="C140">
        <v>3</v>
      </c>
      <c r="D140">
        <v>43</v>
      </c>
      <c r="E140" s="3">
        <v>5</v>
      </c>
      <c r="F140" s="3" t="s">
        <v>9</v>
      </c>
      <c r="G140" s="3" t="s">
        <v>10</v>
      </c>
      <c r="H140">
        <v>6</v>
      </c>
      <c r="I140" s="4">
        <v>44000</v>
      </c>
    </row>
    <row r="141" spans="1:9" x14ac:dyDescent="0.35">
      <c r="A141" s="1">
        <v>140</v>
      </c>
      <c r="B141">
        <v>1</v>
      </c>
      <c r="C141">
        <v>3</v>
      </c>
      <c r="D141">
        <v>53</v>
      </c>
      <c r="E141" s="3">
        <v>2</v>
      </c>
      <c r="F141" s="3" t="s">
        <v>9</v>
      </c>
      <c r="G141" s="3" t="s">
        <v>11</v>
      </c>
      <c r="H141">
        <v>25</v>
      </c>
      <c r="I141" s="4">
        <v>40660</v>
      </c>
    </row>
    <row r="142" spans="1:9" x14ac:dyDescent="0.35">
      <c r="A142" s="1">
        <v>141</v>
      </c>
      <c r="B142">
        <v>3</v>
      </c>
      <c r="C142">
        <v>3</v>
      </c>
      <c r="D142">
        <v>38</v>
      </c>
      <c r="E142" s="3">
        <v>1</v>
      </c>
      <c r="F142" s="3" t="s">
        <v>9</v>
      </c>
      <c r="G142" s="3" t="s">
        <v>11</v>
      </c>
      <c r="H142">
        <v>13</v>
      </c>
      <c r="I142" s="4">
        <v>39700</v>
      </c>
    </row>
    <row r="143" spans="1:9" x14ac:dyDescent="0.35">
      <c r="A143" s="1">
        <v>142</v>
      </c>
      <c r="B143">
        <v>5</v>
      </c>
      <c r="C143">
        <v>3</v>
      </c>
      <c r="D143">
        <v>39</v>
      </c>
      <c r="E143" s="3">
        <v>5</v>
      </c>
      <c r="F143" s="3" t="s">
        <v>9</v>
      </c>
      <c r="G143" s="3" t="s">
        <v>11</v>
      </c>
      <c r="H143">
        <v>6</v>
      </c>
      <c r="I143" s="4">
        <v>45000</v>
      </c>
    </row>
    <row r="144" spans="1:9" x14ac:dyDescent="0.35">
      <c r="A144" s="1">
        <v>143</v>
      </c>
      <c r="B144">
        <v>5</v>
      </c>
      <c r="C144">
        <v>3</v>
      </c>
      <c r="D144">
        <v>35</v>
      </c>
      <c r="E144" s="3">
        <v>0</v>
      </c>
      <c r="F144" s="3" t="s">
        <v>9</v>
      </c>
      <c r="G144" s="3" t="s">
        <v>11</v>
      </c>
      <c r="H144">
        <v>7</v>
      </c>
      <c r="I144" s="4">
        <v>43900</v>
      </c>
    </row>
    <row r="145" spans="1:9" x14ac:dyDescent="0.35">
      <c r="A145" s="1">
        <v>144</v>
      </c>
      <c r="B145">
        <v>4</v>
      </c>
      <c r="C145">
        <v>3</v>
      </c>
      <c r="D145">
        <v>40</v>
      </c>
      <c r="E145" s="3">
        <v>3</v>
      </c>
      <c r="F145" s="3" t="s">
        <v>9</v>
      </c>
      <c r="G145" s="3" t="s">
        <v>11</v>
      </c>
      <c r="H145">
        <v>8</v>
      </c>
      <c r="I145" s="4">
        <v>38000</v>
      </c>
    </row>
    <row r="146" spans="1:9" x14ac:dyDescent="0.35">
      <c r="A146" s="1">
        <v>145</v>
      </c>
      <c r="B146">
        <v>5</v>
      </c>
      <c r="C146">
        <v>3</v>
      </c>
      <c r="D146">
        <v>32</v>
      </c>
      <c r="E146" s="3">
        <v>3</v>
      </c>
      <c r="F146" s="3" t="s">
        <v>9</v>
      </c>
      <c r="G146" s="3" t="s">
        <v>11</v>
      </c>
      <c r="H146">
        <v>5</v>
      </c>
      <c r="I146" s="4">
        <v>39020</v>
      </c>
    </row>
    <row r="147" spans="1:9" x14ac:dyDescent="0.35">
      <c r="A147" s="1">
        <v>146</v>
      </c>
      <c r="B147">
        <v>5</v>
      </c>
      <c r="C147">
        <v>4</v>
      </c>
      <c r="D147">
        <v>33</v>
      </c>
      <c r="E147" s="3">
        <v>3</v>
      </c>
      <c r="F147" s="3" t="s">
        <v>9</v>
      </c>
      <c r="G147" s="3" t="s">
        <v>10</v>
      </c>
      <c r="H147">
        <v>5</v>
      </c>
      <c r="I147" s="4">
        <v>44500</v>
      </c>
    </row>
    <row r="148" spans="1:9" x14ac:dyDescent="0.35">
      <c r="A148" s="1">
        <v>147</v>
      </c>
      <c r="B148">
        <v>5</v>
      </c>
      <c r="C148">
        <v>4</v>
      </c>
      <c r="D148">
        <v>30</v>
      </c>
      <c r="E148" s="3">
        <v>1</v>
      </c>
      <c r="F148" s="3" t="s">
        <v>9</v>
      </c>
      <c r="G148" s="3" t="s">
        <v>10</v>
      </c>
      <c r="H148">
        <v>4</v>
      </c>
      <c r="I148" s="4">
        <v>41000</v>
      </c>
    </row>
    <row r="149" spans="1:9" x14ac:dyDescent="0.35">
      <c r="A149" s="1">
        <v>148</v>
      </c>
      <c r="B149">
        <v>5</v>
      </c>
      <c r="C149">
        <v>4</v>
      </c>
      <c r="D149">
        <v>37</v>
      </c>
      <c r="E149" s="3">
        <v>3</v>
      </c>
      <c r="F149" s="3" t="s">
        <v>9</v>
      </c>
      <c r="G149" s="3" t="s">
        <v>10</v>
      </c>
      <c r="H149">
        <v>6</v>
      </c>
      <c r="I149" s="4">
        <v>44000</v>
      </c>
    </row>
    <row r="150" spans="1:9" x14ac:dyDescent="0.35">
      <c r="A150" s="1">
        <v>149</v>
      </c>
      <c r="B150">
        <v>5</v>
      </c>
      <c r="C150">
        <v>4</v>
      </c>
      <c r="D150">
        <v>30</v>
      </c>
      <c r="E150" s="3">
        <v>0</v>
      </c>
      <c r="F150" s="3" t="s">
        <v>9</v>
      </c>
      <c r="G150" s="3" t="s">
        <v>10</v>
      </c>
      <c r="H150">
        <v>6</v>
      </c>
      <c r="I150" s="4">
        <v>44000</v>
      </c>
    </row>
    <row r="151" spans="1:9" x14ac:dyDescent="0.35">
      <c r="A151" s="1">
        <v>150</v>
      </c>
      <c r="B151">
        <v>5</v>
      </c>
      <c r="C151">
        <v>4</v>
      </c>
      <c r="D151">
        <v>32</v>
      </c>
      <c r="E151" s="3">
        <v>4</v>
      </c>
      <c r="F151" s="3" t="s">
        <v>9</v>
      </c>
      <c r="G151" s="3" t="s">
        <v>11</v>
      </c>
      <c r="H151">
        <v>5</v>
      </c>
      <c r="I151" s="4">
        <v>42500</v>
      </c>
    </row>
    <row r="152" spans="1:9" x14ac:dyDescent="0.35">
      <c r="A152" s="1">
        <v>151</v>
      </c>
      <c r="B152">
        <v>5</v>
      </c>
      <c r="C152">
        <v>4</v>
      </c>
      <c r="D152">
        <v>37</v>
      </c>
      <c r="E152" s="3">
        <v>3</v>
      </c>
      <c r="F152" s="3" t="s">
        <v>9</v>
      </c>
      <c r="G152" s="3" t="s">
        <v>11</v>
      </c>
      <c r="H152">
        <v>7</v>
      </c>
      <c r="I152" s="4">
        <v>40260</v>
      </c>
    </row>
    <row r="153" spans="1:9" x14ac:dyDescent="0.35">
      <c r="A153" s="1">
        <v>152</v>
      </c>
      <c r="B153">
        <v>5</v>
      </c>
      <c r="C153">
        <v>4</v>
      </c>
      <c r="D153">
        <v>29</v>
      </c>
      <c r="E153" s="3">
        <v>1</v>
      </c>
      <c r="F153" s="3" t="s">
        <v>9</v>
      </c>
      <c r="G153" s="3" t="s">
        <v>10</v>
      </c>
      <c r="H153">
        <v>5</v>
      </c>
      <c r="I153" s="4">
        <v>44500</v>
      </c>
    </row>
    <row r="154" spans="1:9" x14ac:dyDescent="0.35">
      <c r="A154" s="1">
        <v>153</v>
      </c>
      <c r="B154">
        <v>1</v>
      </c>
      <c r="C154">
        <v>4</v>
      </c>
      <c r="D154">
        <v>50</v>
      </c>
      <c r="E154" s="3">
        <v>9</v>
      </c>
      <c r="F154" s="3" t="s">
        <v>9</v>
      </c>
      <c r="G154" s="3" t="s">
        <v>11</v>
      </c>
      <c r="H154">
        <v>13</v>
      </c>
      <c r="I154" s="4">
        <v>35500</v>
      </c>
    </row>
    <row r="155" spans="1:9" x14ac:dyDescent="0.35">
      <c r="A155" s="1">
        <v>154</v>
      </c>
      <c r="B155">
        <v>5</v>
      </c>
      <c r="C155">
        <v>4</v>
      </c>
      <c r="D155">
        <v>29</v>
      </c>
      <c r="E155" s="3">
        <v>0</v>
      </c>
      <c r="F155" s="3" t="s">
        <v>9</v>
      </c>
      <c r="G155" s="3" t="s">
        <v>10</v>
      </c>
      <c r="H155">
        <v>6</v>
      </c>
      <c r="I155" s="4">
        <v>42500</v>
      </c>
    </row>
    <row r="156" spans="1:9" x14ac:dyDescent="0.35">
      <c r="A156" s="1">
        <v>155</v>
      </c>
      <c r="B156">
        <v>5</v>
      </c>
      <c r="C156">
        <v>4</v>
      </c>
      <c r="D156">
        <v>32</v>
      </c>
      <c r="E156" s="3">
        <v>0</v>
      </c>
      <c r="F156" s="3" t="s">
        <v>9</v>
      </c>
      <c r="G156" s="3" t="s">
        <v>11</v>
      </c>
      <c r="H156">
        <v>7</v>
      </c>
      <c r="I156" s="4">
        <v>44000</v>
      </c>
    </row>
    <row r="157" spans="1:9" x14ac:dyDescent="0.35">
      <c r="A157" s="1">
        <v>156</v>
      </c>
      <c r="B157">
        <v>5</v>
      </c>
      <c r="C157">
        <v>4</v>
      </c>
      <c r="D157">
        <v>31</v>
      </c>
      <c r="E157" s="3">
        <v>2</v>
      </c>
      <c r="F157" s="3" t="s">
        <v>9</v>
      </c>
      <c r="G157" s="3" t="s">
        <v>10</v>
      </c>
      <c r="H157">
        <v>6</v>
      </c>
      <c r="I157" s="4">
        <v>45000</v>
      </c>
    </row>
    <row r="158" spans="1:9" x14ac:dyDescent="0.35">
      <c r="A158" s="1">
        <v>157</v>
      </c>
      <c r="B158">
        <v>2</v>
      </c>
      <c r="C158">
        <v>4</v>
      </c>
      <c r="D158">
        <v>47</v>
      </c>
      <c r="E158" s="3">
        <v>4</v>
      </c>
      <c r="F158" s="3" t="s">
        <v>9</v>
      </c>
      <c r="G158" s="3" t="s">
        <v>11</v>
      </c>
      <c r="H158">
        <v>15</v>
      </c>
      <c r="I158" s="4">
        <v>44400</v>
      </c>
    </row>
    <row r="159" spans="1:9" x14ac:dyDescent="0.35">
      <c r="A159" s="1">
        <v>158</v>
      </c>
      <c r="B159">
        <v>3</v>
      </c>
      <c r="C159">
        <v>4</v>
      </c>
      <c r="D159">
        <v>44</v>
      </c>
      <c r="E159" s="3">
        <v>0</v>
      </c>
      <c r="F159" s="3" t="s">
        <v>9</v>
      </c>
      <c r="G159" s="3" t="s">
        <v>11</v>
      </c>
      <c r="H159">
        <v>17</v>
      </c>
      <c r="I159" s="4">
        <v>38000</v>
      </c>
    </row>
    <row r="160" spans="1:9" x14ac:dyDescent="0.35">
      <c r="A160" s="1">
        <v>159</v>
      </c>
      <c r="B160">
        <v>5</v>
      </c>
      <c r="C160">
        <v>4</v>
      </c>
      <c r="D160">
        <v>27</v>
      </c>
      <c r="E160" s="3">
        <v>0</v>
      </c>
      <c r="F160" s="3" t="s">
        <v>9</v>
      </c>
      <c r="G160" s="3" t="s">
        <v>10</v>
      </c>
      <c r="H160">
        <v>4</v>
      </c>
      <c r="I160" s="4">
        <v>41800</v>
      </c>
    </row>
    <row r="161" spans="1:9" x14ac:dyDescent="0.35">
      <c r="A161" s="1">
        <v>160</v>
      </c>
      <c r="B161">
        <v>1</v>
      </c>
      <c r="C161">
        <v>4</v>
      </c>
      <c r="D161">
        <v>55</v>
      </c>
      <c r="E161" s="3">
        <v>0</v>
      </c>
      <c r="F161" s="3" t="s">
        <v>9</v>
      </c>
      <c r="G161" s="3" t="s">
        <v>10</v>
      </c>
      <c r="H161">
        <v>23</v>
      </c>
      <c r="I161" s="4">
        <v>45500</v>
      </c>
    </row>
    <row r="162" spans="1:9" x14ac:dyDescent="0.35">
      <c r="A162" s="1">
        <v>161</v>
      </c>
      <c r="B162">
        <v>3</v>
      </c>
      <c r="C162">
        <v>4</v>
      </c>
      <c r="D162">
        <v>52</v>
      </c>
      <c r="E162" s="3">
        <v>4</v>
      </c>
      <c r="F162" s="3" t="s">
        <v>9</v>
      </c>
      <c r="G162" s="3" t="s">
        <v>10</v>
      </c>
      <c r="H162">
        <v>5</v>
      </c>
      <c r="I162" s="4">
        <v>42500</v>
      </c>
    </row>
    <row r="163" spans="1:9" x14ac:dyDescent="0.35">
      <c r="A163" s="1">
        <v>162</v>
      </c>
      <c r="B163">
        <v>5</v>
      </c>
      <c r="C163">
        <v>4</v>
      </c>
      <c r="D163">
        <v>50</v>
      </c>
      <c r="E163" s="3">
        <v>12</v>
      </c>
      <c r="F163" s="3" t="s">
        <v>9</v>
      </c>
      <c r="G163" s="3" t="s">
        <v>11</v>
      </c>
      <c r="H163">
        <v>3</v>
      </c>
      <c r="I163" s="4">
        <v>44000</v>
      </c>
    </row>
    <row r="164" spans="1:9" x14ac:dyDescent="0.35">
      <c r="A164" s="1">
        <v>163</v>
      </c>
      <c r="B164">
        <v>3</v>
      </c>
      <c r="C164">
        <v>4</v>
      </c>
      <c r="D164">
        <v>59</v>
      </c>
      <c r="E164" s="3">
        <v>8</v>
      </c>
      <c r="F164" s="3" t="s">
        <v>12</v>
      </c>
      <c r="G164" s="3" t="s">
        <v>11</v>
      </c>
      <c r="H164">
        <v>19</v>
      </c>
      <c r="I164" s="4">
        <v>54300</v>
      </c>
    </row>
    <row r="165" spans="1:9" x14ac:dyDescent="0.35">
      <c r="A165" s="1">
        <v>164</v>
      </c>
      <c r="B165">
        <v>3</v>
      </c>
      <c r="C165">
        <v>4</v>
      </c>
      <c r="D165">
        <v>47</v>
      </c>
      <c r="E165" s="3">
        <v>0</v>
      </c>
      <c r="F165" s="3" t="s">
        <v>9</v>
      </c>
      <c r="G165" s="3" t="s">
        <v>11</v>
      </c>
      <c r="H165">
        <v>26</v>
      </c>
      <c r="I165" s="4">
        <v>44800</v>
      </c>
    </row>
    <row r="166" spans="1:9" x14ac:dyDescent="0.35">
      <c r="A166" s="1">
        <v>165</v>
      </c>
      <c r="B166">
        <v>3</v>
      </c>
      <c r="C166">
        <v>4</v>
      </c>
      <c r="D166">
        <v>43</v>
      </c>
      <c r="E166" s="3">
        <v>4</v>
      </c>
      <c r="F166" s="3" t="s">
        <v>9</v>
      </c>
      <c r="G166" s="3" t="s">
        <v>10</v>
      </c>
      <c r="H166">
        <v>6</v>
      </c>
      <c r="I166" s="4">
        <v>47000</v>
      </c>
    </row>
    <row r="167" spans="1:9" x14ac:dyDescent="0.35">
      <c r="A167" s="1">
        <v>166</v>
      </c>
      <c r="B167">
        <v>5</v>
      </c>
      <c r="C167">
        <v>4</v>
      </c>
      <c r="D167">
        <v>41</v>
      </c>
      <c r="E167" s="3">
        <v>0</v>
      </c>
      <c r="F167" s="3" t="s">
        <v>9</v>
      </c>
      <c r="G167" s="3" t="s">
        <v>11</v>
      </c>
      <c r="H167">
        <v>15</v>
      </c>
      <c r="I167" s="4">
        <v>43800</v>
      </c>
    </row>
    <row r="168" spans="1:9" x14ac:dyDescent="0.35">
      <c r="A168" s="1">
        <v>167</v>
      </c>
      <c r="B168">
        <v>1</v>
      </c>
      <c r="C168">
        <v>4</v>
      </c>
      <c r="D168">
        <v>39</v>
      </c>
      <c r="E168" s="3">
        <v>4</v>
      </c>
      <c r="F168" s="3" t="s">
        <v>12</v>
      </c>
      <c r="G168" s="3" t="s">
        <v>11</v>
      </c>
      <c r="H168">
        <v>12</v>
      </c>
      <c r="I168" s="4">
        <v>48000</v>
      </c>
    </row>
    <row r="169" spans="1:9" x14ac:dyDescent="0.35">
      <c r="A169" s="1">
        <v>168</v>
      </c>
      <c r="B169">
        <v>5</v>
      </c>
      <c r="C169">
        <v>4</v>
      </c>
      <c r="D169">
        <v>39</v>
      </c>
      <c r="E169" s="3">
        <v>0</v>
      </c>
      <c r="F169" s="3" t="s">
        <v>9</v>
      </c>
      <c r="G169" s="3" t="s">
        <v>11</v>
      </c>
      <c r="H169">
        <v>9</v>
      </c>
      <c r="I169" s="4">
        <v>42700</v>
      </c>
    </row>
    <row r="170" spans="1:9" x14ac:dyDescent="0.35">
      <c r="A170" s="1">
        <v>169</v>
      </c>
      <c r="B170">
        <v>3</v>
      </c>
      <c r="C170">
        <v>4</v>
      </c>
      <c r="D170">
        <v>40</v>
      </c>
      <c r="E170" s="3">
        <v>1</v>
      </c>
      <c r="F170" s="3" t="s">
        <v>12</v>
      </c>
      <c r="G170" s="3" t="s">
        <v>11</v>
      </c>
      <c r="H170">
        <v>14</v>
      </c>
      <c r="I170" s="4">
        <v>48500</v>
      </c>
    </row>
    <row r="171" spans="1:9" x14ac:dyDescent="0.35">
      <c r="A171" s="1">
        <v>170</v>
      </c>
      <c r="B171">
        <v>3</v>
      </c>
      <c r="C171">
        <v>4</v>
      </c>
      <c r="D171">
        <v>49</v>
      </c>
      <c r="E171" s="3">
        <v>0</v>
      </c>
      <c r="F171" s="3" t="s">
        <v>9</v>
      </c>
      <c r="G171" s="3" t="s">
        <v>11</v>
      </c>
      <c r="H171">
        <v>16</v>
      </c>
      <c r="I171" s="4">
        <v>42000</v>
      </c>
    </row>
    <row r="172" spans="1:9" x14ac:dyDescent="0.35">
      <c r="A172" s="1">
        <v>171</v>
      </c>
      <c r="B172">
        <v>2</v>
      </c>
      <c r="C172">
        <v>4</v>
      </c>
      <c r="D172">
        <v>53</v>
      </c>
      <c r="E172" s="3">
        <v>1</v>
      </c>
      <c r="F172" s="3" t="s">
        <v>9</v>
      </c>
      <c r="G172" s="3" t="s">
        <v>11</v>
      </c>
      <c r="H172">
        <v>16</v>
      </c>
      <c r="I172" s="4">
        <v>45500</v>
      </c>
    </row>
    <row r="173" spans="1:9" x14ac:dyDescent="0.35">
      <c r="A173" s="1">
        <v>172</v>
      </c>
      <c r="B173">
        <v>3</v>
      </c>
      <c r="C173">
        <v>4</v>
      </c>
      <c r="D173">
        <v>37</v>
      </c>
      <c r="E173" s="3">
        <v>0</v>
      </c>
      <c r="F173" s="3" t="s">
        <v>9</v>
      </c>
      <c r="G173" s="3" t="s">
        <v>11</v>
      </c>
      <c r="H173">
        <v>11</v>
      </c>
      <c r="I173" s="4">
        <v>44500</v>
      </c>
    </row>
    <row r="174" spans="1:9" x14ac:dyDescent="0.35">
      <c r="A174" s="1">
        <v>173</v>
      </c>
      <c r="B174">
        <v>2</v>
      </c>
      <c r="C174">
        <v>4</v>
      </c>
      <c r="D174">
        <v>40</v>
      </c>
      <c r="E174" s="3">
        <v>2</v>
      </c>
      <c r="F174" s="3" t="s">
        <v>9</v>
      </c>
      <c r="G174" s="3" t="s">
        <v>11</v>
      </c>
      <c r="H174">
        <v>13</v>
      </c>
      <c r="I174" s="4">
        <v>51200</v>
      </c>
    </row>
    <row r="175" spans="1:9" x14ac:dyDescent="0.35">
      <c r="A175" s="1">
        <v>174</v>
      </c>
      <c r="B175">
        <v>5</v>
      </c>
      <c r="C175">
        <v>5</v>
      </c>
      <c r="D175">
        <v>34</v>
      </c>
      <c r="E175" s="3">
        <v>0</v>
      </c>
      <c r="F175" s="3" t="s">
        <v>9</v>
      </c>
      <c r="G175" s="3" t="s">
        <v>10</v>
      </c>
      <c r="H175">
        <v>7</v>
      </c>
      <c r="I175" s="4">
        <v>47500</v>
      </c>
    </row>
    <row r="176" spans="1:9" x14ac:dyDescent="0.35">
      <c r="A176" s="1">
        <v>175</v>
      </c>
      <c r="B176">
        <v>5</v>
      </c>
      <c r="C176">
        <v>5</v>
      </c>
      <c r="D176">
        <v>37</v>
      </c>
      <c r="E176" s="3">
        <v>0</v>
      </c>
      <c r="F176" s="3" t="s">
        <v>9</v>
      </c>
      <c r="G176" s="3" t="s">
        <v>11</v>
      </c>
      <c r="H176">
        <v>8</v>
      </c>
      <c r="I176" s="4">
        <v>44500</v>
      </c>
    </row>
    <row r="177" spans="1:9" x14ac:dyDescent="0.35">
      <c r="A177" s="1">
        <v>176</v>
      </c>
      <c r="B177">
        <v>5</v>
      </c>
      <c r="C177">
        <v>5</v>
      </c>
      <c r="D177">
        <v>31</v>
      </c>
      <c r="E177" s="3">
        <v>0</v>
      </c>
      <c r="F177" s="3" t="s">
        <v>9</v>
      </c>
      <c r="G177" s="3" t="s">
        <v>10</v>
      </c>
      <c r="H177">
        <v>8</v>
      </c>
      <c r="I177" s="4">
        <v>47000</v>
      </c>
    </row>
    <row r="178" spans="1:9" x14ac:dyDescent="0.35">
      <c r="A178" s="1">
        <v>177</v>
      </c>
      <c r="B178">
        <v>5</v>
      </c>
      <c r="C178">
        <v>5</v>
      </c>
      <c r="D178">
        <v>41</v>
      </c>
      <c r="E178" s="3">
        <v>10</v>
      </c>
      <c r="F178" s="3" t="s">
        <v>9</v>
      </c>
      <c r="G178" s="3" t="s">
        <v>10</v>
      </c>
      <c r="H178">
        <v>6</v>
      </c>
      <c r="I178" s="4">
        <v>47000</v>
      </c>
    </row>
    <row r="179" spans="1:9" x14ac:dyDescent="0.35">
      <c r="A179" s="1">
        <v>178</v>
      </c>
      <c r="B179">
        <v>3</v>
      </c>
      <c r="C179">
        <v>5</v>
      </c>
      <c r="D179">
        <v>46</v>
      </c>
      <c r="E179" s="3">
        <v>4</v>
      </c>
      <c r="F179" s="3" t="s">
        <v>9</v>
      </c>
      <c r="G179" s="3" t="s">
        <v>11</v>
      </c>
      <c r="H179">
        <v>17</v>
      </c>
      <c r="I179" s="4">
        <v>43100</v>
      </c>
    </row>
    <row r="180" spans="1:9" x14ac:dyDescent="0.35">
      <c r="A180" s="1">
        <v>179</v>
      </c>
      <c r="B180">
        <v>5</v>
      </c>
      <c r="C180">
        <v>5</v>
      </c>
      <c r="D180">
        <v>37</v>
      </c>
      <c r="E180" s="3">
        <v>2</v>
      </c>
      <c r="F180" s="3" t="s">
        <v>9</v>
      </c>
      <c r="G180" s="3" t="s">
        <v>10</v>
      </c>
      <c r="H180">
        <v>8</v>
      </c>
      <c r="I180" s="4">
        <v>49000</v>
      </c>
    </row>
    <row r="181" spans="1:9" x14ac:dyDescent="0.35">
      <c r="A181" s="1">
        <v>180</v>
      </c>
      <c r="B181">
        <v>5</v>
      </c>
      <c r="C181">
        <v>5</v>
      </c>
      <c r="D181">
        <v>33</v>
      </c>
      <c r="E181" s="3">
        <v>0</v>
      </c>
      <c r="F181" s="3" t="s">
        <v>9</v>
      </c>
      <c r="G181" s="3" t="s">
        <v>10</v>
      </c>
      <c r="H181">
        <v>8</v>
      </c>
      <c r="I181" s="4">
        <v>48500</v>
      </c>
    </row>
    <row r="182" spans="1:9" x14ac:dyDescent="0.35">
      <c r="A182" s="1">
        <v>181</v>
      </c>
      <c r="B182">
        <v>3</v>
      </c>
      <c r="C182">
        <v>5</v>
      </c>
      <c r="D182">
        <v>35</v>
      </c>
      <c r="E182" s="3">
        <v>5</v>
      </c>
      <c r="F182" s="3" t="s">
        <v>9</v>
      </c>
      <c r="G182" s="3" t="s">
        <v>11</v>
      </c>
      <c r="H182">
        <v>8</v>
      </c>
      <c r="I182" s="4">
        <v>45000</v>
      </c>
    </row>
    <row r="183" spans="1:9" x14ac:dyDescent="0.35">
      <c r="A183" s="1">
        <v>182</v>
      </c>
      <c r="B183">
        <v>5</v>
      </c>
      <c r="C183">
        <v>5</v>
      </c>
      <c r="D183">
        <v>49</v>
      </c>
      <c r="E183" s="3">
        <v>5</v>
      </c>
      <c r="F183" s="3" t="s">
        <v>9</v>
      </c>
      <c r="G183" s="3" t="s">
        <v>11</v>
      </c>
      <c r="H183">
        <v>16</v>
      </c>
      <c r="I183" s="4">
        <v>52500</v>
      </c>
    </row>
    <row r="184" spans="1:9" x14ac:dyDescent="0.35">
      <c r="A184" s="1">
        <v>183</v>
      </c>
      <c r="B184">
        <v>5</v>
      </c>
      <c r="C184">
        <v>5</v>
      </c>
      <c r="D184">
        <v>33</v>
      </c>
      <c r="E184" s="3">
        <v>2</v>
      </c>
      <c r="F184" s="3" t="s">
        <v>9</v>
      </c>
      <c r="G184" s="3" t="s">
        <v>10</v>
      </c>
      <c r="H184">
        <v>6</v>
      </c>
      <c r="I184" s="4">
        <v>47500</v>
      </c>
    </row>
    <row r="185" spans="1:9" x14ac:dyDescent="0.35">
      <c r="A185" s="1">
        <v>184</v>
      </c>
      <c r="B185">
        <v>5</v>
      </c>
      <c r="C185">
        <v>5</v>
      </c>
      <c r="D185">
        <v>31</v>
      </c>
      <c r="E185" s="3">
        <v>0</v>
      </c>
      <c r="F185" s="3" t="s">
        <v>9</v>
      </c>
      <c r="G185" s="3" t="s">
        <v>10</v>
      </c>
      <c r="H185">
        <v>7</v>
      </c>
      <c r="I185" s="4">
        <v>48000</v>
      </c>
    </row>
    <row r="186" spans="1:9" x14ac:dyDescent="0.35">
      <c r="A186" s="1">
        <v>185</v>
      </c>
      <c r="B186">
        <v>5</v>
      </c>
      <c r="C186">
        <v>5</v>
      </c>
      <c r="D186">
        <v>49</v>
      </c>
      <c r="E186" s="3">
        <v>4</v>
      </c>
      <c r="F186" s="3" t="s">
        <v>9</v>
      </c>
      <c r="G186" s="3" t="s">
        <v>10</v>
      </c>
      <c r="H186">
        <v>8</v>
      </c>
      <c r="I186" s="4">
        <v>46500</v>
      </c>
    </row>
    <row r="187" spans="1:9" x14ac:dyDescent="0.35">
      <c r="A187" s="1">
        <v>186</v>
      </c>
      <c r="B187">
        <v>5</v>
      </c>
      <c r="C187">
        <v>5</v>
      </c>
      <c r="D187">
        <v>40</v>
      </c>
      <c r="E187" s="3">
        <v>2</v>
      </c>
      <c r="F187" s="3" t="s">
        <v>9</v>
      </c>
      <c r="G187" s="3" t="s">
        <v>11</v>
      </c>
      <c r="H187">
        <v>12</v>
      </c>
      <c r="I187" s="4">
        <v>61500</v>
      </c>
    </row>
    <row r="188" spans="1:9" x14ac:dyDescent="0.35">
      <c r="A188" s="1">
        <v>187</v>
      </c>
      <c r="B188">
        <v>5</v>
      </c>
      <c r="C188">
        <v>5</v>
      </c>
      <c r="D188">
        <v>37</v>
      </c>
      <c r="E188" s="3">
        <v>2</v>
      </c>
      <c r="F188" s="3" t="s">
        <v>9</v>
      </c>
      <c r="G188" s="3" t="s">
        <v>11</v>
      </c>
      <c r="H188">
        <v>9</v>
      </c>
      <c r="I188" s="4">
        <v>50000</v>
      </c>
    </row>
    <row r="189" spans="1:9" x14ac:dyDescent="0.35">
      <c r="A189" s="1">
        <v>188</v>
      </c>
      <c r="B189">
        <v>5</v>
      </c>
      <c r="C189">
        <v>5</v>
      </c>
      <c r="D189">
        <v>46</v>
      </c>
      <c r="E189" s="3">
        <v>2</v>
      </c>
      <c r="F189" s="3" t="s">
        <v>9</v>
      </c>
      <c r="G189" s="3" t="s">
        <v>11</v>
      </c>
      <c r="H189">
        <v>12</v>
      </c>
      <c r="I189" s="4">
        <v>61800</v>
      </c>
    </row>
    <row r="190" spans="1:9" x14ac:dyDescent="0.35">
      <c r="A190" s="1">
        <v>189</v>
      </c>
      <c r="B190">
        <v>4</v>
      </c>
      <c r="C190">
        <v>5</v>
      </c>
      <c r="D190">
        <v>43</v>
      </c>
      <c r="E190" s="3">
        <v>0</v>
      </c>
      <c r="F190" s="3" t="s">
        <v>9</v>
      </c>
      <c r="G190" s="3" t="s">
        <v>11</v>
      </c>
      <c r="H190">
        <v>16</v>
      </c>
      <c r="I190" s="4">
        <v>43000</v>
      </c>
    </row>
    <row r="191" spans="1:9" x14ac:dyDescent="0.35">
      <c r="A191" s="1">
        <v>190</v>
      </c>
      <c r="B191">
        <v>5</v>
      </c>
      <c r="C191">
        <v>5</v>
      </c>
      <c r="D191">
        <v>36</v>
      </c>
      <c r="E191" s="3">
        <v>1</v>
      </c>
      <c r="F191" s="3" t="s">
        <v>9</v>
      </c>
      <c r="G191" s="3" t="s">
        <v>10</v>
      </c>
      <c r="H191">
        <v>11</v>
      </c>
      <c r="I191" s="4">
        <v>47000</v>
      </c>
    </row>
    <row r="192" spans="1:9" x14ac:dyDescent="0.35">
      <c r="A192" s="1">
        <v>191</v>
      </c>
      <c r="B192">
        <v>5</v>
      </c>
      <c r="C192">
        <v>5</v>
      </c>
      <c r="D192">
        <v>37</v>
      </c>
      <c r="E192" s="3">
        <v>6</v>
      </c>
      <c r="F192" s="3" t="s">
        <v>9</v>
      </c>
      <c r="G192" s="3" t="s">
        <v>11</v>
      </c>
      <c r="H192">
        <v>9</v>
      </c>
      <c r="I192" s="4">
        <v>58500</v>
      </c>
    </row>
    <row r="193" spans="1:9" x14ac:dyDescent="0.35">
      <c r="A193" s="1">
        <v>192</v>
      </c>
      <c r="B193">
        <v>5</v>
      </c>
      <c r="C193">
        <v>5</v>
      </c>
      <c r="D193">
        <v>40</v>
      </c>
      <c r="E193" s="3">
        <v>7</v>
      </c>
      <c r="F193" s="3" t="s">
        <v>9</v>
      </c>
      <c r="G193" s="3" t="s">
        <v>10</v>
      </c>
      <c r="H193">
        <v>16</v>
      </c>
      <c r="I193" s="4">
        <v>55000</v>
      </c>
    </row>
    <row r="194" spans="1:9" x14ac:dyDescent="0.35">
      <c r="A194" s="1">
        <v>193</v>
      </c>
      <c r="B194">
        <v>3</v>
      </c>
      <c r="C194">
        <v>5</v>
      </c>
      <c r="D194">
        <v>54</v>
      </c>
      <c r="E194" s="3">
        <v>3</v>
      </c>
      <c r="F194" s="3" t="s">
        <v>9</v>
      </c>
      <c r="G194" s="3" t="s">
        <v>10</v>
      </c>
      <c r="H194">
        <v>24</v>
      </c>
      <c r="I194" s="4">
        <v>57000</v>
      </c>
    </row>
    <row r="195" spans="1:9" x14ac:dyDescent="0.35">
      <c r="A195" s="1">
        <v>194</v>
      </c>
      <c r="B195">
        <v>5</v>
      </c>
      <c r="C195">
        <v>5</v>
      </c>
      <c r="D195">
        <v>57</v>
      </c>
      <c r="E195" s="3">
        <v>1</v>
      </c>
      <c r="F195" s="3" t="s">
        <v>9</v>
      </c>
      <c r="G195" s="3" t="s">
        <v>10</v>
      </c>
      <c r="H195">
        <v>17</v>
      </c>
      <c r="I195" s="4">
        <v>57000</v>
      </c>
    </row>
    <row r="196" spans="1:9" x14ac:dyDescent="0.35">
      <c r="A196" s="1">
        <v>195</v>
      </c>
      <c r="B196">
        <v>5</v>
      </c>
      <c r="C196">
        <v>6</v>
      </c>
      <c r="D196">
        <v>49</v>
      </c>
      <c r="E196" s="3">
        <v>0</v>
      </c>
      <c r="F196" s="3" t="s">
        <v>9</v>
      </c>
      <c r="G196" s="3" t="s">
        <v>10</v>
      </c>
      <c r="H196">
        <v>14</v>
      </c>
      <c r="I196" s="4">
        <v>60000</v>
      </c>
    </row>
    <row r="197" spans="1:9" x14ac:dyDescent="0.35">
      <c r="A197" s="1">
        <v>196</v>
      </c>
      <c r="B197">
        <v>3</v>
      </c>
      <c r="C197">
        <v>6</v>
      </c>
      <c r="D197">
        <v>41</v>
      </c>
      <c r="E197" s="3">
        <v>0</v>
      </c>
      <c r="F197" s="3" t="s">
        <v>9</v>
      </c>
      <c r="G197" s="3" t="s">
        <v>10</v>
      </c>
      <c r="H197">
        <v>13</v>
      </c>
      <c r="I197" s="4">
        <v>60000</v>
      </c>
    </row>
    <row r="198" spans="1:9" x14ac:dyDescent="0.35">
      <c r="A198" s="1">
        <v>197</v>
      </c>
      <c r="B198">
        <v>5</v>
      </c>
      <c r="C198">
        <v>6</v>
      </c>
      <c r="D198">
        <v>59</v>
      </c>
      <c r="E198" s="3">
        <v>4</v>
      </c>
      <c r="F198" s="3" t="s">
        <v>9</v>
      </c>
      <c r="G198" s="3" t="s">
        <v>10</v>
      </c>
      <c r="H198">
        <v>19</v>
      </c>
      <c r="I198" s="4">
        <v>59000</v>
      </c>
    </row>
    <row r="199" spans="1:9" x14ac:dyDescent="0.35">
      <c r="A199" s="1">
        <v>198</v>
      </c>
      <c r="B199">
        <v>5</v>
      </c>
      <c r="C199">
        <v>6</v>
      </c>
      <c r="D199">
        <v>51</v>
      </c>
      <c r="E199" s="3">
        <v>0</v>
      </c>
      <c r="F199" s="3" t="s">
        <v>9</v>
      </c>
      <c r="G199" s="3" t="s">
        <v>10</v>
      </c>
      <c r="H199">
        <v>12</v>
      </c>
      <c r="I199" s="4">
        <v>60000</v>
      </c>
    </row>
    <row r="200" spans="1:9" x14ac:dyDescent="0.35">
      <c r="A200" s="1">
        <v>199</v>
      </c>
      <c r="B200">
        <v>5</v>
      </c>
      <c r="C200">
        <v>6</v>
      </c>
      <c r="D200">
        <v>45</v>
      </c>
      <c r="E200" s="3">
        <v>0</v>
      </c>
      <c r="F200" s="3" t="s">
        <v>9</v>
      </c>
      <c r="G200" s="3" t="s">
        <v>10</v>
      </c>
      <c r="H200">
        <v>20</v>
      </c>
      <c r="I200" s="4">
        <v>65000</v>
      </c>
    </row>
    <row r="201" spans="1:9" x14ac:dyDescent="0.35">
      <c r="A201" s="1">
        <v>200</v>
      </c>
      <c r="B201">
        <v>5</v>
      </c>
      <c r="C201">
        <v>6</v>
      </c>
      <c r="D201">
        <v>56</v>
      </c>
      <c r="E201" s="3">
        <v>1</v>
      </c>
      <c r="F201" s="3" t="s">
        <v>9</v>
      </c>
      <c r="G201" s="3" t="s">
        <v>10</v>
      </c>
      <c r="H201">
        <v>20</v>
      </c>
      <c r="I201" s="4">
        <v>52000</v>
      </c>
    </row>
    <row r="202" spans="1:9" x14ac:dyDescent="0.35">
      <c r="A202" s="1">
        <v>201</v>
      </c>
      <c r="B202">
        <v>5</v>
      </c>
      <c r="C202">
        <v>6</v>
      </c>
      <c r="D202">
        <v>57</v>
      </c>
      <c r="E202" s="3">
        <v>0</v>
      </c>
      <c r="F202" s="3" t="s">
        <v>9</v>
      </c>
      <c r="G202" s="3" t="s">
        <v>10</v>
      </c>
      <c r="H202">
        <v>22</v>
      </c>
      <c r="I202" s="4">
        <v>58000</v>
      </c>
    </row>
    <row r="203" spans="1:9" x14ac:dyDescent="0.35">
      <c r="A203" s="1">
        <v>202</v>
      </c>
      <c r="B203">
        <v>4</v>
      </c>
      <c r="C203">
        <v>6</v>
      </c>
      <c r="D203">
        <v>53</v>
      </c>
      <c r="E203" s="3">
        <v>0</v>
      </c>
      <c r="F203" s="3" t="s">
        <v>9</v>
      </c>
      <c r="G203" s="3" t="s">
        <v>10</v>
      </c>
      <c r="H203">
        <v>21</v>
      </c>
      <c r="I203" s="4">
        <v>60000</v>
      </c>
    </row>
    <row r="204" spans="1:9" x14ac:dyDescent="0.35">
      <c r="A204" s="1">
        <v>203</v>
      </c>
      <c r="B204">
        <v>5</v>
      </c>
      <c r="C204">
        <v>6</v>
      </c>
      <c r="D204">
        <v>65</v>
      </c>
      <c r="E204" s="3">
        <v>0</v>
      </c>
      <c r="F204" s="3" t="s">
        <v>9</v>
      </c>
      <c r="G204" s="3" t="s">
        <v>10</v>
      </c>
      <c r="H204">
        <v>39</v>
      </c>
      <c r="I204" s="4">
        <v>74000</v>
      </c>
    </row>
    <row r="205" spans="1:9" x14ac:dyDescent="0.35">
      <c r="A205" s="1">
        <v>204</v>
      </c>
      <c r="B205">
        <v>3</v>
      </c>
      <c r="C205">
        <v>6</v>
      </c>
      <c r="D205">
        <v>60</v>
      </c>
      <c r="E205" s="3">
        <v>0</v>
      </c>
      <c r="F205" s="3" t="s">
        <v>9</v>
      </c>
      <c r="G205" s="3" t="s">
        <v>10</v>
      </c>
      <c r="H205">
        <v>34</v>
      </c>
      <c r="I205" s="4">
        <v>95000</v>
      </c>
    </row>
    <row r="206" spans="1:9" x14ac:dyDescent="0.35">
      <c r="A206" s="1">
        <v>205</v>
      </c>
      <c r="B206">
        <v>5</v>
      </c>
      <c r="C206">
        <v>6</v>
      </c>
      <c r="D206">
        <v>61</v>
      </c>
      <c r="E206" s="3">
        <v>0</v>
      </c>
      <c r="F206" s="3" t="s">
        <v>9</v>
      </c>
      <c r="G206" s="3" t="s">
        <v>10</v>
      </c>
      <c r="H206">
        <v>36</v>
      </c>
      <c r="I206" s="4">
        <v>97000</v>
      </c>
    </row>
    <row r="207" spans="1:9" x14ac:dyDescent="0.35">
      <c r="A207" s="1">
        <v>206</v>
      </c>
      <c r="B207">
        <v>5</v>
      </c>
      <c r="C207">
        <v>6</v>
      </c>
      <c r="D207">
        <v>62</v>
      </c>
      <c r="E207" s="3">
        <v>0</v>
      </c>
      <c r="F207" s="3" t="s">
        <v>9</v>
      </c>
      <c r="G207" s="3" t="s">
        <v>10</v>
      </c>
      <c r="H207">
        <v>32</v>
      </c>
      <c r="I207" s="4">
        <v>88000</v>
      </c>
    </row>
    <row r="208" spans="1:9" x14ac:dyDescent="0.35">
      <c r="A208" s="1">
        <v>207</v>
      </c>
      <c r="B208">
        <v>5</v>
      </c>
      <c r="C208">
        <v>6</v>
      </c>
      <c r="D208">
        <v>59</v>
      </c>
      <c r="E208" s="3">
        <v>0</v>
      </c>
      <c r="F208" s="3" t="s">
        <v>9</v>
      </c>
      <c r="G208" s="3" t="s">
        <v>10</v>
      </c>
      <c r="H208">
        <v>35</v>
      </c>
      <c r="I208" s="4">
        <v>94000</v>
      </c>
    </row>
    <row r="209" spans="1:9" x14ac:dyDescent="0.35">
      <c r="A209" s="1">
        <v>208</v>
      </c>
      <c r="B209">
        <v>5</v>
      </c>
      <c r="C209">
        <v>6</v>
      </c>
      <c r="D209">
        <v>62</v>
      </c>
      <c r="E209" s="3">
        <v>0</v>
      </c>
      <c r="F209" s="3" t="s">
        <v>9</v>
      </c>
      <c r="G209" s="3" t="s">
        <v>11</v>
      </c>
      <c r="H209">
        <v>33</v>
      </c>
      <c r="I209" s="4">
        <v>30000</v>
      </c>
    </row>
  </sheetData>
  <autoFilter ref="A1:I209" xr:uid="{0352624C-C298-4EA7-AB89-14B9B3609A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7C08-FFCA-46C3-A802-32DECD83BE9C}">
  <dimension ref="A1:J34"/>
  <sheetViews>
    <sheetView topLeftCell="A16" workbookViewId="0">
      <selection sqref="A1:C34"/>
    </sheetView>
  </sheetViews>
  <sheetFormatPr defaultRowHeight="14.5" x14ac:dyDescent="0.35"/>
  <cols>
    <col min="6" max="6" width="10" bestFit="1" customWidth="1"/>
    <col min="7" max="7" width="10.81640625" bestFit="1" customWidth="1"/>
  </cols>
  <sheetData>
    <row r="1" spans="1:10" x14ac:dyDescent="0.35">
      <c r="A1" t="s">
        <v>57</v>
      </c>
      <c r="B1" s="16" t="s">
        <v>47</v>
      </c>
      <c r="C1" s="17" t="s">
        <v>48</v>
      </c>
      <c r="D1" t="s">
        <v>49</v>
      </c>
      <c r="F1" t="s">
        <v>49</v>
      </c>
      <c r="G1" t="s">
        <v>50</v>
      </c>
      <c r="H1" s="3" t="s">
        <v>51</v>
      </c>
      <c r="I1" s="3" t="s">
        <v>52</v>
      </c>
      <c r="J1" s="3" t="s">
        <v>53</v>
      </c>
    </row>
    <row r="2" spans="1:10" x14ac:dyDescent="0.35">
      <c r="A2">
        <v>1</v>
      </c>
      <c r="B2" s="18">
        <v>42095</v>
      </c>
      <c r="C2" s="19">
        <v>50137.212764253534</v>
      </c>
      <c r="D2">
        <v>3</v>
      </c>
      <c r="F2">
        <v>1</v>
      </c>
      <c r="G2" t="s">
        <v>54</v>
      </c>
      <c r="H2">
        <v>1</v>
      </c>
      <c r="I2">
        <v>0</v>
      </c>
      <c r="J2">
        <v>0</v>
      </c>
    </row>
    <row r="3" spans="1:10" x14ac:dyDescent="0.35">
      <c r="A3">
        <v>2</v>
      </c>
      <c r="B3" s="18">
        <v>42125</v>
      </c>
      <c r="C3" s="19">
        <v>76029.896589250333</v>
      </c>
      <c r="D3">
        <v>3</v>
      </c>
      <c r="F3">
        <v>2</v>
      </c>
      <c r="G3" t="s">
        <v>55</v>
      </c>
      <c r="H3">
        <v>0</v>
      </c>
      <c r="I3">
        <v>1</v>
      </c>
      <c r="J3">
        <v>0</v>
      </c>
    </row>
    <row r="4" spans="1:10" x14ac:dyDescent="0.35">
      <c r="A4">
        <v>3</v>
      </c>
      <c r="B4" s="18">
        <v>42156</v>
      </c>
      <c r="C4" s="19">
        <v>68589.695279630556</v>
      </c>
      <c r="D4">
        <v>2</v>
      </c>
      <c r="F4">
        <v>3</v>
      </c>
      <c r="G4" t="s">
        <v>56</v>
      </c>
      <c r="H4">
        <v>0</v>
      </c>
      <c r="I4">
        <v>0</v>
      </c>
      <c r="J4">
        <v>1</v>
      </c>
    </row>
    <row r="5" spans="1:10" x14ac:dyDescent="0.35">
      <c r="A5">
        <v>4</v>
      </c>
      <c r="B5" s="18">
        <v>42186</v>
      </c>
      <c r="C5" s="19">
        <v>80680.979810593592</v>
      </c>
      <c r="D5">
        <v>1</v>
      </c>
    </row>
    <row r="6" spans="1:10" x14ac:dyDescent="0.35">
      <c r="A6">
        <v>5</v>
      </c>
      <c r="B6" s="18">
        <v>42217</v>
      </c>
      <c r="C6" s="19">
        <v>55227.652569573489</v>
      </c>
      <c r="D6">
        <v>1</v>
      </c>
    </row>
    <row r="7" spans="1:10" x14ac:dyDescent="0.35">
      <c r="A7">
        <v>6</v>
      </c>
      <c r="B7" s="18">
        <v>42248</v>
      </c>
      <c r="C7" s="19">
        <v>54576.776189823468</v>
      </c>
      <c r="D7">
        <v>1</v>
      </c>
    </row>
    <row r="8" spans="1:10" x14ac:dyDescent="0.35">
      <c r="A8">
        <v>7</v>
      </c>
      <c r="B8" s="18">
        <v>42278</v>
      </c>
      <c r="C8" s="19">
        <v>44384.044660034087</v>
      </c>
      <c r="D8">
        <v>1</v>
      </c>
    </row>
    <row r="9" spans="1:10" x14ac:dyDescent="0.35">
      <c r="A9">
        <v>8</v>
      </c>
      <c r="B9" s="18">
        <v>42309</v>
      </c>
      <c r="C9" s="19">
        <v>42336.957722466148</v>
      </c>
      <c r="D9">
        <v>1</v>
      </c>
    </row>
    <row r="10" spans="1:10" x14ac:dyDescent="0.35">
      <c r="A10">
        <v>9</v>
      </c>
      <c r="B10" s="18">
        <v>42339</v>
      </c>
      <c r="C10" s="19">
        <v>45512.313910186575</v>
      </c>
      <c r="D10">
        <v>2</v>
      </c>
    </row>
    <row r="11" spans="1:10" x14ac:dyDescent="0.35">
      <c r="A11">
        <v>10</v>
      </c>
      <c r="B11" s="18">
        <v>42370</v>
      </c>
      <c r="C11" s="19">
        <v>45798.297795896404</v>
      </c>
      <c r="D11">
        <v>1</v>
      </c>
    </row>
    <row r="12" spans="1:10" x14ac:dyDescent="0.35">
      <c r="A12">
        <v>11</v>
      </c>
      <c r="B12" s="18">
        <v>42401</v>
      </c>
      <c r="C12" s="19">
        <v>38045.206907249274</v>
      </c>
      <c r="D12">
        <v>1</v>
      </c>
    </row>
    <row r="13" spans="1:10" x14ac:dyDescent="0.35">
      <c r="A13">
        <v>12</v>
      </c>
      <c r="B13" s="18">
        <v>42430</v>
      </c>
      <c r="C13" s="19">
        <v>42126.631816539833</v>
      </c>
      <c r="D13">
        <v>1</v>
      </c>
    </row>
    <row r="14" spans="1:10" x14ac:dyDescent="0.35">
      <c r="A14">
        <v>13</v>
      </c>
      <c r="B14" s="18">
        <v>42461</v>
      </c>
      <c r="C14" s="19">
        <v>44422.307337406739</v>
      </c>
      <c r="D14">
        <v>2</v>
      </c>
    </row>
    <row r="15" spans="1:10" x14ac:dyDescent="0.35">
      <c r="A15">
        <v>14</v>
      </c>
      <c r="B15" s="18">
        <v>42491</v>
      </c>
      <c r="C15" s="19">
        <v>57661.644361902465</v>
      </c>
      <c r="D15">
        <v>1</v>
      </c>
    </row>
    <row r="16" spans="1:10" x14ac:dyDescent="0.35">
      <c r="A16">
        <v>15</v>
      </c>
      <c r="B16" s="18">
        <v>42522</v>
      </c>
      <c r="C16" s="19">
        <v>71427.427136079365</v>
      </c>
      <c r="D16">
        <v>2</v>
      </c>
    </row>
    <row r="17" spans="1:4" x14ac:dyDescent="0.35">
      <c r="A17">
        <v>16</v>
      </c>
      <c r="B17" s="18">
        <v>42552</v>
      </c>
      <c r="C17" s="19">
        <v>73269.221154687097</v>
      </c>
      <c r="D17">
        <v>1</v>
      </c>
    </row>
    <row r="18" spans="1:4" x14ac:dyDescent="0.35">
      <c r="A18">
        <v>17</v>
      </c>
      <c r="B18" s="18">
        <v>42583</v>
      </c>
      <c r="C18" s="19">
        <v>49695.440724543048</v>
      </c>
      <c r="D18">
        <v>1</v>
      </c>
    </row>
    <row r="19" spans="1:4" x14ac:dyDescent="0.35">
      <c r="A19">
        <v>18</v>
      </c>
      <c r="B19" s="18">
        <v>42614</v>
      </c>
      <c r="C19" s="19">
        <v>49021.056798370417</v>
      </c>
      <c r="D19">
        <v>1</v>
      </c>
    </row>
    <row r="20" spans="1:4" x14ac:dyDescent="0.35">
      <c r="A20">
        <v>19</v>
      </c>
      <c r="B20" s="18">
        <v>42644</v>
      </c>
      <c r="C20" s="19">
        <v>45263.233898384409</v>
      </c>
      <c r="D20">
        <v>1</v>
      </c>
    </row>
    <row r="21" spans="1:4" x14ac:dyDescent="0.35">
      <c r="A21">
        <v>20</v>
      </c>
      <c r="B21" s="18">
        <v>42675</v>
      </c>
      <c r="C21" s="19">
        <v>42210.271554673229</v>
      </c>
      <c r="D21">
        <v>1</v>
      </c>
    </row>
    <row r="22" spans="1:4" x14ac:dyDescent="0.35">
      <c r="A22">
        <v>21</v>
      </c>
      <c r="B22" s="18">
        <v>42705</v>
      </c>
      <c r="C22" s="19">
        <v>43968.33038451113</v>
      </c>
      <c r="D22">
        <v>2</v>
      </c>
    </row>
    <row r="23" spans="1:4" x14ac:dyDescent="0.35">
      <c r="A23">
        <v>22</v>
      </c>
      <c r="B23" s="18">
        <v>42736</v>
      </c>
      <c r="C23" s="19">
        <v>43777.780465113377</v>
      </c>
      <c r="D23">
        <v>1</v>
      </c>
    </row>
    <row r="24" spans="1:4" x14ac:dyDescent="0.35">
      <c r="A24">
        <v>23</v>
      </c>
      <c r="B24" s="18">
        <v>42767</v>
      </c>
      <c r="C24" s="19">
        <v>39523.678403704063</v>
      </c>
      <c r="D24">
        <v>1</v>
      </c>
    </row>
    <row r="25" spans="1:4" x14ac:dyDescent="0.35">
      <c r="A25">
        <v>24</v>
      </c>
      <c r="B25" s="18">
        <v>42795</v>
      </c>
      <c r="C25" s="19">
        <v>40475.778434632201</v>
      </c>
      <c r="D25">
        <v>1</v>
      </c>
    </row>
    <row r="26" spans="1:4" x14ac:dyDescent="0.35">
      <c r="A26">
        <v>25</v>
      </c>
      <c r="B26" s="18">
        <v>42826</v>
      </c>
      <c r="C26" s="19">
        <v>51166.551223958188</v>
      </c>
      <c r="D26">
        <v>2</v>
      </c>
    </row>
    <row r="27" spans="1:4" x14ac:dyDescent="0.35">
      <c r="A27">
        <v>26</v>
      </c>
      <c r="B27" s="18">
        <v>42856</v>
      </c>
      <c r="C27" s="19">
        <v>51915.87757054394</v>
      </c>
      <c r="D27">
        <v>1</v>
      </c>
    </row>
    <row r="28" spans="1:4" x14ac:dyDescent="0.35">
      <c r="A28">
        <v>27</v>
      </c>
      <c r="B28" s="18">
        <v>42887</v>
      </c>
      <c r="C28" s="19">
        <v>62274.423432872994</v>
      </c>
      <c r="D28">
        <v>2</v>
      </c>
    </row>
    <row r="29" spans="1:4" x14ac:dyDescent="0.35">
      <c r="A29">
        <v>28</v>
      </c>
      <c r="B29" s="18">
        <v>42917</v>
      </c>
      <c r="C29" s="20"/>
      <c r="D29">
        <v>1</v>
      </c>
    </row>
    <row r="30" spans="1:4" x14ac:dyDescent="0.35">
      <c r="A30">
        <v>29</v>
      </c>
      <c r="B30" s="18">
        <v>42948</v>
      </c>
      <c r="C30" s="20"/>
      <c r="D30">
        <v>1</v>
      </c>
    </row>
    <row r="31" spans="1:4" x14ac:dyDescent="0.35">
      <c r="A31">
        <v>30</v>
      </c>
      <c r="B31" s="18">
        <v>42979</v>
      </c>
      <c r="C31" s="20"/>
      <c r="D31">
        <v>1</v>
      </c>
    </row>
    <row r="32" spans="1:4" x14ac:dyDescent="0.35">
      <c r="A32">
        <v>31</v>
      </c>
      <c r="B32" s="18">
        <v>43009</v>
      </c>
      <c r="C32" s="20"/>
      <c r="D32">
        <v>2</v>
      </c>
    </row>
    <row r="33" spans="1:4" x14ac:dyDescent="0.35">
      <c r="A33">
        <v>32</v>
      </c>
      <c r="B33" s="18">
        <v>43040</v>
      </c>
      <c r="C33" s="20"/>
      <c r="D33">
        <v>1</v>
      </c>
    </row>
    <row r="34" spans="1:4" x14ac:dyDescent="0.35">
      <c r="A34">
        <v>33</v>
      </c>
      <c r="B34" s="18">
        <v>43070</v>
      </c>
      <c r="C34" s="20"/>
      <c r="D3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FCB-23CE-49FE-9A71-64FCBABBA073}">
  <dimension ref="A1:AC34"/>
  <sheetViews>
    <sheetView topLeftCell="A11" zoomScaleNormal="100" workbookViewId="0">
      <selection activeCell="A29" sqref="A29"/>
    </sheetView>
  </sheetViews>
  <sheetFormatPr defaultRowHeight="14.5" x14ac:dyDescent="0.35"/>
  <cols>
    <col min="4" max="4" width="3.26953125" bestFit="1" customWidth="1"/>
    <col min="5" max="12" width="3.90625" bestFit="1" customWidth="1"/>
    <col min="13" max="15" width="4.90625" bestFit="1" customWidth="1"/>
    <col min="17" max="17" width="14.453125" bestFit="1" customWidth="1"/>
  </cols>
  <sheetData>
    <row r="1" spans="1:29" x14ac:dyDescent="0.35">
      <c r="A1" s="16" t="s">
        <v>47</v>
      </c>
      <c r="B1" t="s">
        <v>62</v>
      </c>
      <c r="C1" s="17" t="s">
        <v>48</v>
      </c>
      <c r="D1" t="s">
        <v>57</v>
      </c>
      <c r="E1" t="s">
        <v>59</v>
      </c>
      <c r="F1" t="s">
        <v>60</v>
      </c>
      <c r="G1" t="s">
        <v>61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Q1" t="s">
        <v>63</v>
      </c>
      <c r="R1" t="s">
        <v>62</v>
      </c>
      <c r="S1" t="s">
        <v>59</v>
      </c>
      <c r="T1" t="s">
        <v>60</v>
      </c>
      <c r="U1" t="s">
        <v>61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</row>
    <row r="2" spans="1:29" x14ac:dyDescent="0.35">
      <c r="A2" s="18">
        <v>42095</v>
      </c>
      <c r="B2">
        <f t="shared" ref="B2:B28" si="0">MONTH(A2)</f>
        <v>4</v>
      </c>
      <c r="C2" s="19">
        <v>50137.212764253534</v>
      </c>
      <c r="D2">
        <v>1</v>
      </c>
      <c r="E2">
        <f>_xlfn.XLOOKUP($B2,$R$2:$R$13,S$2:S$13)</f>
        <v>0</v>
      </c>
      <c r="F2">
        <f t="shared" ref="F2:O2" si="1">_xlfn.XLOOKUP($B2,$R$2:$R$13,T$2:T$13)</f>
        <v>0</v>
      </c>
      <c r="G2">
        <f t="shared" si="1"/>
        <v>1</v>
      </c>
      <c r="H2">
        <f t="shared" si="1"/>
        <v>0</v>
      </c>
      <c r="I2">
        <f t="shared" si="1"/>
        <v>0</v>
      </c>
      <c r="J2">
        <f t="shared" si="1"/>
        <v>0</v>
      </c>
      <c r="K2">
        <f t="shared" si="1"/>
        <v>0</v>
      </c>
      <c r="L2">
        <f t="shared" si="1"/>
        <v>0</v>
      </c>
      <c r="M2">
        <f t="shared" si="1"/>
        <v>0</v>
      </c>
      <c r="N2">
        <f t="shared" si="1"/>
        <v>0</v>
      </c>
      <c r="O2">
        <f t="shared" si="1"/>
        <v>0</v>
      </c>
      <c r="R2" s="21">
        <v>1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</row>
    <row r="3" spans="1:29" x14ac:dyDescent="0.35">
      <c r="A3" s="18">
        <v>42125</v>
      </c>
      <c r="B3">
        <f t="shared" si="0"/>
        <v>5</v>
      </c>
      <c r="C3" s="19">
        <v>76029.896589250333</v>
      </c>
      <c r="D3">
        <v>2</v>
      </c>
      <c r="E3">
        <f t="shared" ref="E3:E28" si="2">_xlfn.XLOOKUP($B3,$R$2:$R$13,S$2:S$13)</f>
        <v>0</v>
      </c>
      <c r="F3">
        <f t="shared" ref="F3:F28" si="3">_xlfn.XLOOKUP($B3,$R$2:$R$13,T$2:T$13)</f>
        <v>0</v>
      </c>
      <c r="G3">
        <f t="shared" ref="G3:G28" si="4">_xlfn.XLOOKUP($B3,$R$2:$R$13,U$2:U$13)</f>
        <v>0</v>
      </c>
      <c r="H3">
        <f t="shared" ref="H3:H28" si="5">_xlfn.XLOOKUP($B3,$R$2:$R$13,V$2:V$13)</f>
        <v>1</v>
      </c>
      <c r="I3">
        <f t="shared" ref="I3:I28" si="6">_xlfn.XLOOKUP($B3,$R$2:$R$13,W$2:W$13)</f>
        <v>0</v>
      </c>
      <c r="J3">
        <f t="shared" ref="J3:J28" si="7">_xlfn.XLOOKUP($B3,$R$2:$R$13,X$2:X$13)</f>
        <v>0</v>
      </c>
      <c r="K3">
        <f t="shared" ref="K3:K28" si="8">_xlfn.XLOOKUP($B3,$R$2:$R$13,Y$2:Y$13)</f>
        <v>0</v>
      </c>
      <c r="L3">
        <f t="shared" ref="L3:L28" si="9">_xlfn.XLOOKUP($B3,$R$2:$R$13,Z$2:Z$13)</f>
        <v>0</v>
      </c>
      <c r="M3">
        <f t="shared" ref="M3:M28" si="10">_xlfn.XLOOKUP($B3,$R$2:$R$13,AA$2:AA$13)</f>
        <v>0</v>
      </c>
      <c r="N3">
        <f t="shared" ref="N3:N28" si="11">_xlfn.XLOOKUP($B3,$R$2:$R$13,AB$2:AB$13)</f>
        <v>0</v>
      </c>
      <c r="O3">
        <f t="shared" ref="O3:O28" si="12">_xlfn.XLOOKUP($B3,$R$2:$R$13,AC$2:AC$13)</f>
        <v>0</v>
      </c>
      <c r="R3" s="21">
        <v>2</v>
      </c>
      <c r="S3" s="21">
        <v>1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</row>
    <row r="4" spans="1:29" x14ac:dyDescent="0.35">
      <c r="A4" s="18">
        <v>42156</v>
      </c>
      <c r="B4">
        <f t="shared" si="0"/>
        <v>6</v>
      </c>
      <c r="C4" s="19">
        <v>68589.695279630556</v>
      </c>
      <c r="D4">
        <v>3</v>
      </c>
      <c r="E4">
        <f t="shared" si="2"/>
        <v>0</v>
      </c>
      <c r="F4">
        <f t="shared" si="3"/>
        <v>0</v>
      </c>
      <c r="G4">
        <f t="shared" si="4"/>
        <v>0</v>
      </c>
      <c r="H4">
        <f t="shared" si="5"/>
        <v>0</v>
      </c>
      <c r="I4">
        <f t="shared" si="6"/>
        <v>1</v>
      </c>
      <c r="J4">
        <f t="shared" si="7"/>
        <v>0</v>
      </c>
      <c r="K4">
        <f t="shared" si="8"/>
        <v>0</v>
      </c>
      <c r="L4">
        <f t="shared" si="9"/>
        <v>0</v>
      </c>
      <c r="M4">
        <f t="shared" si="10"/>
        <v>0</v>
      </c>
      <c r="N4">
        <f t="shared" si="11"/>
        <v>0</v>
      </c>
      <c r="O4">
        <f t="shared" si="12"/>
        <v>0</v>
      </c>
      <c r="R4" s="21">
        <v>3</v>
      </c>
      <c r="S4" s="21">
        <v>0</v>
      </c>
      <c r="T4" s="21">
        <v>1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</row>
    <row r="5" spans="1:29" x14ac:dyDescent="0.35">
      <c r="A5" s="18">
        <v>42186</v>
      </c>
      <c r="B5">
        <f t="shared" si="0"/>
        <v>7</v>
      </c>
      <c r="C5" s="19">
        <v>80680.979810593592</v>
      </c>
      <c r="D5">
        <v>4</v>
      </c>
      <c r="E5">
        <f t="shared" si="2"/>
        <v>0</v>
      </c>
      <c r="F5">
        <f t="shared" si="3"/>
        <v>0</v>
      </c>
      <c r="G5">
        <f t="shared" si="4"/>
        <v>0</v>
      </c>
      <c r="H5">
        <f t="shared" si="5"/>
        <v>0</v>
      </c>
      <c r="I5">
        <f t="shared" si="6"/>
        <v>0</v>
      </c>
      <c r="J5">
        <f t="shared" si="7"/>
        <v>1</v>
      </c>
      <c r="K5">
        <f t="shared" si="8"/>
        <v>0</v>
      </c>
      <c r="L5">
        <f t="shared" si="9"/>
        <v>0</v>
      </c>
      <c r="M5">
        <f t="shared" si="10"/>
        <v>0</v>
      </c>
      <c r="N5">
        <f t="shared" si="11"/>
        <v>0</v>
      </c>
      <c r="O5">
        <f t="shared" si="12"/>
        <v>0</v>
      </c>
      <c r="R5" s="21">
        <v>4</v>
      </c>
      <c r="S5" s="21">
        <v>0</v>
      </c>
      <c r="T5" s="21">
        <v>0</v>
      </c>
      <c r="U5" s="21">
        <v>1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</row>
    <row r="6" spans="1:29" x14ac:dyDescent="0.35">
      <c r="A6" s="18">
        <v>42217</v>
      </c>
      <c r="B6">
        <f t="shared" si="0"/>
        <v>8</v>
      </c>
      <c r="C6" s="19">
        <v>55227.652569573489</v>
      </c>
      <c r="D6">
        <v>5</v>
      </c>
      <c r="E6">
        <f t="shared" si="2"/>
        <v>0</v>
      </c>
      <c r="F6">
        <f t="shared" si="3"/>
        <v>0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8"/>
        <v>1</v>
      </c>
      <c r="L6">
        <f t="shared" si="9"/>
        <v>0</v>
      </c>
      <c r="M6">
        <f t="shared" si="10"/>
        <v>0</v>
      </c>
      <c r="N6">
        <f t="shared" si="11"/>
        <v>0</v>
      </c>
      <c r="O6">
        <f t="shared" si="12"/>
        <v>0</v>
      </c>
      <c r="R6" s="21">
        <v>5</v>
      </c>
      <c r="S6" s="21">
        <v>0</v>
      </c>
      <c r="T6" s="21">
        <v>0</v>
      </c>
      <c r="U6" s="21">
        <v>0</v>
      </c>
      <c r="V6" s="21">
        <v>1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</row>
    <row r="7" spans="1:29" x14ac:dyDescent="0.35">
      <c r="A7" s="18">
        <v>42248</v>
      </c>
      <c r="B7">
        <f t="shared" si="0"/>
        <v>9</v>
      </c>
      <c r="C7" s="19">
        <v>54576.776189823468</v>
      </c>
      <c r="D7">
        <v>6</v>
      </c>
      <c r="E7">
        <f t="shared" si="2"/>
        <v>0</v>
      </c>
      <c r="F7">
        <f t="shared" si="3"/>
        <v>0</v>
      </c>
      <c r="G7">
        <f t="shared" si="4"/>
        <v>0</v>
      </c>
      <c r="H7">
        <f t="shared" si="5"/>
        <v>0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1</v>
      </c>
      <c r="M7">
        <f t="shared" si="10"/>
        <v>0</v>
      </c>
      <c r="N7">
        <f t="shared" si="11"/>
        <v>0</v>
      </c>
      <c r="O7">
        <f t="shared" si="12"/>
        <v>0</v>
      </c>
      <c r="R7" s="21">
        <v>6</v>
      </c>
      <c r="S7" s="21">
        <v>0</v>
      </c>
      <c r="T7" s="21">
        <v>0</v>
      </c>
      <c r="U7" s="21">
        <v>0</v>
      </c>
      <c r="V7" s="21">
        <v>0</v>
      </c>
      <c r="W7" s="21">
        <v>1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</row>
    <row r="8" spans="1:29" x14ac:dyDescent="0.35">
      <c r="A8" s="18">
        <v>42278</v>
      </c>
      <c r="B8">
        <f t="shared" si="0"/>
        <v>10</v>
      </c>
      <c r="C8" s="19">
        <v>44384.044660034087</v>
      </c>
      <c r="D8">
        <v>7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1</v>
      </c>
      <c r="N8">
        <f t="shared" si="11"/>
        <v>0</v>
      </c>
      <c r="O8">
        <f t="shared" si="12"/>
        <v>0</v>
      </c>
      <c r="R8" s="21">
        <v>7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1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</row>
    <row r="9" spans="1:29" x14ac:dyDescent="0.35">
      <c r="A9" s="18">
        <v>42309</v>
      </c>
      <c r="B9">
        <f t="shared" si="0"/>
        <v>11</v>
      </c>
      <c r="C9" s="19">
        <v>42336.957722466148</v>
      </c>
      <c r="D9">
        <v>8</v>
      </c>
      <c r="E9">
        <f t="shared" si="2"/>
        <v>0</v>
      </c>
      <c r="F9">
        <f t="shared" si="3"/>
        <v>0</v>
      </c>
      <c r="G9">
        <f t="shared" si="4"/>
        <v>0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0</v>
      </c>
      <c r="N9">
        <f t="shared" si="11"/>
        <v>1</v>
      </c>
      <c r="O9">
        <f t="shared" si="12"/>
        <v>0</v>
      </c>
      <c r="R9" s="21">
        <v>8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1</v>
      </c>
      <c r="Z9" s="21">
        <v>0</v>
      </c>
      <c r="AA9" s="21">
        <v>0</v>
      </c>
      <c r="AB9" s="21">
        <v>0</v>
      </c>
      <c r="AC9" s="21">
        <v>0</v>
      </c>
    </row>
    <row r="10" spans="1:29" x14ac:dyDescent="0.35">
      <c r="A10" s="18">
        <v>42339</v>
      </c>
      <c r="B10">
        <f t="shared" si="0"/>
        <v>12</v>
      </c>
      <c r="C10" s="19">
        <v>45512.313910186575</v>
      </c>
      <c r="D10">
        <v>9</v>
      </c>
      <c r="E10">
        <f t="shared" si="2"/>
        <v>0</v>
      </c>
      <c r="F10">
        <f t="shared" si="3"/>
        <v>0</v>
      </c>
      <c r="G10">
        <f t="shared" si="4"/>
        <v>0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  <c r="M10">
        <f t="shared" si="10"/>
        <v>0</v>
      </c>
      <c r="N10">
        <f t="shared" si="11"/>
        <v>0</v>
      </c>
      <c r="O10">
        <f t="shared" si="12"/>
        <v>1</v>
      </c>
      <c r="R10" s="21">
        <v>9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1</v>
      </c>
      <c r="AA10" s="21">
        <v>0</v>
      </c>
      <c r="AB10" s="21">
        <v>0</v>
      </c>
      <c r="AC10" s="21">
        <v>0</v>
      </c>
    </row>
    <row r="11" spans="1:29" x14ac:dyDescent="0.35">
      <c r="A11" s="18">
        <v>42370</v>
      </c>
      <c r="B11">
        <f t="shared" si="0"/>
        <v>1</v>
      </c>
      <c r="C11" s="19">
        <v>45798.297795896404</v>
      </c>
      <c r="D11">
        <v>10</v>
      </c>
      <c r="E11">
        <f t="shared" si="2"/>
        <v>0</v>
      </c>
      <c r="F11">
        <f t="shared" si="3"/>
        <v>0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  <c r="N11">
        <f t="shared" si="11"/>
        <v>0</v>
      </c>
      <c r="O11">
        <f t="shared" si="12"/>
        <v>0</v>
      </c>
      <c r="R11" s="21">
        <v>10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</row>
    <row r="12" spans="1:29" x14ac:dyDescent="0.35">
      <c r="A12" s="18">
        <v>42401</v>
      </c>
      <c r="B12">
        <f t="shared" si="0"/>
        <v>2</v>
      </c>
      <c r="C12" s="19">
        <v>38045.206907249274</v>
      </c>
      <c r="D12">
        <v>11</v>
      </c>
      <c r="E12">
        <f t="shared" si="2"/>
        <v>1</v>
      </c>
      <c r="F12">
        <f t="shared" si="3"/>
        <v>0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0</v>
      </c>
      <c r="N12">
        <f t="shared" si="11"/>
        <v>0</v>
      </c>
      <c r="O12">
        <f t="shared" si="12"/>
        <v>0</v>
      </c>
      <c r="R12" s="21">
        <v>11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1</v>
      </c>
      <c r="AC12" s="21">
        <v>0</v>
      </c>
    </row>
    <row r="13" spans="1:29" x14ac:dyDescent="0.35">
      <c r="A13" s="18">
        <v>42430</v>
      </c>
      <c r="B13">
        <f t="shared" si="0"/>
        <v>3</v>
      </c>
      <c r="C13" s="19">
        <v>42126.631816539833</v>
      </c>
      <c r="D13">
        <v>12</v>
      </c>
      <c r="E13">
        <f t="shared" si="2"/>
        <v>0</v>
      </c>
      <c r="F13">
        <f t="shared" si="3"/>
        <v>1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0</v>
      </c>
      <c r="M13">
        <f t="shared" si="10"/>
        <v>0</v>
      </c>
      <c r="N13">
        <f t="shared" si="11"/>
        <v>0</v>
      </c>
      <c r="O13">
        <f t="shared" si="12"/>
        <v>0</v>
      </c>
      <c r="R13" s="21">
        <v>12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1</v>
      </c>
    </row>
    <row r="14" spans="1:29" x14ac:dyDescent="0.35">
      <c r="A14" s="18">
        <v>42461</v>
      </c>
      <c r="B14">
        <f t="shared" si="0"/>
        <v>4</v>
      </c>
      <c r="C14" s="19">
        <v>44422.307337406739</v>
      </c>
      <c r="D14">
        <v>13</v>
      </c>
      <c r="E14">
        <f t="shared" si="2"/>
        <v>0</v>
      </c>
      <c r="F14">
        <f t="shared" si="3"/>
        <v>0</v>
      </c>
      <c r="G14">
        <f t="shared" si="4"/>
        <v>1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  <c r="O14">
        <f t="shared" si="12"/>
        <v>0</v>
      </c>
    </row>
    <row r="15" spans="1:29" x14ac:dyDescent="0.35">
      <c r="A15" s="18">
        <v>42491</v>
      </c>
      <c r="B15">
        <f t="shared" si="0"/>
        <v>5</v>
      </c>
      <c r="C15" s="19">
        <v>57661.644361902465</v>
      </c>
      <c r="D15">
        <v>14</v>
      </c>
      <c r="E15">
        <f t="shared" si="2"/>
        <v>0</v>
      </c>
      <c r="F15">
        <f t="shared" si="3"/>
        <v>0</v>
      </c>
      <c r="G15">
        <f t="shared" si="4"/>
        <v>0</v>
      </c>
      <c r="H15">
        <f t="shared" si="5"/>
        <v>1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0</v>
      </c>
      <c r="O15">
        <f t="shared" si="12"/>
        <v>0</v>
      </c>
    </row>
    <row r="16" spans="1:29" x14ac:dyDescent="0.35">
      <c r="A16" s="18">
        <v>42522</v>
      </c>
      <c r="B16">
        <f t="shared" si="0"/>
        <v>6</v>
      </c>
      <c r="C16" s="19">
        <v>71427.427136079365</v>
      </c>
      <c r="D16">
        <v>15</v>
      </c>
      <c r="E16">
        <f t="shared" si="2"/>
        <v>0</v>
      </c>
      <c r="F16">
        <f t="shared" si="3"/>
        <v>0</v>
      </c>
      <c r="G16">
        <f t="shared" si="4"/>
        <v>0</v>
      </c>
      <c r="H16">
        <f t="shared" si="5"/>
        <v>0</v>
      </c>
      <c r="I16">
        <f t="shared" si="6"/>
        <v>1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  <c r="N16">
        <f t="shared" si="11"/>
        <v>0</v>
      </c>
      <c r="O16">
        <f t="shared" si="12"/>
        <v>0</v>
      </c>
    </row>
    <row r="17" spans="1:15" x14ac:dyDescent="0.35">
      <c r="A17" s="18">
        <v>42552</v>
      </c>
      <c r="B17">
        <f t="shared" si="0"/>
        <v>7</v>
      </c>
      <c r="C17" s="19">
        <v>73269.221154687097</v>
      </c>
      <c r="D17">
        <v>16</v>
      </c>
      <c r="E17">
        <f t="shared" si="2"/>
        <v>0</v>
      </c>
      <c r="F17">
        <f t="shared" si="3"/>
        <v>0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1</v>
      </c>
      <c r="K17">
        <f t="shared" si="8"/>
        <v>0</v>
      </c>
      <c r="L17">
        <f t="shared" si="9"/>
        <v>0</v>
      </c>
      <c r="M17">
        <f t="shared" si="10"/>
        <v>0</v>
      </c>
      <c r="N17">
        <f t="shared" si="11"/>
        <v>0</v>
      </c>
      <c r="O17">
        <f t="shared" si="12"/>
        <v>0</v>
      </c>
    </row>
    <row r="18" spans="1:15" x14ac:dyDescent="0.35">
      <c r="A18" s="18">
        <v>42583</v>
      </c>
      <c r="B18">
        <f t="shared" si="0"/>
        <v>8</v>
      </c>
      <c r="C18" s="19">
        <v>49695.440724543048</v>
      </c>
      <c r="D18">
        <v>17</v>
      </c>
      <c r="E18">
        <f t="shared" si="2"/>
        <v>0</v>
      </c>
      <c r="F18">
        <f t="shared" si="3"/>
        <v>0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1</v>
      </c>
      <c r="L18">
        <f t="shared" si="9"/>
        <v>0</v>
      </c>
      <c r="M18">
        <f t="shared" si="10"/>
        <v>0</v>
      </c>
      <c r="N18">
        <f t="shared" si="11"/>
        <v>0</v>
      </c>
      <c r="O18">
        <f t="shared" si="12"/>
        <v>0</v>
      </c>
    </row>
    <row r="19" spans="1:15" x14ac:dyDescent="0.35">
      <c r="A19" s="18">
        <v>42614</v>
      </c>
      <c r="B19">
        <f t="shared" si="0"/>
        <v>9</v>
      </c>
      <c r="C19" s="19">
        <v>49021.056798370417</v>
      </c>
      <c r="D19">
        <v>18</v>
      </c>
      <c r="E19">
        <f t="shared" si="2"/>
        <v>0</v>
      </c>
      <c r="F19">
        <f t="shared" si="3"/>
        <v>0</v>
      </c>
      <c r="G19">
        <f t="shared" si="4"/>
        <v>0</v>
      </c>
      <c r="H19">
        <f t="shared" si="5"/>
        <v>0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1</v>
      </c>
      <c r="M19">
        <f t="shared" si="10"/>
        <v>0</v>
      </c>
      <c r="N19">
        <f t="shared" si="11"/>
        <v>0</v>
      </c>
      <c r="O19">
        <f t="shared" si="12"/>
        <v>0</v>
      </c>
    </row>
    <row r="20" spans="1:15" x14ac:dyDescent="0.35">
      <c r="A20" s="18">
        <v>42644</v>
      </c>
      <c r="B20">
        <f t="shared" si="0"/>
        <v>10</v>
      </c>
      <c r="C20" s="19">
        <v>45263.233898384409</v>
      </c>
      <c r="D20">
        <v>19</v>
      </c>
      <c r="E20">
        <f t="shared" si="2"/>
        <v>0</v>
      </c>
      <c r="F20">
        <f t="shared" si="3"/>
        <v>0</v>
      </c>
      <c r="G20">
        <f t="shared" si="4"/>
        <v>0</v>
      </c>
      <c r="H20">
        <f t="shared" si="5"/>
        <v>0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1</v>
      </c>
      <c r="N20">
        <f t="shared" si="11"/>
        <v>0</v>
      </c>
      <c r="O20">
        <f t="shared" si="12"/>
        <v>0</v>
      </c>
    </row>
    <row r="21" spans="1:15" x14ac:dyDescent="0.35">
      <c r="A21" s="18">
        <v>42675</v>
      </c>
      <c r="B21">
        <f t="shared" si="0"/>
        <v>11</v>
      </c>
      <c r="C21" s="19">
        <v>42210.271554673229</v>
      </c>
      <c r="D21">
        <v>20</v>
      </c>
      <c r="E21">
        <f t="shared" si="2"/>
        <v>0</v>
      </c>
      <c r="F21">
        <f t="shared" si="3"/>
        <v>0</v>
      </c>
      <c r="G21">
        <f t="shared" si="4"/>
        <v>0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1</v>
      </c>
      <c r="O21">
        <f t="shared" si="12"/>
        <v>0</v>
      </c>
    </row>
    <row r="22" spans="1:15" x14ac:dyDescent="0.35">
      <c r="A22" s="18">
        <v>42705</v>
      </c>
      <c r="B22">
        <f t="shared" si="0"/>
        <v>12</v>
      </c>
      <c r="C22" s="19">
        <v>43968.33038451113</v>
      </c>
      <c r="D22">
        <v>21</v>
      </c>
      <c r="E22">
        <f t="shared" si="2"/>
        <v>0</v>
      </c>
      <c r="F22">
        <f t="shared" si="3"/>
        <v>0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0</v>
      </c>
      <c r="N22">
        <f t="shared" si="11"/>
        <v>0</v>
      </c>
      <c r="O22">
        <f t="shared" si="12"/>
        <v>1</v>
      </c>
    </row>
    <row r="23" spans="1:15" x14ac:dyDescent="0.35">
      <c r="A23" s="18">
        <v>42736</v>
      </c>
      <c r="B23">
        <f t="shared" si="0"/>
        <v>1</v>
      </c>
      <c r="C23" s="19">
        <v>43777.780465113377</v>
      </c>
      <c r="D23">
        <v>22</v>
      </c>
      <c r="E23">
        <f t="shared" si="2"/>
        <v>0</v>
      </c>
      <c r="F23">
        <f t="shared" si="3"/>
        <v>0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0</v>
      </c>
      <c r="N23">
        <f t="shared" si="11"/>
        <v>0</v>
      </c>
      <c r="O23">
        <f t="shared" si="12"/>
        <v>0</v>
      </c>
    </row>
    <row r="24" spans="1:15" x14ac:dyDescent="0.35">
      <c r="A24" s="18">
        <v>42767</v>
      </c>
      <c r="B24">
        <f t="shared" si="0"/>
        <v>2</v>
      </c>
      <c r="C24" s="19">
        <v>39523.678403704063</v>
      </c>
      <c r="D24">
        <v>23</v>
      </c>
      <c r="E24">
        <f t="shared" si="2"/>
        <v>1</v>
      </c>
      <c r="F24">
        <f t="shared" si="3"/>
        <v>0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0</v>
      </c>
      <c r="N24">
        <f t="shared" si="11"/>
        <v>0</v>
      </c>
      <c r="O24">
        <f t="shared" si="12"/>
        <v>0</v>
      </c>
    </row>
    <row r="25" spans="1:15" x14ac:dyDescent="0.35">
      <c r="A25" s="18">
        <v>42795</v>
      </c>
      <c r="B25">
        <f t="shared" si="0"/>
        <v>3</v>
      </c>
      <c r="C25" s="19">
        <v>40475.778434632201</v>
      </c>
      <c r="D25">
        <v>24</v>
      </c>
      <c r="E25">
        <f t="shared" si="2"/>
        <v>0</v>
      </c>
      <c r="F25">
        <f t="shared" si="3"/>
        <v>1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  <c r="N25">
        <f t="shared" si="11"/>
        <v>0</v>
      </c>
      <c r="O25">
        <f t="shared" si="12"/>
        <v>0</v>
      </c>
    </row>
    <row r="26" spans="1:15" x14ac:dyDescent="0.35">
      <c r="A26" s="18">
        <v>42826</v>
      </c>
      <c r="B26">
        <f t="shared" si="0"/>
        <v>4</v>
      </c>
      <c r="C26" s="19">
        <v>51166.551223958188</v>
      </c>
      <c r="D26">
        <v>25</v>
      </c>
      <c r="E26">
        <f t="shared" si="2"/>
        <v>0</v>
      </c>
      <c r="F26">
        <f t="shared" si="3"/>
        <v>0</v>
      </c>
      <c r="G26">
        <f t="shared" si="4"/>
        <v>1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0</v>
      </c>
      <c r="O26">
        <f t="shared" si="12"/>
        <v>0</v>
      </c>
    </row>
    <row r="27" spans="1:15" x14ac:dyDescent="0.35">
      <c r="A27" s="18">
        <v>42856</v>
      </c>
      <c r="B27">
        <f t="shared" si="0"/>
        <v>5</v>
      </c>
      <c r="C27" s="19">
        <v>51915.87757054394</v>
      </c>
      <c r="D27">
        <v>26</v>
      </c>
      <c r="E27">
        <f t="shared" si="2"/>
        <v>0</v>
      </c>
      <c r="F27">
        <f t="shared" si="3"/>
        <v>0</v>
      </c>
      <c r="G27">
        <f t="shared" si="4"/>
        <v>0</v>
      </c>
      <c r="H27">
        <f t="shared" si="5"/>
        <v>1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  <c r="O27">
        <f t="shared" si="12"/>
        <v>0</v>
      </c>
    </row>
    <row r="28" spans="1:15" x14ac:dyDescent="0.35">
      <c r="A28" s="18">
        <v>42887</v>
      </c>
      <c r="B28">
        <f t="shared" si="0"/>
        <v>6</v>
      </c>
      <c r="C28" s="19">
        <v>62274.423432872994</v>
      </c>
      <c r="D28">
        <v>27</v>
      </c>
      <c r="E28">
        <f t="shared" si="2"/>
        <v>0</v>
      </c>
      <c r="F28">
        <f t="shared" si="3"/>
        <v>0</v>
      </c>
      <c r="G28">
        <f t="shared" si="4"/>
        <v>0</v>
      </c>
      <c r="H28">
        <f t="shared" si="5"/>
        <v>0</v>
      </c>
      <c r="I28">
        <f t="shared" si="6"/>
        <v>1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0</v>
      </c>
      <c r="N28">
        <f t="shared" si="11"/>
        <v>0</v>
      </c>
      <c r="O28">
        <f t="shared" si="12"/>
        <v>0</v>
      </c>
    </row>
    <row r="29" spans="1:15" x14ac:dyDescent="0.35">
      <c r="A29" s="18"/>
      <c r="C29" s="20"/>
    </row>
    <row r="30" spans="1:15" x14ac:dyDescent="0.35">
      <c r="A30" s="18"/>
      <c r="C30" s="20"/>
    </row>
    <row r="31" spans="1:15" x14ac:dyDescent="0.35">
      <c r="A31" s="18"/>
      <c r="C31" s="20"/>
    </row>
    <row r="32" spans="1:15" x14ac:dyDescent="0.35">
      <c r="A32" s="18"/>
      <c r="C32" s="20"/>
    </row>
    <row r="33" spans="1:3" x14ac:dyDescent="0.35">
      <c r="A33" s="18"/>
      <c r="C33" s="20"/>
    </row>
    <row r="34" spans="1:3" x14ac:dyDescent="0.35">
      <c r="A34" s="18"/>
      <c r="C34" s="20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8820-24D5-4D91-B57F-8743C669A4C8}">
  <dimension ref="A1:Y209"/>
  <sheetViews>
    <sheetView workbookViewId="0">
      <selection activeCell="L10" sqref="L10"/>
    </sheetView>
  </sheetViews>
  <sheetFormatPr defaultRowHeight="14.5" x14ac:dyDescent="0.35"/>
  <cols>
    <col min="7" max="7" width="17.26953125" bestFit="1" customWidth="1"/>
    <col min="8" max="8" width="10.453125" bestFit="1" customWidth="1"/>
    <col min="12" max="12" width="10.453125" bestFit="1" customWidth="1"/>
    <col min="13" max="13" width="10.453125" customWidth="1"/>
    <col min="15" max="15" width="10.453125" bestFit="1" customWidth="1"/>
    <col min="22" max="22" width="17.26953125" bestFit="1" customWidth="1"/>
    <col min="23" max="23" width="10.453125" bestFit="1" customWidth="1"/>
  </cols>
  <sheetData>
    <row r="1" spans="1:25" x14ac:dyDescent="0.35">
      <c r="A1" s="1" t="s">
        <v>0</v>
      </c>
      <c r="B1" s="2" t="s">
        <v>6</v>
      </c>
      <c r="C1" s="2" t="s">
        <v>72</v>
      </c>
      <c r="D1" s="2" t="s">
        <v>7</v>
      </c>
      <c r="E1" s="2" t="s">
        <v>8</v>
      </c>
      <c r="F1" t="s">
        <v>73</v>
      </c>
      <c r="G1" s="2" t="s">
        <v>74</v>
      </c>
      <c r="H1" s="2" t="s">
        <v>75</v>
      </c>
      <c r="L1" t="s">
        <v>75</v>
      </c>
      <c r="M1" t="s">
        <v>9</v>
      </c>
    </row>
    <row r="2" spans="1:25" x14ac:dyDescent="0.35">
      <c r="A2" s="1">
        <v>106</v>
      </c>
      <c r="B2" s="3" t="s">
        <v>10</v>
      </c>
      <c r="C2" s="3">
        <f>IF(B2="Female",1,0)</f>
        <v>0</v>
      </c>
      <c r="D2">
        <v>5</v>
      </c>
      <c r="E2" s="4">
        <v>36000</v>
      </c>
      <c r="F2">
        <v>4.955712145418234E-3</v>
      </c>
      <c r="G2">
        <v>1</v>
      </c>
      <c r="H2" t="str">
        <f>VLOOKUP(G2,$K$2:$L$7,2,TRUE)</f>
        <v>Train-Fold1</v>
      </c>
      <c r="K2">
        <v>1</v>
      </c>
      <c r="L2" t="s">
        <v>78</v>
      </c>
      <c r="M2" s="22" t="s">
        <v>79</v>
      </c>
    </row>
    <row r="3" spans="1:25" x14ac:dyDescent="0.35">
      <c r="A3" s="1">
        <v>108</v>
      </c>
      <c r="B3" s="3" t="s">
        <v>11</v>
      </c>
      <c r="C3" s="3">
        <f t="shared" ref="C3:C66" si="0">IF(B3="Female",1,0)</f>
        <v>1</v>
      </c>
      <c r="D3">
        <v>7</v>
      </c>
      <c r="E3" s="4">
        <v>37500</v>
      </c>
      <c r="F3">
        <v>6.1431448537175859E-3</v>
      </c>
      <c r="G3">
        <v>2</v>
      </c>
      <c r="H3" t="str">
        <f t="shared" ref="H3:H66" si="1">VLOOKUP(G3,$K$2:$L$7,2,TRUE)</f>
        <v>Train-Fold1</v>
      </c>
      <c r="K3">
        <v>31</v>
      </c>
      <c r="L3" t="s">
        <v>80</v>
      </c>
      <c r="M3" s="23" t="s">
        <v>81</v>
      </c>
      <c r="X3" s="24"/>
      <c r="Y3" s="24"/>
    </row>
    <row r="4" spans="1:25" x14ac:dyDescent="0.35">
      <c r="A4" s="1">
        <v>148</v>
      </c>
      <c r="B4" s="3" t="s">
        <v>10</v>
      </c>
      <c r="C4" s="3">
        <f t="shared" si="0"/>
        <v>0</v>
      </c>
      <c r="D4">
        <v>6</v>
      </c>
      <c r="E4" s="4">
        <v>44000</v>
      </c>
      <c r="F4">
        <v>1.5297435658177205E-2</v>
      </c>
      <c r="G4">
        <v>3</v>
      </c>
      <c r="H4" t="str">
        <f t="shared" si="1"/>
        <v>Train-Fold1</v>
      </c>
      <c r="K4">
        <v>61</v>
      </c>
      <c r="L4" t="s">
        <v>83</v>
      </c>
      <c r="M4" s="23" t="s">
        <v>84</v>
      </c>
    </row>
    <row r="5" spans="1:25" x14ac:dyDescent="0.35">
      <c r="A5" s="1">
        <v>107</v>
      </c>
      <c r="B5" s="3" t="s">
        <v>11</v>
      </c>
      <c r="C5" s="3">
        <f t="shared" si="0"/>
        <v>1</v>
      </c>
      <c r="D5">
        <v>7</v>
      </c>
      <c r="E5" s="4">
        <v>36200</v>
      </c>
      <c r="F5">
        <v>1.7316861227402836E-2</v>
      </c>
      <c r="G5">
        <v>4</v>
      </c>
      <c r="H5" t="str">
        <f t="shared" si="1"/>
        <v>Train-Fold1</v>
      </c>
      <c r="K5">
        <v>91</v>
      </c>
      <c r="L5" t="s">
        <v>85</v>
      </c>
      <c r="M5" s="23" t="s">
        <v>86</v>
      </c>
    </row>
    <row r="6" spans="1:25" x14ac:dyDescent="0.35">
      <c r="A6" s="1">
        <v>165</v>
      </c>
      <c r="B6" s="3" t="s">
        <v>10</v>
      </c>
      <c r="C6" s="3">
        <f t="shared" si="0"/>
        <v>0</v>
      </c>
      <c r="D6">
        <v>6</v>
      </c>
      <c r="E6" s="4">
        <v>47000</v>
      </c>
      <c r="F6">
        <v>2.4626626941314345E-2</v>
      </c>
      <c r="G6">
        <v>5</v>
      </c>
      <c r="H6" t="str">
        <f t="shared" si="1"/>
        <v>Train-Fold1</v>
      </c>
      <c r="K6">
        <v>121</v>
      </c>
      <c r="L6" t="s">
        <v>87</v>
      </c>
      <c r="M6" s="23" t="s">
        <v>88</v>
      </c>
    </row>
    <row r="7" spans="1:25" x14ac:dyDescent="0.35">
      <c r="A7" s="1">
        <v>97</v>
      </c>
      <c r="B7" s="3" t="s">
        <v>11</v>
      </c>
      <c r="C7" s="3">
        <f t="shared" si="0"/>
        <v>1</v>
      </c>
      <c r="D7">
        <v>5</v>
      </c>
      <c r="E7" s="4">
        <v>40200</v>
      </c>
      <c r="F7">
        <v>2.6304393247830848E-2</v>
      </c>
      <c r="G7">
        <v>6</v>
      </c>
      <c r="H7" t="str">
        <f t="shared" si="1"/>
        <v>Train-Fold1</v>
      </c>
      <c r="K7">
        <v>151</v>
      </c>
      <c r="L7" t="s">
        <v>89</v>
      </c>
      <c r="M7" s="23" t="s">
        <v>90</v>
      </c>
      <c r="O7" s="25"/>
      <c r="P7" s="1"/>
      <c r="Q7" s="2"/>
      <c r="R7" s="2"/>
      <c r="S7" s="2"/>
      <c r="T7" s="2"/>
      <c r="V7" s="2"/>
      <c r="W7" s="2"/>
      <c r="X7" s="2"/>
      <c r="Y7" s="2"/>
    </row>
    <row r="8" spans="1:25" x14ac:dyDescent="0.35">
      <c r="A8" s="1">
        <v>190</v>
      </c>
      <c r="B8" s="3" t="s">
        <v>10</v>
      </c>
      <c r="C8" s="3">
        <f t="shared" si="0"/>
        <v>0</v>
      </c>
      <c r="D8">
        <v>11</v>
      </c>
      <c r="E8" s="4">
        <v>47000</v>
      </c>
      <c r="F8">
        <v>2.6925054500447021E-2</v>
      </c>
      <c r="G8">
        <v>7</v>
      </c>
      <c r="H8" t="str">
        <f t="shared" si="1"/>
        <v>Train-Fold1</v>
      </c>
      <c r="P8" s="1"/>
      <c r="Q8" s="3"/>
      <c r="R8" s="3"/>
      <c r="T8" s="4"/>
    </row>
    <row r="9" spans="1:25" x14ac:dyDescent="0.35">
      <c r="A9" s="1">
        <v>76</v>
      </c>
      <c r="B9" s="3" t="s">
        <v>11</v>
      </c>
      <c r="C9" s="3">
        <f t="shared" si="0"/>
        <v>1</v>
      </c>
      <c r="D9">
        <v>9</v>
      </c>
      <c r="E9" s="4">
        <v>31700</v>
      </c>
      <c r="F9">
        <v>3.5948080606175936E-2</v>
      </c>
      <c r="G9">
        <v>8</v>
      </c>
      <c r="H9" t="str">
        <f t="shared" si="1"/>
        <v>Train-Fold1</v>
      </c>
      <c r="P9" s="1"/>
      <c r="Q9" s="3"/>
      <c r="R9" s="3"/>
      <c r="T9" s="4"/>
    </row>
    <row r="10" spans="1:25" x14ac:dyDescent="0.35">
      <c r="A10" s="1">
        <v>91</v>
      </c>
      <c r="B10" s="3" t="s">
        <v>11</v>
      </c>
      <c r="C10" s="3">
        <f t="shared" si="0"/>
        <v>1</v>
      </c>
      <c r="D10">
        <v>15</v>
      </c>
      <c r="E10" s="4">
        <v>38200</v>
      </c>
      <c r="F10">
        <v>4.4209817880143443E-2</v>
      </c>
      <c r="G10">
        <v>9</v>
      </c>
      <c r="H10" t="str">
        <f t="shared" si="1"/>
        <v>Train-Fold1</v>
      </c>
      <c r="P10" s="1"/>
      <c r="Q10" s="3"/>
      <c r="R10" s="3"/>
      <c r="T10" s="4"/>
    </row>
    <row r="11" spans="1:25" x14ac:dyDescent="0.35">
      <c r="A11" s="1">
        <v>155</v>
      </c>
      <c r="B11" s="3" t="s">
        <v>11</v>
      </c>
      <c r="C11" s="3">
        <f t="shared" si="0"/>
        <v>1</v>
      </c>
      <c r="D11">
        <v>7</v>
      </c>
      <c r="E11" s="4">
        <v>44000</v>
      </c>
      <c r="F11">
        <v>5.4169836017509465E-2</v>
      </c>
      <c r="G11">
        <v>10</v>
      </c>
      <c r="H11" t="str">
        <f t="shared" si="1"/>
        <v>Train-Fold1</v>
      </c>
      <c r="P11" s="1"/>
      <c r="Q11" s="3"/>
      <c r="R11" s="3"/>
      <c r="T11" s="4"/>
    </row>
    <row r="12" spans="1:25" x14ac:dyDescent="0.35">
      <c r="A12" s="1">
        <v>10</v>
      </c>
      <c r="B12" s="3" t="s">
        <v>11</v>
      </c>
      <c r="C12" s="3">
        <f t="shared" si="0"/>
        <v>1</v>
      </c>
      <c r="D12">
        <v>9</v>
      </c>
      <c r="E12" s="4">
        <v>29500</v>
      </c>
      <c r="F12">
        <v>6.140767217208476E-2</v>
      </c>
      <c r="G12">
        <v>11</v>
      </c>
      <c r="H12" t="str">
        <f t="shared" si="1"/>
        <v>Train-Fold1</v>
      </c>
      <c r="P12" s="1"/>
      <c r="Q12" s="3"/>
      <c r="R12" s="3"/>
      <c r="T12" s="4"/>
    </row>
    <row r="13" spans="1:25" x14ac:dyDescent="0.35">
      <c r="A13" s="1">
        <v>104</v>
      </c>
      <c r="B13" s="3" t="s">
        <v>11</v>
      </c>
      <c r="C13" s="3">
        <f t="shared" si="0"/>
        <v>1</v>
      </c>
      <c r="D13">
        <v>15</v>
      </c>
      <c r="E13" s="4">
        <v>36100</v>
      </c>
      <c r="F13">
        <v>6.9389364307451462E-2</v>
      </c>
      <c r="G13">
        <v>12</v>
      </c>
      <c r="H13" t="str">
        <f t="shared" si="1"/>
        <v>Train-Fold1</v>
      </c>
      <c r="P13" s="1"/>
      <c r="Q13" s="3"/>
      <c r="R13" s="3"/>
      <c r="T13" s="4"/>
    </row>
    <row r="14" spans="1:25" x14ac:dyDescent="0.35">
      <c r="A14" s="1">
        <v>111</v>
      </c>
      <c r="B14" s="3" t="s">
        <v>11</v>
      </c>
      <c r="C14" s="3">
        <f t="shared" si="0"/>
        <v>1</v>
      </c>
      <c r="D14">
        <v>5</v>
      </c>
      <c r="E14" s="4">
        <v>39800</v>
      </c>
      <c r="F14">
        <v>6.9811444495743613E-2</v>
      </c>
      <c r="G14">
        <v>13</v>
      </c>
      <c r="H14" t="str">
        <f t="shared" si="1"/>
        <v>Train-Fold1</v>
      </c>
      <c r="P14" s="1"/>
      <c r="Q14" s="3"/>
      <c r="R14" s="3"/>
      <c r="T14" s="4"/>
    </row>
    <row r="15" spans="1:25" x14ac:dyDescent="0.35">
      <c r="A15" s="1">
        <v>93</v>
      </c>
      <c r="B15" s="3" t="s">
        <v>10</v>
      </c>
      <c r="C15" s="3">
        <f t="shared" si="0"/>
        <v>0</v>
      </c>
      <c r="D15">
        <v>3</v>
      </c>
      <c r="E15" s="4">
        <v>34500</v>
      </c>
      <c r="F15">
        <v>7.0210038760075588E-2</v>
      </c>
      <c r="G15">
        <v>14</v>
      </c>
      <c r="H15" t="str">
        <f t="shared" si="1"/>
        <v>Train-Fold1</v>
      </c>
      <c r="P15" s="1"/>
      <c r="Q15" s="3"/>
      <c r="R15" s="3"/>
      <c r="T15" s="4"/>
    </row>
    <row r="16" spans="1:25" x14ac:dyDescent="0.35">
      <c r="A16" s="1">
        <v>22</v>
      </c>
      <c r="B16" s="3" t="s">
        <v>10</v>
      </c>
      <c r="C16" s="3">
        <f t="shared" si="0"/>
        <v>0</v>
      </c>
      <c r="D16">
        <v>3</v>
      </c>
      <c r="E16" s="4">
        <v>31000</v>
      </c>
      <c r="F16">
        <v>7.2546334003884216E-2</v>
      </c>
      <c r="G16">
        <v>15</v>
      </c>
      <c r="H16" t="str">
        <f t="shared" si="1"/>
        <v>Train-Fold1</v>
      </c>
      <c r="P16" s="1"/>
      <c r="Q16" s="3"/>
      <c r="R16" s="3"/>
      <c r="T16" s="4"/>
    </row>
    <row r="17" spans="1:25" x14ac:dyDescent="0.35">
      <c r="A17" s="1">
        <v>52</v>
      </c>
      <c r="B17" s="3" t="s">
        <v>11</v>
      </c>
      <c r="C17" s="3">
        <f t="shared" si="0"/>
        <v>1</v>
      </c>
      <c r="D17">
        <v>4</v>
      </c>
      <c r="E17" s="4">
        <v>34000</v>
      </c>
      <c r="F17">
        <v>7.6249076654617998E-2</v>
      </c>
      <c r="G17">
        <v>16</v>
      </c>
      <c r="H17" t="str">
        <f t="shared" si="1"/>
        <v>Train-Fold1</v>
      </c>
      <c r="P17" s="1"/>
      <c r="Q17" s="3"/>
      <c r="R17" s="3"/>
      <c r="T17" s="4"/>
    </row>
    <row r="18" spans="1:25" x14ac:dyDescent="0.35">
      <c r="A18" s="1">
        <v>30</v>
      </c>
      <c r="B18" s="3" t="s">
        <v>11</v>
      </c>
      <c r="C18" s="3">
        <f t="shared" si="0"/>
        <v>1</v>
      </c>
      <c r="D18">
        <v>4</v>
      </c>
      <c r="E18" s="4">
        <v>33000</v>
      </c>
      <c r="F18">
        <v>7.9264904654075319E-2</v>
      </c>
      <c r="G18">
        <v>17</v>
      </c>
      <c r="H18" t="str">
        <f t="shared" si="1"/>
        <v>Train-Fold1</v>
      </c>
      <c r="P18" s="1"/>
      <c r="Q18" s="3"/>
      <c r="R18" s="3"/>
      <c r="T18" s="4"/>
    </row>
    <row r="19" spans="1:25" x14ac:dyDescent="0.35">
      <c r="A19" s="1">
        <v>56</v>
      </c>
      <c r="B19" s="3" t="s">
        <v>11</v>
      </c>
      <c r="C19" s="3">
        <f t="shared" si="0"/>
        <v>1</v>
      </c>
      <c r="D19">
        <v>9</v>
      </c>
      <c r="E19" s="4">
        <v>29800</v>
      </c>
      <c r="F19">
        <v>8.4344113666200315E-2</v>
      </c>
      <c r="G19">
        <v>18</v>
      </c>
      <c r="H19" t="str">
        <f t="shared" si="1"/>
        <v>Train-Fold1</v>
      </c>
      <c r="P19" s="1"/>
      <c r="Q19" s="3"/>
      <c r="R19" s="3"/>
      <c r="T19" s="4"/>
    </row>
    <row r="20" spans="1:25" x14ac:dyDescent="0.35">
      <c r="A20" s="1">
        <v>177</v>
      </c>
      <c r="B20" s="3" t="s">
        <v>10</v>
      </c>
      <c r="C20" s="3">
        <f t="shared" si="0"/>
        <v>0</v>
      </c>
      <c r="D20">
        <v>6</v>
      </c>
      <c r="E20" s="4">
        <v>47000</v>
      </c>
      <c r="F20">
        <v>8.9751766231960572E-2</v>
      </c>
      <c r="G20">
        <v>19</v>
      </c>
      <c r="H20" t="str">
        <f t="shared" si="1"/>
        <v>Train-Fold1</v>
      </c>
      <c r="P20" s="1"/>
      <c r="Q20" s="3"/>
      <c r="R20" s="3"/>
      <c r="T20" s="4"/>
    </row>
    <row r="21" spans="1:25" x14ac:dyDescent="0.35">
      <c r="A21" s="1">
        <v>180</v>
      </c>
      <c r="B21" s="3" t="s">
        <v>10</v>
      </c>
      <c r="C21" s="3">
        <f t="shared" si="0"/>
        <v>0</v>
      </c>
      <c r="D21">
        <v>8</v>
      </c>
      <c r="E21" s="4">
        <v>48500</v>
      </c>
      <c r="F21">
        <v>8.9988033598152994E-2</v>
      </c>
      <c r="G21">
        <v>20</v>
      </c>
      <c r="H21" t="str">
        <f t="shared" si="1"/>
        <v>Train-Fold1</v>
      </c>
      <c r="P21" s="1"/>
      <c r="Q21" s="3"/>
      <c r="R21" s="3"/>
      <c r="T21" s="4"/>
    </row>
    <row r="22" spans="1:25" x14ac:dyDescent="0.35">
      <c r="A22" s="1">
        <v>31</v>
      </c>
      <c r="B22" s="3" t="s">
        <v>11</v>
      </c>
      <c r="C22" s="3">
        <f t="shared" si="0"/>
        <v>1</v>
      </c>
      <c r="D22">
        <v>7</v>
      </c>
      <c r="E22" s="4">
        <v>28760</v>
      </c>
      <c r="F22">
        <v>9.2453790478897568E-2</v>
      </c>
      <c r="G22">
        <v>21</v>
      </c>
      <c r="H22" t="str">
        <f t="shared" si="1"/>
        <v>Train-Fold1</v>
      </c>
      <c r="P22" s="1"/>
      <c r="Q22" s="3"/>
      <c r="R22" s="3"/>
      <c r="T22" s="4"/>
    </row>
    <row r="23" spans="1:25" x14ac:dyDescent="0.35">
      <c r="A23" s="1">
        <v>198</v>
      </c>
      <c r="B23" s="3" t="s">
        <v>10</v>
      </c>
      <c r="C23" s="3">
        <f t="shared" si="0"/>
        <v>0</v>
      </c>
      <c r="D23">
        <v>12</v>
      </c>
      <c r="E23" s="4">
        <v>60000</v>
      </c>
      <c r="F23">
        <v>9.8881683689632571E-2</v>
      </c>
      <c r="G23">
        <v>22</v>
      </c>
      <c r="H23" t="str">
        <f t="shared" si="1"/>
        <v>Train-Fold1</v>
      </c>
      <c r="P23" s="1"/>
      <c r="Q23" s="3"/>
      <c r="R23" s="3"/>
      <c r="T23" s="4"/>
    </row>
    <row r="24" spans="1:25" x14ac:dyDescent="0.35">
      <c r="A24" s="1">
        <v>159</v>
      </c>
      <c r="B24" s="3" t="s">
        <v>10</v>
      </c>
      <c r="C24" s="3">
        <f t="shared" si="0"/>
        <v>0</v>
      </c>
      <c r="D24">
        <v>4</v>
      </c>
      <c r="E24" s="4">
        <v>41800</v>
      </c>
      <c r="F24">
        <v>0.10235232955282159</v>
      </c>
      <c r="G24">
        <v>23</v>
      </c>
      <c r="H24" t="str">
        <f t="shared" si="1"/>
        <v>Train-Fold1</v>
      </c>
      <c r="P24" s="1"/>
      <c r="Q24" s="3"/>
      <c r="R24" s="3"/>
      <c r="T24" s="4"/>
    </row>
    <row r="25" spans="1:25" x14ac:dyDescent="0.35">
      <c r="A25" s="1">
        <v>102</v>
      </c>
      <c r="B25" s="3" t="s">
        <v>11</v>
      </c>
      <c r="C25" s="3">
        <f t="shared" si="0"/>
        <v>1</v>
      </c>
      <c r="D25">
        <v>14</v>
      </c>
      <c r="E25" s="4">
        <v>34100</v>
      </c>
      <c r="F25">
        <v>0.10343111799796612</v>
      </c>
      <c r="G25">
        <v>24</v>
      </c>
      <c r="H25" t="str">
        <f t="shared" si="1"/>
        <v>Train-Fold1</v>
      </c>
      <c r="P25" s="1"/>
      <c r="Q25" s="3"/>
      <c r="R25" s="3"/>
      <c r="T25" s="4"/>
    </row>
    <row r="26" spans="1:25" x14ac:dyDescent="0.35">
      <c r="A26" s="1">
        <v>202</v>
      </c>
      <c r="B26" s="3" t="s">
        <v>10</v>
      </c>
      <c r="C26" s="3">
        <f t="shared" si="0"/>
        <v>0</v>
      </c>
      <c r="D26">
        <v>21</v>
      </c>
      <c r="E26" s="4">
        <v>60000</v>
      </c>
      <c r="F26">
        <v>0.11148872432128587</v>
      </c>
      <c r="G26">
        <v>25</v>
      </c>
      <c r="H26" t="str">
        <f t="shared" si="1"/>
        <v>Train-Fold1</v>
      </c>
      <c r="P26" s="1"/>
      <c r="Q26" s="3"/>
      <c r="R26" s="3"/>
      <c r="T26" s="4"/>
    </row>
    <row r="27" spans="1:25" x14ac:dyDescent="0.35">
      <c r="A27" s="1">
        <v>96</v>
      </c>
      <c r="B27" s="3" t="s">
        <v>11</v>
      </c>
      <c r="C27" s="3">
        <f t="shared" si="0"/>
        <v>1</v>
      </c>
      <c r="D27">
        <v>8</v>
      </c>
      <c r="E27" s="4">
        <v>37300</v>
      </c>
      <c r="F27">
        <v>0.11995671718820156</v>
      </c>
      <c r="G27">
        <v>26</v>
      </c>
      <c r="H27" t="str">
        <f t="shared" si="1"/>
        <v>Train-Fold1</v>
      </c>
      <c r="P27" s="1"/>
      <c r="Q27" s="3"/>
      <c r="R27" s="3"/>
      <c r="T27" s="4"/>
    </row>
    <row r="28" spans="1:25" x14ac:dyDescent="0.35">
      <c r="A28" s="1">
        <v>122</v>
      </c>
      <c r="B28" s="3" t="s">
        <v>10</v>
      </c>
      <c r="C28" s="3">
        <f t="shared" si="0"/>
        <v>0</v>
      </c>
      <c r="D28">
        <v>5</v>
      </c>
      <c r="E28" s="4">
        <v>36300</v>
      </c>
      <c r="F28">
        <v>0.12870109747816061</v>
      </c>
      <c r="G28">
        <v>27</v>
      </c>
      <c r="H28" t="str">
        <f t="shared" si="1"/>
        <v>Train-Fold1</v>
      </c>
      <c r="P28" s="1"/>
      <c r="Q28" s="3"/>
      <c r="R28" s="3"/>
      <c r="T28" s="4"/>
    </row>
    <row r="29" spans="1:25" x14ac:dyDescent="0.35">
      <c r="A29" s="1">
        <v>126</v>
      </c>
      <c r="B29" s="3" t="s">
        <v>11</v>
      </c>
      <c r="C29" s="3">
        <f t="shared" si="0"/>
        <v>1</v>
      </c>
      <c r="D29">
        <v>8</v>
      </c>
      <c r="E29" s="4">
        <v>32500</v>
      </c>
      <c r="F29">
        <v>0.13067740277149542</v>
      </c>
      <c r="G29">
        <v>28</v>
      </c>
      <c r="H29" t="str">
        <f t="shared" si="1"/>
        <v>Train-Fold1</v>
      </c>
      <c r="P29" s="1"/>
      <c r="Q29" s="3"/>
      <c r="R29" s="3"/>
      <c r="T29" s="4"/>
    </row>
    <row r="30" spans="1:25" x14ac:dyDescent="0.35">
      <c r="A30" s="1">
        <v>144</v>
      </c>
      <c r="B30" s="3" t="s">
        <v>11</v>
      </c>
      <c r="C30" s="3">
        <f t="shared" si="0"/>
        <v>1</v>
      </c>
      <c r="D30">
        <v>8</v>
      </c>
      <c r="E30" s="4">
        <v>38000</v>
      </c>
      <c r="F30">
        <v>0.1314587472591684</v>
      </c>
      <c r="G30">
        <v>29</v>
      </c>
      <c r="H30" t="str">
        <f t="shared" si="1"/>
        <v>Train-Fold1</v>
      </c>
      <c r="P30" s="1"/>
      <c r="Q30" s="3"/>
      <c r="R30" s="3"/>
      <c r="T30" s="4"/>
    </row>
    <row r="31" spans="1:25" x14ac:dyDescent="0.35">
      <c r="A31" s="1">
        <v>133</v>
      </c>
      <c r="B31" s="3" t="s">
        <v>11</v>
      </c>
      <c r="C31" s="3">
        <f t="shared" si="0"/>
        <v>1</v>
      </c>
      <c r="D31">
        <v>21</v>
      </c>
      <c r="E31" s="4">
        <v>35300</v>
      </c>
      <c r="F31">
        <v>0.14065695578840742</v>
      </c>
      <c r="G31">
        <v>30</v>
      </c>
      <c r="H31" t="str">
        <f t="shared" si="1"/>
        <v>Train-Fold1</v>
      </c>
      <c r="P31" s="1"/>
      <c r="Q31" s="3"/>
      <c r="R31" s="3"/>
      <c r="T31" s="4"/>
    </row>
    <row r="32" spans="1:25" x14ac:dyDescent="0.35">
      <c r="A32" s="1">
        <v>89</v>
      </c>
      <c r="B32" s="3" t="s">
        <v>10</v>
      </c>
      <c r="C32" s="3">
        <f t="shared" si="0"/>
        <v>0</v>
      </c>
      <c r="D32">
        <v>4</v>
      </c>
      <c r="E32" s="4">
        <v>34000</v>
      </c>
      <c r="F32">
        <v>0.1431528601212565</v>
      </c>
      <c r="G32">
        <v>31</v>
      </c>
      <c r="H32" t="str">
        <f t="shared" si="1"/>
        <v>Train-Fold2</v>
      </c>
      <c r="P32" s="1">
        <v>202</v>
      </c>
      <c r="Q32" s="3" t="s">
        <v>10</v>
      </c>
      <c r="R32" s="3">
        <f t="shared" ref="R32:R37" si="2">IF(Q32="Female",1,0)</f>
        <v>0</v>
      </c>
      <c r="S32">
        <v>21</v>
      </c>
      <c r="T32" s="4">
        <v>60000</v>
      </c>
      <c r="U32">
        <v>0.11148872432128587</v>
      </c>
      <c r="V32">
        <v>25</v>
      </c>
      <c r="W32" t="str">
        <f t="shared" ref="W32:W37" si="3">VLOOKUP(V32,$K$2:$L$7,2,TRUE)</f>
        <v>Train-Fold1</v>
      </c>
      <c r="X32">
        <f t="shared" ref="X32:X37" si="4">$X$4+$X$5*S32</f>
        <v>0</v>
      </c>
      <c r="Y32">
        <f t="shared" ref="Y32:Y37" si="5">$Y$4+$Y$5*R32+$Y$6*S32</f>
        <v>0</v>
      </c>
    </row>
    <row r="33" spans="1:25" x14ac:dyDescent="0.35">
      <c r="A33" s="1">
        <v>44</v>
      </c>
      <c r="B33" s="3" t="s">
        <v>11</v>
      </c>
      <c r="C33" s="3">
        <f t="shared" si="0"/>
        <v>1</v>
      </c>
      <c r="D33">
        <v>12</v>
      </c>
      <c r="E33" s="4">
        <v>33000</v>
      </c>
      <c r="F33">
        <v>0.14788939147390501</v>
      </c>
      <c r="G33">
        <v>32</v>
      </c>
      <c r="H33" t="str">
        <f t="shared" si="1"/>
        <v>Train-Fold2</v>
      </c>
      <c r="P33" s="1">
        <v>96</v>
      </c>
      <c r="Q33" s="3" t="s">
        <v>11</v>
      </c>
      <c r="R33" s="3">
        <f t="shared" si="2"/>
        <v>1</v>
      </c>
      <c r="S33">
        <v>8</v>
      </c>
      <c r="T33" s="4">
        <v>37300</v>
      </c>
      <c r="U33">
        <v>0.11995671718820156</v>
      </c>
      <c r="V33">
        <v>26</v>
      </c>
      <c r="W33" t="str">
        <f t="shared" si="3"/>
        <v>Train-Fold1</v>
      </c>
      <c r="X33">
        <f t="shared" si="4"/>
        <v>0</v>
      </c>
      <c r="Y33">
        <f t="shared" si="5"/>
        <v>0</v>
      </c>
    </row>
    <row r="34" spans="1:25" x14ac:dyDescent="0.35">
      <c r="A34" s="1">
        <v>168</v>
      </c>
      <c r="B34" s="3" t="s">
        <v>11</v>
      </c>
      <c r="C34" s="3">
        <f t="shared" si="0"/>
        <v>1</v>
      </c>
      <c r="D34">
        <v>9</v>
      </c>
      <c r="E34" s="4">
        <v>42700</v>
      </c>
      <c r="F34">
        <v>0.15943873975029355</v>
      </c>
      <c r="G34">
        <v>33</v>
      </c>
      <c r="H34" t="str">
        <f t="shared" si="1"/>
        <v>Train-Fold2</v>
      </c>
      <c r="P34" s="1">
        <v>122</v>
      </c>
      <c r="Q34" s="3" t="s">
        <v>10</v>
      </c>
      <c r="R34" s="3">
        <f t="shared" si="2"/>
        <v>0</v>
      </c>
      <c r="S34">
        <v>5</v>
      </c>
      <c r="T34" s="4">
        <v>36300</v>
      </c>
      <c r="U34">
        <v>0.12870109747816061</v>
      </c>
      <c r="V34">
        <v>27</v>
      </c>
      <c r="W34" t="str">
        <f t="shared" si="3"/>
        <v>Train-Fold1</v>
      </c>
      <c r="X34">
        <f t="shared" si="4"/>
        <v>0</v>
      </c>
      <c r="Y34">
        <f t="shared" si="5"/>
        <v>0</v>
      </c>
    </row>
    <row r="35" spans="1:25" x14ac:dyDescent="0.35">
      <c r="A35" s="1">
        <v>184</v>
      </c>
      <c r="B35" s="3" t="s">
        <v>10</v>
      </c>
      <c r="C35" s="3">
        <f t="shared" si="0"/>
        <v>0</v>
      </c>
      <c r="D35">
        <v>7</v>
      </c>
      <c r="E35" s="4">
        <v>48000</v>
      </c>
      <c r="F35">
        <v>0.16779899840499413</v>
      </c>
      <c r="G35">
        <v>34</v>
      </c>
      <c r="H35" t="str">
        <f t="shared" si="1"/>
        <v>Train-Fold2</v>
      </c>
      <c r="P35" s="1">
        <v>126</v>
      </c>
      <c r="Q35" s="3" t="s">
        <v>11</v>
      </c>
      <c r="R35" s="3">
        <f t="shared" si="2"/>
        <v>1</v>
      </c>
      <c r="S35">
        <v>8</v>
      </c>
      <c r="T35" s="4">
        <v>32500</v>
      </c>
      <c r="U35">
        <v>0.13067740277149542</v>
      </c>
      <c r="V35">
        <v>28</v>
      </c>
      <c r="W35" t="str">
        <f t="shared" si="3"/>
        <v>Train-Fold1</v>
      </c>
      <c r="X35">
        <f t="shared" si="4"/>
        <v>0</v>
      </c>
      <c r="Y35">
        <f t="shared" si="5"/>
        <v>0</v>
      </c>
    </row>
    <row r="36" spans="1:25" x14ac:dyDescent="0.35">
      <c r="A36" s="1">
        <v>37</v>
      </c>
      <c r="B36" s="3" t="s">
        <v>11</v>
      </c>
      <c r="C36" s="3">
        <f t="shared" si="0"/>
        <v>1</v>
      </c>
      <c r="D36">
        <v>3</v>
      </c>
      <c r="E36" s="4">
        <v>34600</v>
      </c>
      <c r="F36">
        <v>0.17364816696206853</v>
      </c>
      <c r="G36">
        <v>35</v>
      </c>
      <c r="H36" t="str">
        <f t="shared" si="1"/>
        <v>Train-Fold2</v>
      </c>
      <c r="P36" s="1">
        <v>144</v>
      </c>
      <c r="Q36" s="3" t="s">
        <v>11</v>
      </c>
      <c r="R36" s="3">
        <f t="shared" si="2"/>
        <v>1</v>
      </c>
      <c r="S36">
        <v>8</v>
      </c>
      <c r="T36" s="4">
        <v>38000</v>
      </c>
      <c r="U36">
        <v>0.1314587472591684</v>
      </c>
      <c r="V36">
        <v>29</v>
      </c>
      <c r="W36" t="str">
        <f t="shared" si="3"/>
        <v>Train-Fold1</v>
      </c>
      <c r="X36">
        <f t="shared" si="4"/>
        <v>0</v>
      </c>
      <c r="Y36">
        <f t="shared" si="5"/>
        <v>0</v>
      </c>
    </row>
    <row r="37" spans="1:25" x14ac:dyDescent="0.35">
      <c r="A37" s="1">
        <v>8</v>
      </c>
      <c r="B37" s="3" t="s">
        <v>10</v>
      </c>
      <c r="C37" s="3">
        <f t="shared" si="0"/>
        <v>0</v>
      </c>
      <c r="D37">
        <v>8</v>
      </c>
      <c r="E37" s="4">
        <v>27000</v>
      </c>
      <c r="F37">
        <v>0.17466481389191502</v>
      </c>
      <c r="G37">
        <v>36</v>
      </c>
      <c r="H37" t="str">
        <f t="shared" si="1"/>
        <v>Train-Fold2</v>
      </c>
      <c r="P37" s="1">
        <v>133</v>
      </c>
      <c r="Q37" s="3" t="s">
        <v>11</v>
      </c>
      <c r="R37" s="3">
        <f t="shared" si="2"/>
        <v>1</v>
      </c>
      <c r="S37">
        <v>21</v>
      </c>
      <c r="T37" s="4">
        <v>35300</v>
      </c>
      <c r="U37">
        <v>0.14065695578840742</v>
      </c>
      <c r="V37">
        <v>30</v>
      </c>
      <c r="W37" t="str">
        <f t="shared" si="3"/>
        <v>Train-Fold1</v>
      </c>
      <c r="X37">
        <f t="shared" si="4"/>
        <v>0</v>
      </c>
      <c r="Y37">
        <f t="shared" si="5"/>
        <v>0</v>
      </c>
    </row>
    <row r="38" spans="1:25" x14ac:dyDescent="0.35">
      <c r="A38" s="1">
        <v>125</v>
      </c>
      <c r="B38" s="3" t="s">
        <v>11</v>
      </c>
      <c r="C38" s="3">
        <f t="shared" si="0"/>
        <v>1</v>
      </c>
      <c r="D38">
        <v>7</v>
      </c>
      <c r="E38" s="4">
        <v>36300</v>
      </c>
      <c r="F38">
        <v>0.17830079850845604</v>
      </c>
      <c r="G38">
        <v>37</v>
      </c>
      <c r="H38" t="str">
        <f t="shared" si="1"/>
        <v>Train-Fold2</v>
      </c>
    </row>
    <row r="39" spans="1:25" x14ac:dyDescent="0.35">
      <c r="A39" s="1">
        <v>206</v>
      </c>
      <c r="B39" s="3" t="s">
        <v>10</v>
      </c>
      <c r="C39" s="3">
        <f t="shared" si="0"/>
        <v>0</v>
      </c>
      <c r="D39">
        <v>32</v>
      </c>
      <c r="E39" s="4">
        <v>88000</v>
      </c>
      <c r="F39">
        <v>0.19574699507184357</v>
      </c>
      <c r="G39">
        <v>38</v>
      </c>
      <c r="H39" t="str">
        <f t="shared" si="1"/>
        <v>Train-Fold2</v>
      </c>
    </row>
    <row r="40" spans="1:25" x14ac:dyDescent="0.35">
      <c r="A40" s="1">
        <v>25</v>
      </c>
      <c r="B40" s="3" t="s">
        <v>10</v>
      </c>
      <c r="C40" s="3">
        <f t="shared" si="0"/>
        <v>0</v>
      </c>
      <c r="D40">
        <v>3</v>
      </c>
      <c r="E40" s="4">
        <v>30750</v>
      </c>
      <c r="F40">
        <v>0.19591119236385945</v>
      </c>
      <c r="G40">
        <v>39</v>
      </c>
      <c r="H40" t="str">
        <f t="shared" si="1"/>
        <v>Train-Fold2</v>
      </c>
    </row>
    <row r="41" spans="1:25" x14ac:dyDescent="0.35">
      <c r="A41" s="1">
        <v>166</v>
      </c>
      <c r="B41" s="3" t="s">
        <v>11</v>
      </c>
      <c r="C41" s="3">
        <f t="shared" si="0"/>
        <v>1</v>
      </c>
      <c r="D41">
        <v>15</v>
      </c>
      <c r="E41" s="4">
        <v>43800</v>
      </c>
      <c r="F41">
        <v>0.20540335923643782</v>
      </c>
      <c r="G41">
        <v>40</v>
      </c>
      <c r="H41" t="str">
        <f t="shared" si="1"/>
        <v>Train-Fold2</v>
      </c>
    </row>
    <row r="42" spans="1:25" x14ac:dyDescent="0.35">
      <c r="A42" s="1">
        <v>134</v>
      </c>
      <c r="B42" s="3" t="s">
        <v>11</v>
      </c>
      <c r="C42" s="3">
        <f t="shared" si="0"/>
        <v>1</v>
      </c>
      <c r="D42">
        <v>16</v>
      </c>
      <c r="E42" s="4">
        <v>42400</v>
      </c>
      <c r="F42">
        <v>0.2054675414094761</v>
      </c>
      <c r="G42">
        <v>41</v>
      </c>
      <c r="H42" t="str">
        <f t="shared" si="1"/>
        <v>Train-Fold2</v>
      </c>
    </row>
    <row r="43" spans="1:25" x14ac:dyDescent="0.35">
      <c r="A43" s="1">
        <v>135</v>
      </c>
      <c r="B43" s="3" t="s">
        <v>10</v>
      </c>
      <c r="C43" s="3">
        <f t="shared" si="0"/>
        <v>0</v>
      </c>
      <c r="D43">
        <v>5</v>
      </c>
      <c r="E43" s="4">
        <v>39500</v>
      </c>
      <c r="F43">
        <v>0.21180584536085856</v>
      </c>
      <c r="G43">
        <v>42</v>
      </c>
      <c r="H43" t="str">
        <f t="shared" si="1"/>
        <v>Train-Fold2</v>
      </c>
    </row>
    <row r="44" spans="1:25" x14ac:dyDescent="0.35">
      <c r="A44" s="1">
        <v>95</v>
      </c>
      <c r="B44" s="3" t="s">
        <v>10</v>
      </c>
      <c r="C44" s="3">
        <f t="shared" si="0"/>
        <v>0</v>
      </c>
      <c r="D44">
        <v>2</v>
      </c>
      <c r="E44" s="4">
        <v>30000</v>
      </c>
      <c r="F44">
        <v>0.21777221127260493</v>
      </c>
      <c r="G44">
        <v>43</v>
      </c>
      <c r="H44" t="str">
        <f t="shared" si="1"/>
        <v>Train-Fold2</v>
      </c>
    </row>
    <row r="45" spans="1:25" x14ac:dyDescent="0.35">
      <c r="A45" s="1">
        <v>154</v>
      </c>
      <c r="B45" s="3" t="s">
        <v>10</v>
      </c>
      <c r="C45" s="3">
        <f t="shared" si="0"/>
        <v>0</v>
      </c>
      <c r="D45">
        <v>6</v>
      </c>
      <c r="E45" s="4">
        <v>42500</v>
      </c>
      <c r="F45">
        <v>0.2231279478110737</v>
      </c>
      <c r="G45">
        <v>44</v>
      </c>
      <c r="H45" t="str">
        <f t="shared" si="1"/>
        <v>Train-Fold2</v>
      </c>
    </row>
    <row r="46" spans="1:25" x14ac:dyDescent="0.35">
      <c r="A46" s="1">
        <v>28</v>
      </c>
      <c r="B46" s="3" t="s">
        <v>11</v>
      </c>
      <c r="C46" s="3">
        <f t="shared" si="0"/>
        <v>1</v>
      </c>
      <c r="D46">
        <v>13</v>
      </c>
      <c r="E46" s="4">
        <v>37600</v>
      </c>
      <c r="F46">
        <v>0.22492065296294006</v>
      </c>
      <c r="G46">
        <v>45</v>
      </c>
      <c r="H46" t="str">
        <f t="shared" si="1"/>
        <v>Train-Fold2</v>
      </c>
    </row>
    <row r="47" spans="1:25" x14ac:dyDescent="0.35">
      <c r="A47" s="1">
        <v>178</v>
      </c>
      <c r="B47" s="3" t="s">
        <v>11</v>
      </c>
      <c r="C47" s="3">
        <f t="shared" si="0"/>
        <v>1</v>
      </c>
      <c r="D47">
        <v>17</v>
      </c>
      <c r="E47" s="4">
        <v>43100</v>
      </c>
      <c r="F47">
        <v>0.22634050551216545</v>
      </c>
      <c r="G47">
        <v>46</v>
      </c>
      <c r="H47" t="str">
        <f t="shared" si="1"/>
        <v>Train-Fold2</v>
      </c>
    </row>
    <row r="48" spans="1:25" x14ac:dyDescent="0.35">
      <c r="A48" s="1">
        <v>140</v>
      </c>
      <c r="B48" s="3" t="s">
        <v>11</v>
      </c>
      <c r="C48" s="3">
        <f t="shared" si="0"/>
        <v>1</v>
      </c>
      <c r="D48">
        <v>25</v>
      </c>
      <c r="E48" s="4">
        <v>40660</v>
      </c>
      <c r="F48">
        <v>0.2271071084079842</v>
      </c>
      <c r="G48">
        <v>47</v>
      </c>
      <c r="H48" t="str">
        <f t="shared" si="1"/>
        <v>Train-Fold2</v>
      </c>
    </row>
    <row r="49" spans="1:8" x14ac:dyDescent="0.35">
      <c r="A49" s="1">
        <v>34</v>
      </c>
      <c r="B49" s="3" t="s">
        <v>11</v>
      </c>
      <c r="C49" s="3">
        <f t="shared" si="0"/>
        <v>1</v>
      </c>
      <c r="D49">
        <v>18</v>
      </c>
      <c r="E49" s="4">
        <v>38800</v>
      </c>
      <c r="F49">
        <v>0.23321566899807045</v>
      </c>
      <c r="G49">
        <v>48</v>
      </c>
      <c r="H49" t="str">
        <f t="shared" si="1"/>
        <v>Train-Fold2</v>
      </c>
    </row>
    <row r="50" spans="1:8" x14ac:dyDescent="0.35">
      <c r="A50" s="1">
        <v>130</v>
      </c>
      <c r="B50" s="3" t="s">
        <v>11</v>
      </c>
      <c r="C50" s="3">
        <f t="shared" si="0"/>
        <v>1</v>
      </c>
      <c r="D50">
        <v>3</v>
      </c>
      <c r="E50" s="4">
        <v>35000</v>
      </c>
      <c r="F50">
        <v>0.23570315919561657</v>
      </c>
      <c r="G50">
        <v>49</v>
      </c>
      <c r="H50" t="str">
        <f t="shared" si="1"/>
        <v>Train-Fold2</v>
      </c>
    </row>
    <row r="51" spans="1:8" x14ac:dyDescent="0.35">
      <c r="A51" s="1">
        <v>41</v>
      </c>
      <c r="B51" s="3" t="s">
        <v>11</v>
      </c>
      <c r="C51" s="3">
        <f t="shared" si="0"/>
        <v>1</v>
      </c>
      <c r="D51">
        <v>5</v>
      </c>
      <c r="E51" s="4">
        <v>34200</v>
      </c>
      <c r="F51">
        <v>0.23915061145436267</v>
      </c>
      <c r="G51">
        <v>50</v>
      </c>
      <c r="H51" t="str">
        <f t="shared" si="1"/>
        <v>Train-Fold2</v>
      </c>
    </row>
    <row r="52" spans="1:8" x14ac:dyDescent="0.35">
      <c r="A52" s="1">
        <v>121</v>
      </c>
      <c r="B52" s="3" t="s">
        <v>11</v>
      </c>
      <c r="C52" s="3">
        <f t="shared" si="0"/>
        <v>1</v>
      </c>
      <c r="D52">
        <v>9</v>
      </c>
      <c r="E52" s="4">
        <v>33700</v>
      </c>
      <c r="F52">
        <v>0.25498816731403939</v>
      </c>
      <c r="G52">
        <v>51</v>
      </c>
      <c r="H52" t="str">
        <f t="shared" si="1"/>
        <v>Train-Fold2</v>
      </c>
    </row>
    <row r="53" spans="1:8" x14ac:dyDescent="0.35">
      <c r="A53" s="1">
        <v>174</v>
      </c>
      <c r="B53" s="3" t="s">
        <v>10</v>
      </c>
      <c r="C53" s="3">
        <f t="shared" si="0"/>
        <v>0</v>
      </c>
      <c r="D53">
        <v>7</v>
      </c>
      <c r="E53" s="4">
        <v>47500</v>
      </c>
      <c r="F53">
        <v>0.25953631917081466</v>
      </c>
      <c r="G53">
        <v>52</v>
      </c>
      <c r="H53" t="str">
        <f t="shared" si="1"/>
        <v>Train-Fold2</v>
      </c>
    </row>
    <row r="54" spans="1:8" x14ac:dyDescent="0.35">
      <c r="A54" s="1">
        <v>205</v>
      </c>
      <c r="B54" s="3" t="s">
        <v>10</v>
      </c>
      <c r="C54" s="3">
        <f t="shared" si="0"/>
        <v>0</v>
      </c>
      <c r="D54">
        <v>36</v>
      </c>
      <c r="E54" s="4">
        <v>97000</v>
      </c>
      <c r="F54">
        <v>0.26231232175782615</v>
      </c>
      <c r="G54">
        <v>53</v>
      </c>
      <c r="H54" t="str">
        <f t="shared" si="1"/>
        <v>Train-Fold2</v>
      </c>
    </row>
    <row r="55" spans="1:8" x14ac:dyDescent="0.35">
      <c r="A55" s="1">
        <v>164</v>
      </c>
      <c r="B55" s="3" t="s">
        <v>11</v>
      </c>
      <c r="C55" s="3">
        <f t="shared" si="0"/>
        <v>1</v>
      </c>
      <c r="D55">
        <v>26</v>
      </c>
      <c r="E55" s="4">
        <v>44800</v>
      </c>
      <c r="F55">
        <v>0.26384417023549689</v>
      </c>
      <c r="G55">
        <v>54</v>
      </c>
      <c r="H55" t="str">
        <f t="shared" si="1"/>
        <v>Train-Fold2</v>
      </c>
    </row>
    <row r="56" spans="1:8" x14ac:dyDescent="0.35">
      <c r="A56" s="1">
        <v>169</v>
      </c>
      <c r="B56" s="3" t="s">
        <v>11</v>
      </c>
      <c r="C56" s="3">
        <f t="shared" si="0"/>
        <v>1</v>
      </c>
      <c r="D56">
        <v>14</v>
      </c>
      <c r="E56" s="4">
        <v>48500</v>
      </c>
      <c r="F56">
        <v>0.26978821506718409</v>
      </c>
      <c r="G56">
        <v>55</v>
      </c>
      <c r="H56" t="str">
        <f t="shared" si="1"/>
        <v>Train-Fold2</v>
      </c>
    </row>
    <row r="57" spans="1:8" x14ac:dyDescent="0.35">
      <c r="A57" s="1">
        <v>132</v>
      </c>
      <c r="B57" s="3" t="s">
        <v>11</v>
      </c>
      <c r="C57" s="3">
        <f t="shared" si="0"/>
        <v>1</v>
      </c>
      <c r="D57">
        <v>8</v>
      </c>
      <c r="E57" s="4">
        <v>33800</v>
      </c>
      <c r="F57">
        <v>0.27237589997907208</v>
      </c>
      <c r="G57">
        <v>56</v>
      </c>
      <c r="H57" t="str">
        <f t="shared" si="1"/>
        <v>Train-Fold2</v>
      </c>
    </row>
    <row r="58" spans="1:8" x14ac:dyDescent="0.35">
      <c r="A58" s="1">
        <v>158</v>
      </c>
      <c r="B58" s="3" t="s">
        <v>11</v>
      </c>
      <c r="C58" s="3">
        <f t="shared" si="0"/>
        <v>1</v>
      </c>
      <c r="D58">
        <v>17</v>
      </c>
      <c r="E58" s="4">
        <v>38000</v>
      </c>
      <c r="F58">
        <v>0.27688589164102961</v>
      </c>
      <c r="G58">
        <v>57</v>
      </c>
      <c r="H58" t="str">
        <f t="shared" si="1"/>
        <v>Train-Fold2</v>
      </c>
    </row>
    <row r="59" spans="1:8" x14ac:dyDescent="0.35">
      <c r="A59" s="1">
        <v>73</v>
      </c>
      <c r="B59" s="3" t="s">
        <v>11</v>
      </c>
      <c r="C59" s="3">
        <f t="shared" si="0"/>
        <v>1</v>
      </c>
      <c r="D59">
        <v>3</v>
      </c>
      <c r="E59" s="4">
        <v>42000</v>
      </c>
      <c r="F59">
        <v>0.27810749330896589</v>
      </c>
      <c r="G59">
        <v>58</v>
      </c>
      <c r="H59" t="str">
        <f t="shared" si="1"/>
        <v>Train-Fold2</v>
      </c>
    </row>
    <row r="60" spans="1:8" x14ac:dyDescent="0.35">
      <c r="A60" s="1">
        <v>40</v>
      </c>
      <c r="B60" s="3" t="s">
        <v>10</v>
      </c>
      <c r="C60" s="3">
        <f t="shared" si="0"/>
        <v>0</v>
      </c>
      <c r="D60">
        <v>3</v>
      </c>
      <c r="E60" s="4">
        <v>30500</v>
      </c>
      <c r="F60">
        <v>0.29236393491412038</v>
      </c>
      <c r="G60">
        <v>59</v>
      </c>
      <c r="H60" t="str">
        <f t="shared" si="1"/>
        <v>Train-Fold2</v>
      </c>
    </row>
    <row r="61" spans="1:8" x14ac:dyDescent="0.35">
      <c r="A61" s="1">
        <v>68</v>
      </c>
      <c r="B61" s="3" t="s">
        <v>11</v>
      </c>
      <c r="C61" s="3">
        <f t="shared" si="0"/>
        <v>1</v>
      </c>
      <c r="D61">
        <v>5</v>
      </c>
      <c r="E61" s="4">
        <v>41400</v>
      </c>
      <c r="F61">
        <v>0.29341193977139501</v>
      </c>
      <c r="G61">
        <v>60</v>
      </c>
      <c r="H61" t="str">
        <f t="shared" si="1"/>
        <v>Train-Fold2</v>
      </c>
    </row>
    <row r="62" spans="1:8" x14ac:dyDescent="0.35">
      <c r="A62" s="1">
        <v>142</v>
      </c>
      <c r="B62" s="3" t="s">
        <v>11</v>
      </c>
      <c r="C62" s="3">
        <f t="shared" si="0"/>
        <v>1</v>
      </c>
      <c r="D62">
        <v>6</v>
      </c>
      <c r="E62" s="4">
        <v>45000</v>
      </c>
      <c r="F62">
        <v>0.30095954038664108</v>
      </c>
      <c r="G62">
        <v>61</v>
      </c>
      <c r="H62" t="str">
        <f t="shared" si="1"/>
        <v>Train-Fold3</v>
      </c>
    </row>
    <row r="63" spans="1:8" x14ac:dyDescent="0.35">
      <c r="A63" s="1">
        <v>186</v>
      </c>
      <c r="B63" s="3" t="s">
        <v>11</v>
      </c>
      <c r="C63" s="3">
        <f t="shared" si="0"/>
        <v>1</v>
      </c>
      <c r="D63">
        <v>12</v>
      </c>
      <c r="E63" s="4">
        <v>61500</v>
      </c>
      <c r="F63">
        <v>0.30730439372584761</v>
      </c>
      <c r="G63">
        <v>62</v>
      </c>
      <c r="H63" t="str">
        <f t="shared" si="1"/>
        <v>Train-Fold3</v>
      </c>
    </row>
    <row r="64" spans="1:8" x14ac:dyDescent="0.35">
      <c r="A64" s="1">
        <v>192</v>
      </c>
      <c r="B64" s="3" t="s">
        <v>10</v>
      </c>
      <c r="C64" s="3">
        <f t="shared" si="0"/>
        <v>0</v>
      </c>
      <c r="D64">
        <v>16</v>
      </c>
      <c r="E64" s="4">
        <v>55000</v>
      </c>
      <c r="F64">
        <v>0.3073474541895721</v>
      </c>
      <c r="G64">
        <v>63</v>
      </c>
      <c r="H64" t="str">
        <f t="shared" si="1"/>
        <v>Train-Fold3</v>
      </c>
    </row>
    <row r="65" spans="1:8" x14ac:dyDescent="0.35">
      <c r="A65" s="1">
        <v>43</v>
      </c>
      <c r="B65" s="3" t="s">
        <v>11</v>
      </c>
      <c r="C65" s="3">
        <f t="shared" si="0"/>
        <v>1</v>
      </c>
      <c r="D65">
        <v>7</v>
      </c>
      <c r="E65" s="4">
        <v>33500</v>
      </c>
      <c r="F65">
        <v>0.31055896615447731</v>
      </c>
      <c r="G65">
        <v>64</v>
      </c>
      <c r="H65" t="str">
        <f t="shared" si="1"/>
        <v>Train-Fold3</v>
      </c>
    </row>
    <row r="66" spans="1:8" x14ac:dyDescent="0.35">
      <c r="A66" s="1">
        <v>35</v>
      </c>
      <c r="B66" s="3" t="s">
        <v>11</v>
      </c>
      <c r="C66" s="3">
        <f t="shared" si="0"/>
        <v>1</v>
      </c>
      <c r="D66">
        <v>14</v>
      </c>
      <c r="E66" s="4">
        <v>34300</v>
      </c>
      <c r="F66">
        <v>0.32008775679474999</v>
      </c>
      <c r="G66">
        <v>65</v>
      </c>
      <c r="H66" t="str">
        <f t="shared" si="1"/>
        <v>Train-Fold3</v>
      </c>
    </row>
    <row r="67" spans="1:8" x14ac:dyDescent="0.35">
      <c r="A67" s="1">
        <v>64</v>
      </c>
      <c r="B67" s="3" t="s">
        <v>11</v>
      </c>
      <c r="C67" s="3">
        <f t="shared" ref="C67:C130" si="6">IF(B67="Female",1,0)</f>
        <v>1</v>
      </c>
      <c r="D67">
        <v>5</v>
      </c>
      <c r="E67" s="4">
        <v>36000</v>
      </c>
      <c r="F67">
        <v>0.3330833237760995</v>
      </c>
      <c r="G67">
        <v>66</v>
      </c>
      <c r="H67" t="str">
        <f t="shared" ref="H67:H130" si="7">VLOOKUP(G67,$K$2:$L$7,2,TRUE)</f>
        <v>Train-Fold3</v>
      </c>
    </row>
    <row r="68" spans="1:8" x14ac:dyDescent="0.35">
      <c r="A68" s="1">
        <v>162</v>
      </c>
      <c r="B68" s="3" t="s">
        <v>11</v>
      </c>
      <c r="C68" s="3">
        <f t="shared" si="6"/>
        <v>1</v>
      </c>
      <c r="D68">
        <v>3</v>
      </c>
      <c r="E68" s="4">
        <v>44000</v>
      </c>
      <c r="F68">
        <v>0.34154386427810246</v>
      </c>
      <c r="G68">
        <v>67</v>
      </c>
      <c r="H68" t="str">
        <f t="shared" si="7"/>
        <v>Train-Fold3</v>
      </c>
    </row>
    <row r="69" spans="1:8" x14ac:dyDescent="0.35">
      <c r="A69" s="1">
        <v>203</v>
      </c>
      <c r="B69" s="3" t="s">
        <v>10</v>
      </c>
      <c r="C69" s="3">
        <f t="shared" si="6"/>
        <v>0</v>
      </c>
      <c r="D69">
        <v>39</v>
      </c>
      <c r="E69" s="4">
        <v>74000</v>
      </c>
      <c r="F69">
        <v>0.34324063810237682</v>
      </c>
      <c r="G69">
        <v>68</v>
      </c>
      <c r="H69" t="str">
        <f t="shared" si="7"/>
        <v>Train-Fold3</v>
      </c>
    </row>
    <row r="70" spans="1:8" x14ac:dyDescent="0.35">
      <c r="A70" s="1">
        <v>32</v>
      </c>
      <c r="B70" s="3" t="s">
        <v>11</v>
      </c>
      <c r="C70" s="3">
        <f t="shared" si="6"/>
        <v>1</v>
      </c>
      <c r="D70">
        <v>11</v>
      </c>
      <c r="E70" s="4">
        <v>35400</v>
      </c>
      <c r="F70">
        <v>0.34769822626914826</v>
      </c>
      <c r="G70">
        <v>69</v>
      </c>
      <c r="H70" t="str">
        <f t="shared" si="7"/>
        <v>Train-Fold3</v>
      </c>
    </row>
    <row r="71" spans="1:8" x14ac:dyDescent="0.35">
      <c r="A71" s="1">
        <v>78</v>
      </c>
      <c r="B71" s="3" t="s">
        <v>10</v>
      </c>
      <c r="C71" s="3">
        <f t="shared" si="6"/>
        <v>0</v>
      </c>
      <c r="D71">
        <v>4</v>
      </c>
      <c r="E71" s="4">
        <v>33000</v>
      </c>
      <c r="F71">
        <v>0.35430446609034372</v>
      </c>
      <c r="G71">
        <v>70</v>
      </c>
      <c r="H71" t="str">
        <f t="shared" si="7"/>
        <v>Train-Fold3</v>
      </c>
    </row>
    <row r="72" spans="1:8" x14ac:dyDescent="0.35">
      <c r="A72" s="1">
        <v>79</v>
      </c>
      <c r="B72" s="3" t="s">
        <v>11</v>
      </c>
      <c r="C72" s="3">
        <f t="shared" si="6"/>
        <v>1</v>
      </c>
      <c r="D72">
        <v>8</v>
      </c>
      <c r="E72" s="4">
        <v>31200</v>
      </c>
      <c r="F72">
        <v>0.3559016911874181</v>
      </c>
      <c r="G72">
        <v>71</v>
      </c>
      <c r="H72" t="str">
        <f t="shared" si="7"/>
        <v>Train-Fold3</v>
      </c>
    </row>
    <row r="73" spans="1:8" x14ac:dyDescent="0.35">
      <c r="A73" s="1">
        <v>46</v>
      </c>
      <c r="B73" s="3" t="s">
        <v>10</v>
      </c>
      <c r="C73" s="3">
        <f t="shared" si="6"/>
        <v>0</v>
      </c>
      <c r="D73">
        <v>17</v>
      </c>
      <c r="E73" s="4">
        <v>38800</v>
      </c>
      <c r="F73">
        <v>0.35598308504184228</v>
      </c>
      <c r="G73">
        <v>72</v>
      </c>
      <c r="H73" t="str">
        <f t="shared" si="7"/>
        <v>Train-Fold3</v>
      </c>
    </row>
    <row r="74" spans="1:8" x14ac:dyDescent="0.35">
      <c r="A74" s="1">
        <v>157</v>
      </c>
      <c r="B74" s="3" t="s">
        <v>11</v>
      </c>
      <c r="C74" s="3">
        <f t="shared" si="6"/>
        <v>1</v>
      </c>
      <c r="D74">
        <v>15</v>
      </c>
      <c r="E74" s="4">
        <v>44400</v>
      </c>
      <c r="F74">
        <v>0.35655262445852653</v>
      </c>
      <c r="G74">
        <v>73</v>
      </c>
      <c r="H74" t="str">
        <f t="shared" si="7"/>
        <v>Train-Fold3</v>
      </c>
    </row>
    <row r="75" spans="1:8" x14ac:dyDescent="0.35">
      <c r="A75" s="1">
        <v>182</v>
      </c>
      <c r="B75" s="3" t="s">
        <v>11</v>
      </c>
      <c r="C75" s="3">
        <f t="shared" si="6"/>
        <v>1</v>
      </c>
      <c r="D75">
        <v>16</v>
      </c>
      <c r="E75" s="4">
        <v>52500</v>
      </c>
      <c r="F75">
        <v>0.36599259934651873</v>
      </c>
      <c r="G75">
        <v>74</v>
      </c>
      <c r="H75" t="str">
        <f t="shared" si="7"/>
        <v>Train-Fold3</v>
      </c>
    </row>
    <row r="76" spans="1:8" x14ac:dyDescent="0.35">
      <c r="A76" s="1">
        <v>147</v>
      </c>
      <c r="B76" s="3" t="s">
        <v>10</v>
      </c>
      <c r="C76" s="3">
        <f t="shared" si="6"/>
        <v>0</v>
      </c>
      <c r="D76">
        <v>4</v>
      </c>
      <c r="E76" s="4">
        <v>41000</v>
      </c>
      <c r="F76">
        <v>0.36639748940584338</v>
      </c>
      <c r="G76">
        <v>75</v>
      </c>
      <c r="H76" t="str">
        <f t="shared" si="7"/>
        <v>Train-Fold3</v>
      </c>
    </row>
    <row r="77" spans="1:8" x14ac:dyDescent="0.35">
      <c r="A77" s="1">
        <v>4</v>
      </c>
      <c r="B77" s="3" t="s">
        <v>11</v>
      </c>
      <c r="C77" s="3">
        <f t="shared" si="6"/>
        <v>1</v>
      </c>
      <c r="D77">
        <v>8</v>
      </c>
      <c r="E77" s="4">
        <v>30600</v>
      </c>
      <c r="F77">
        <v>0.37509966827957797</v>
      </c>
      <c r="G77">
        <v>76</v>
      </c>
      <c r="H77" t="str">
        <f t="shared" si="7"/>
        <v>Train-Fold3</v>
      </c>
    </row>
    <row r="78" spans="1:8" x14ac:dyDescent="0.35">
      <c r="A78" s="1">
        <v>161</v>
      </c>
      <c r="B78" s="3" t="s">
        <v>10</v>
      </c>
      <c r="C78" s="3">
        <f t="shared" si="6"/>
        <v>0</v>
      </c>
      <c r="D78">
        <v>5</v>
      </c>
      <c r="E78" s="4">
        <v>42500</v>
      </c>
      <c r="F78">
        <v>0.37653142973691911</v>
      </c>
      <c r="G78">
        <v>77</v>
      </c>
      <c r="H78" t="str">
        <f t="shared" si="7"/>
        <v>Train-Fold3</v>
      </c>
    </row>
    <row r="79" spans="1:8" x14ac:dyDescent="0.35">
      <c r="A79" s="1">
        <v>118</v>
      </c>
      <c r="B79" s="3" t="s">
        <v>11</v>
      </c>
      <c r="C79" s="3">
        <f t="shared" si="6"/>
        <v>1</v>
      </c>
      <c r="D79">
        <v>6</v>
      </c>
      <c r="E79" s="4">
        <v>35000</v>
      </c>
      <c r="F79">
        <v>0.3790489616084155</v>
      </c>
      <c r="G79">
        <v>78</v>
      </c>
      <c r="H79" t="str">
        <f t="shared" si="7"/>
        <v>Train-Fold3</v>
      </c>
    </row>
    <row r="80" spans="1:8" x14ac:dyDescent="0.35">
      <c r="A80" s="1">
        <v>9</v>
      </c>
      <c r="B80" s="3" t="s">
        <v>11</v>
      </c>
      <c r="C80" s="3">
        <f t="shared" si="6"/>
        <v>1</v>
      </c>
      <c r="D80">
        <v>4</v>
      </c>
      <c r="E80" s="4">
        <v>34000</v>
      </c>
      <c r="F80">
        <v>0.39185009951725036</v>
      </c>
      <c r="G80">
        <v>79</v>
      </c>
      <c r="H80" t="str">
        <f t="shared" si="7"/>
        <v>Train-Fold3</v>
      </c>
    </row>
    <row r="81" spans="1:8" x14ac:dyDescent="0.35">
      <c r="A81" s="1">
        <v>137</v>
      </c>
      <c r="B81" s="3" t="s">
        <v>10</v>
      </c>
      <c r="C81" s="3">
        <f t="shared" si="6"/>
        <v>0</v>
      </c>
      <c r="D81">
        <v>6</v>
      </c>
      <c r="E81" s="4">
        <v>42000</v>
      </c>
      <c r="F81">
        <v>0.39643866631313451</v>
      </c>
      <c r="G81">
        <v>80</v>
      </c>
      <c r="H81" t="str">
        <f t="shared" si="7"/>
        <v>Train-Fold3</v>
      </c>
    </row>
    <row r="82" spans="1:8" x14ac:dyDescent="0.35">
      <c r="A82" s="1">
        <v>193</v>
      </c>
      <c r="B82" s="3" t="s">
        <v>10</v>
      </c>
      <c r="C82" s="3">
        <f t="shared" si="6"/>
        <v>0</v>
      </c>
      <c r="D82">
        <v>24</v>
      </c>
      <c r="E82" s="4">
        <v>57000</v>
      </c>
      <c r="F82">
        <v>0.39678222817057562</v>
      </c>
      <c r="G82">
        <v>81</v>
      </c>
      <c r="H82" t="str">
        <f t="shared" si="7"/>
        <v>Train-Fold3</v>
      </c>
    </row>
    <row r="83" spans="1:8" x14ac:dyDescent="0.35">
      <c r="A83" s="1">
        <v>191</v>
      </c>
      <c r="B83" s="3" t="s">
        <v>11</v>
      </c>
      <c r="C83" s="3">
        <f t="shared" si="6"/>
        <v>1</v>
      </c>
      <c r="D83">
        <v>9</v>
      </c>
      <c r="E83" s="4">
        <v>58500</v>
      </c>
      <c r="F83">
        <v>0.39894830540808945</v>
      </c>
      <c r="G83">
        <v>82</v>
      </c>
      <c r="H83" t="str">
        <f t="shared" si="7"/>
        <v>Train-Fold3</v>
      </c>
    </row>
    <row r="84" spans="1:8" x14ac:dyDescent="0.35">
      <c r="A84" s="1">
        <v>70</v>
      </c>
      <c r="B84" s="3" t="s">
        <v>10</v>
      </c>
      <c r="C84" s="3">
        <f t="shared" si="6"/>
        <v>0</v>
      </c>
      <c r="D84">
        <v>3</v>
      </c>
      <c r="E84" s="4">
        <v>33500</v>
      </c>
      <c r="F84">
        <v>0.40616978749941757</v>
      </c>
      <c r="G84">
        <v>83</v>
      </c>
      <c r="H84" t="str">
        <f t="shared" si="7"/>
        <v>Train-Fold3</v>
      </c>
    </row>
    <row r="85" spans="1:8" x14ac:dyDescent="0.35">
      <c r="A85" s="1">
        <v>183</v>
      </c>
      <c r="B85" s="3" t="s">
        <v>10</v>
      </c>
      <c r="C85" s="3">
        <f t="shared" si="6"/>
        <v>0</v>
      </c>
      <c r="D85">
        <v>6</v>
      </c>
      <c r="E85" s="4">
        <v>47500</v>
      </c>
      <c r="F85">
        <v>0.41266234338525698</v>
      </c>
      <c r="G85">
        <v>84</v>
      </c>
      <c r="H85" t="str">
        <f t="shared" si="7"/>
        <v>Train-Fold3</v>
      </c>
    </row>
    <row r="86" spans="1:8" x14ac:dyDescent="0.35">
      <c r="A86" s="1">
        <v>115</v>
      </c>
      <c r="B86" s="3" t="s">
        <v>11</v>
      </c>
      <c r="C86" s="3">
        <f t="shared" si="6"/>
        <v>1</v>
      </c>
      <c r="D86">
        <v>5</v>
      </c>
      <c r="E86" s="4">
        <v>34900</v>
      </c>
      <c r="F86">
        <v>0.42038325648778485</v>
      </c>
      <c r="G86">
        <v>85</v>
      </c>
      <c r="H86" t="str">
        <f t="shared" si="7"/>
        <v>Train-Fold3</v>
      </c>
    </row>
    <row r="87" spans="1:8" x14ac:dyDescent="0.35">
      <c r="A87" s="1">
        <v>59</v>
      </c>
      <c r="B87" s="3" t="s">
        <v>11</v>
      </c>
      <c r="C87" s="3">
        <f t="shared" si="6"/>
        <v>1</v>
      </c>
      <c r="D87">
        <v>9</v>
      </c>
      <c r="E87" s="4">
        <v>29600</v>
      </c>
      <c r="F87">
        <v>0.42491158543761931</v>
      </c>
      <c r="G87">
        <v>86</v>
      </c>
      <c r="H87" t="str">
        <f t="shared" si="7"/>
        <v>Train-Fold3</v>
      </c>
    </row>
    <row r="88" spans="1:8" x14ac:dyDescent="0.35">
      <c r="A88" s="1">
        <v>50</v>
      </c>
      <c r="B88" s="3" t="s">
        <v>11</v>
      </c>
      <c r="C88" s="3">
        <f t="shared" si="6"/>
        <v>1</v>
      </c>
      <c r="D88">
        <v>2</v>
      </c>
      <c r="E88" s="4">
        <v>30450</v>
      </c>
      <c r="F88">
        <v>0.42731926742941917</v>
      </c>
      <c r="G88">
        <v>87</v>
      </c>
      <c r="H88" t="str">
        <f t="shared" si="7"/>
        <v>Train-Fold3</v>
      </c>
    </row>
    <row r="89" spans="1:8" x14ac:dyDescent="0.35">
      <c r="A89" s="1">
        <v>51</v>
      </c>
      <c r="B89" s="3" t="s">
        <v>10</v>
      </c>
      <c r="C89" s="3">
        <f t="shared" si="6"/>
        <v>0</v>
      </c>
      <c r="D89">
        <v>3</v>
      </c>
      <c r="E89" s="4">
        <v>35500</v>
      </c>
      <c r="F89">
        <v>0.42828416680742376</v>
      </c>
      <c r="G89">
        <v>88</v>
      </c>
      <c r="H89" t="str">
        <f t="shared" si="7"/>
        <v>Train-Fold3</v>
      </c>
    </row>
    <row r="90" spans="1:8" x14ac:dyDescent="0.35">
      <c r="A90" s="1">
        <v>139</v>
      </c>
      <c r="B90" s="3" t="s">
        <v>10</v>
      </c>
      <c r="C90" s="3">
        <f t="shared" si="6"/>
        <v>0</v>
      </c>
      <c r="D90">
        <v>6</v>
      </c>
      <c r="E90" s="4">
        <v>44000</v>
      </c>
      <c r="F90">
        <v>0.43067969836607833</v>
      </c>
      <c r="G90">
        <v>89</v>
      </c>
      <c r="H90" t="str">
        <f t="shared" si="7"/>
        <v>Train-Fold3</v>
      </c>
    </row>
    <row r="91" spans="1:8" x14ac:dyDescent="0.35">
      <c r="A91" s="1">
        <v>80</v>
      </c>
      <c r="B91" s="3" t="s">
        <v>11</v>
      </c>
      <c r="C91" s="3">
        <f t="shared" si="6"/>
        <v>1</v>
      </c>
      <c r="D91">
        <v>8</v>
      </c>
      <c r="E91" s="4">
        <v>34000</v>
      </c>
      <c r="F91">
        <v>0.43291080329059373</v>
      </c>
      <c r="G91">
        <v>90</v>
      </c>
      <c r="H91" t="str">
        <f t="shared" si="7"/>
        <v>Train-Fold3</v>
      </c>
    </row>
    <row r="92" spans="1:8" x14ac:dyDescent="0.35">
      <c r="A92" s="1">
        <v>117</v>
      </c>
      <c r="B92" s="3" t="s">
        <v>11</v>
      </c>
      <c r="C92" s="3">
        <f t="shared" si="6"/>
        <v>1</v>
      </c>
      <c r="D92">
        <v>5</v>
      </c>
      <c r="E92" s="4">
        <v>38000</v>
      </c>
      <c r="F92">
        <v>0.43863021364642529</v>
      </c>
      <c r="G92">
        <v>91</v>
      </c>
      <c r="H92" t="str">
        <f t="shared" si="7"/>
        <v>Train-Fold4</v>
      </c>
    </row>
    <row r="93" spans="1:8" x14ac:dyDescent="0.35">
      <c r="A93" s="1">
        <v>11</v>
      </c>
      <c r="B93" s="3" t="s">
        <v>11</v>
      </c>
      <c r="C93" s="3">
        <f t="shared" si="6"/>
        <v>1</v>
      </c>
      <c r="D93">
        <v>9</v>
      </c>
      <c r="E93" s="4">
        <v>26800</v>
      </c>
      <c r="F93">
        <v>0.4388220912714802</v>
      </c>
      <c r="G93">
        <v>92</v>
      </c>
      <c r="H93" t="str">
        <f t="shared" si="7"/>
        <v>Train-Fold4</v>
      </c>
    </row>
    <row r="94" spans="1:8" x14ac:dyDescent="0.35">
      <c r="A94" s="1">
        <v>47</v>
      </c>
      <c r="B94" s="3" t="s">
        <v>11</v>
      </c>
      <c r="C94" s="3">
        <f t="shared" si="6"/>
        <v>1</v>
      </c>
      <c r="D94">
        <v>10</v>
      </c>
      <c r="E94" s="4">
        <v>29900</v>
      </c>
      <c r="F94">
        <v>0.44032177616056545</v>
      </c>
      <c r="G94">
        <v>93</v>
      </c>
      <c r="H94" t="str">
        <f t="shared" si="7"/>
        <v>Train-Fold4</v>
      </c>
    </row>
    <row r="95" spans="1:8" x14ac:dyDescent="0.35">
      <c r="A95" s="1">
        <v>181</v>
      </c>
      <c r="B95" s="3" t="s">
        <v>11</v>
      </c>
      <c r="C95" s="3">
        <f t="shared" si="6"/>
        <v>1</v>
      </c>
      <c r="D95">
        <v>8</v>
      </c>
      <c r="E95" s="4">
        <v>45000</v>
      </c>
      <c r="F95">
        <v>0.45372268310623931</v>
      </c>
      <c r="G95">
        <v>94</v>
      </c>
      <c r="H95" t="str">
        <f t="shared" si="7"/>
        <v>Train-Fold4</v>
      </c>
    </row>
    <row r="96" spans="1:8" x14ac:dyDescent="0.35">
      <c r="A96" s="1">
        <v>146</v>
      </c>
      <c r="B96" s="3" t="s">
        <v>10</v>
      </c>
      <c r="C96" s="3">
        <f t="shared" si="6"/>
        <v>0</v>
      </c>
      <c r="D96">
        <v>5</v>
      </c>
      <c r="E96" s="4">
        <v>44500</v>
      </c>
      <c r="F96">
        <v>0.45920534697733972</v>
      </c>
      <c r="G96">
        <v>95</v>
      </c>
      <c r="H96" t="str">
        <f t="shared" si="7"/>
        <v>Train-Fold4</v>
      </c>
    </row>
    <row r="97" spans="1:8" x14ac:dyDescent="0.35">
      <c r="A97" s="1">
        <v>71</v>
      </c>
      <c r="B97" s="3" t="s">
        <v>11</v>
      </c>
      <c r="C97" s="3">
        <f t="shared" si="6"/>
        <v>1</v>
      </c>
      <c r="D97">
        <v>5</v>
      </c>
      <c r="E97" s="4">
        <v>32000</v>
      </c>
      <c r="F97">
        <v>0.45966641075221526</v>
      </c>
      <c r="G97">
        <v>96</v>
      </c>
      <c r="H97" t="str">
        <f t="shared" si="7"/>
        <v>Train-Fold4</v>
      </c>
    </row>
    <row r="98" spans="1:8" x14ac:dyDescent="0.35">
      <c r="A98" s="1">
        <v>120</v>
      </c>
      <c r="B98" s="3" t="s">
        <v>10</v>
      </c>
      <c r="C98" s="3">
        <f t="shared" si="6"/>
        <v>0</v>
      </c>
      <c r="D98">
        <v>5</v>
      </c>
      <c r="E98" s="4">
        <v>36000</v>
      </c>
      <c r="F98">
        <v>0.46176028588703455</v>
      </c>
      <c r="G98">
        <v>97</v>
      </c>
      <c r="H98" t="str">
        <f t="shared" si="7"/>
        <v>Train-Fold4</v>
      </c>
    </row>
    <row r="99" spans="1:8" x14ac:dyDescent="0.35">
      <c r="A99" s="1">
        <v>42</v>
      </c>
      <c r="B99" s="3" t="s">
        <v>11</v>
      </c>
      <c r="C99" s="3">
        <f t="shared" si="6"/>
        <v>1</v>
      </c>
      <c r="D99">
        <v>15</v>
      </c>
      <c r="E99" s="4">
        <v>43600</v>
      </c>
      <c r="F99">
        <v>0.46264098197081338</v>
      </c>
      <c r="G99">
        <v>98</v>
      </c>
      <c r="H99" t="str">
        <f t="shared" si="7"/>
        <v>Train-Fold4</v>
      </c>
    </row>
    <row r="100" spans="1:8" x14ac:dyDescent="0.35">
      <c r="A100" s="1">
        <v>187</v>
      </c>
      <c r="B100" s="3" t="s">
        <v>11</v>
      </c>
      <c r="C100" s="3">
        <f t="shared" si="6"/>
        <v>1</v>
      </c>
      <c r="D100">
        <v>9</v>
      </c>
      <c r="E100" s="4">
        <v>50000</v>
      </c>
      <c r="F100">
        <v>0.46485413460229374</v>
      </c>
      <c r="G100">
        <v>99</v>
      </c>
      <c r="H100" t="str">
        <f t="shared" si="7"/>
        <v>Train-Fold4</v>
      </c>
    </row>
    <row r="101" spans="1:8" x14ac:dyDescent="0.35">
      <c r="A101" s="1">
        <v>199</v>
      </c>
      <c r="B101" s="3" t="s">
        <v>10</v>
      </c>
      <c r="C101" s="3">
        <f t="shared" si="6"/>
        <v>0</v>
      </c>
      <c r="D101">
        <v>20</v>
      </c>
      <c r="E101" s="4">
        <v>65000</v>
      </c>
      <c r="F101">
        <v>0.46740643151126515</v>
      </c>
      <c r="G101">
        <v>100</v>
      </c>
      <c r="H101" t="str">
        <f t="shared" si="7"/>
        <v>Train-Fold4</v>
      </c>
    </row>
    <row r="102" spans="1:8" x14ac:dyDescent="0.35">
      <c r="A102" s="1">
        <v>24</v>
      </c>
      <c r="B102" s="3" t="s">
        <v>10</v>
      </c>
      <c r="C102" s="3">
        <f t="shared" si="6"/>
        <v>0</v>
      </c>
      <c r="D102">
        <v>3</v>
      </c>
      <c r="E102" s="4">
        <v>26700</v>
      </c>
      <c r="F102">
        <v>0.46753487894385937</v>
      </c>
      <c r="G102">
        <v>101</v>
      </c>
      <c r="H102" t="str">
        <f t="shared" si="7"/>
        <v>Train-Fold4</v>
      </c>
    </row>
    <row r="103" spans="1:8" x14ac:dyDescent="0.35">
      <c r="A103" s="1">
        <v>15</v>
      </c>
      <c r="B103" s="3" t="s">
        <v>11</v>
      </c>
      <c r="C103" s="3">
        <f t="shared" si="6"/>
        <v>1</v>
      </c>
      <c r="D103">
        <v>4</v>
      </c>
      <c r="E103" s="4">
        <v>30000</v>
      </c>
      <c r="F103">
        <v>0.46932977227133643</v>
      </c>
      <c r="G103">
        <v>102</v>
      </c>
      <c r="H103" t="str">
        <f t="shared" si="7"/>
        <v>Train-Fold4</v>
      </c>
    </row>
    <row r="104" spans="1:8" x14ac:dyDescent="0.35">
      <c r="A104" s="1">
        <v>160</v>
      </c>
      <c r="B104" s="3" t="s">
        <v>10</v>
      </c>
      <c r="C104" s="3">
        <f t="shared" si="6"/>
        <v>0</v>
      </c>
      <c r="D104">
        <v>23</v>
      </c>
      <c r="E104" s="4">
        <v>45500</v>
      </c>
      <c r="F104">
        <v>0.47329783657597235</v>
      </c>
      <c r="G104">
        <v>103</v>
      </c>
      <c r="H104" t="str">
        <f t="shared" si="7"/>
        <v>Train-Fold4</v>
      </c>
    </row>
    <row r="105" spans="1:8" x14ac:dyDescent="0.35">
      <c r="A105" s="1">
        <v>145</v>
      </c>
      <c r="B105" s="3" t="s">
        <v>11</v>
      </c>
      <c r="C105" s="3">
        <f t="shared" si="6"/>
        <v>1</v>
      </c>
      <c r="D105">
        <v>5</v>
      </c>
      <c r="E105" s="4">
        <v>39020</v>
      </c>
      <c r="F105">
        <v>0.47665463286320886</v>
      </c>
      <c r="G105">
        <v>104</v>
      </c>
      <c r="H105" t="str">
        <f t="shared" si="7"/>
        <v>Train-Fold4</v>
      </c>
    </row>
    <row r="106" spans="1:8" x14ac:dyDescent="0.35">
      <c r="A106" s="1">
        <v>143</v>
      </c>
      <c r="B106" s="3" t="s">
        <v>11</v>
      </c>
      <c r="C106" s="3">
        <f t="shared" si="6"/>
        <v>1</v>
      </c>
      <c r="D106">
        <v>7</v>
      </c>
      <c r="E106" s="4">
        <v>43900</v>
      </c>
      <c r="F106">
        <v>0.48319559351594854</v>
      </c>
      <c r="G106">
        <v>105</v>
      </c>
      <c r="H106" t="str">
        <f t="shared" si="7"/>
        <v>Train-Fold4</v>
      </c>
    </row>
    <row r="107" spans="1:8" x14ac:dyDescent="0.35">
      <c r="A107" s="1">
        <v>45</v>
      </c>
      <c r="B107" s="3" t="s">
        <v>11</v>
      </c>
      <c r="C107" s="3">
        <f t="shared" si="6"/>
        <v>1</v>
      </c>
      <c r="D107">
        <v>18</v>
      </c>
      <c r="E107" s="4">
        <v>45300</v>
      </c>
      <c r="F107">
        <v>0.49801535592704316</v>
      </c>
      <c r="G107">
        <v>106</v>
      </c>
      <c r="H107" t="str">
        <f t="shared" si="7"/>
        <v>Train-Fold4</v>
      </c>
    </row>
    <row r="108" spans="1:8" x14ac:dyDescent="0.35">
      <c r="A108" s="1">
        <v>75</v>
      </c>
      <c r="B108" s="3" t="s">
        <v>11</v>
      </c>
      <c r="C108" s="3">
        <f t="shared" si="6"/>
        <v>1</v>
      </c>
      <c r="D108">
        <v>16</v>
      </c>
      <c r="E108" s="4">
        <v>32500</v>
      </c>
      <c r="F108">
        <v>0.49886739800728308</v>
      </c>
      <c r="G108">
        <v>107</v>
      </c>
      <c r="H108" t="str">
        <f t="shared" si="7"/>
        <v>Train-Fold4</v>
      </c>
    </row>
    <row r="109" spans="1:8" x14ac:dyDescent="0.35">
      <c r="A109" s="1">
        <v>67</v>
      </c>
      <c r="B109" s="3" t="s">
        <v>11</v>
      </c>
      <c r="C109" s="3">
        <f t="shared" si="6"/>
        <v>1</v>
      </c>
      <c r="D109">
        <v>11</v>
      </c>
      <c r="E109" s="4">
        <v>31500</v>
      </c>
      <c r="F109">
        <v>0.50675868483996289</v>
      </c>
      <c r="G109">
        <v>108</v>
      </c>
      <c r="H109" t="str">
        <f t="shared" si="7"/>
        <v>Train-Fold4</v>
      </c>
    </row>
    <row r="110" spans="1:8" x14ac:dyDescent="0.35">
      <c r="A110" s="1">
        <v>21</v>
      </c>
      <c r="B110" s="3" t="s">
        <v>11</v>
      </c>
      <c r="C110" s="3">
        <f t="shared" si="6"/>
        <v>1</v>
      </c>
      <c r="D110">
        <v>4</v>
      </c>
      <c r="E110" s="4">
        <v>29500</v>
      </c>
      <c r="F110">
        <v>0.50768719219645564</v>
      </c>
      <c r="G110">
        <v>109</v>
      </c>
      <c r="H110" t="str">
        <f t="shared" si="7"/>
        <v>Train-Fold4</v>
      </c>
    </row>
    <row r="111" spans="1:8" x14ac:dyDescent="0.35">
      <c r="A111" s="1">
        <v>94</v>
      </c>
      <c r="B111" s="3" t="s">
        <v>11</v>
      </c>
      <c r="C111" s="3">
        <f t="shared" si="6"/>
        <v>1</v>
      </c>
      <c r="D111">
        <v>12</v>
      </c>
      <c r="E111" s="4">
        <v>30500</v>
      </c>
      <c r="F111">
        <v>0.51250015219527811</v>
      </c>
      <c r="G111">
        <v>110</v>
      </c>
      <c r="H111" t="str">
        <f t="shared" si="7"/>
        <v>Train-Fold4</v>
      </c>
    </row>
    <row r="112" spans="1:8" x14ac:dyDescent="0.35">
      <c r="A112" s="1">
        <v>85</v>
      </c>
      <c r="B112" s="3" t="s">
        <v>10</v>
      </c>
      <c r="C112" s="3">
        <f t="shared" si="6"/>
        <v>0</v>
      </c>
      <c r="D112">
        <v>3</v>
      </c>
      <c r="E112" s="4">
        <v>39000</v>
      </c>
      <c r="F112">
        <v>0.51528385596145476</v>
      </c>
      <c r="G112">
        <v>111</v>
      </c>
      <c r="H112" t="str">
        <f t="shared" si="7"/>
        <v>Train-Fold4</v>
      </c>
    </row>
    <row r="113" spans="1:8" x14ac:dyDescent="0.35">
      <c r="A113" s="1">
        <v>20</v>
      </c>
      <c r="B113" s="3" t="s">
        <v>11</v>
      </c>
      <c r="C113" s="3">
        <f t="shared" si="6"/>
        <v>1</v>
      </c>
      <c r="D113">
        <v>4</v>
      </c>
      <c r="E113" s="4">
        <v>29600</v>
      </c>
      <c r="F113">
        <v>0.52328397656549008</v>
      </c>
      <c r="G113">
        <v>112</v>
      </c>
      <c r="H113" t="str">
        <f t="shared" si="7"/>
        <v>Train-Fold4</v>
      </c>
    </row>
    <row r="114" spans="1:8" x14ac:dyDescent="0.35">
      <c r="A114" s="1">
        <v>72</v>
      </c>
      <c r="B114" s="3" t="s">
        <v>11</v>
      </c>
      <c r="C114" s="3">
        <f t="shared" si="6"/>
        <v>1</v>
      </c>
      <c r="D114">
        <v>9</v>
      </c>
      <c r="E114" s="4">
        <v>30800</v>
      </c>
      <c r="F114">
        <v>0.53170550315882514</v>
      </c>
      <c r="G114">
        <v>113</v>
      </c>
      <c r="H114" t="str">
        <f t="shared" si="7"/>
        <v>Train-Fold4</v>
      </c>
    </row>
    <row r="115" spans="1:8" x14ac:dyDescent="0.35">
      <c r="A115" s="1">
        <v>57</v>
      </c>
      <c r="B115" s="3" t="s">
        <v>11</v>
      </c>
      <c r="C115" s="3">
        <f t="shared" si="6"/>
        <v>1</v>
      </c>
      <c r="D115">
        <v>16</v>
      </c>
      <c r="E115" s="4">
        <v>33500</v>
      </c>
      <c r="F115">
        <v>0.53387645448575838</v>
      </c>
      <c r="G115">
        <v>114</v>
      </c>
      <c r="H115" t="str">
        <f t="shared" si="7"/>
        <v>Train-Fold4</v>
      </c>
    </row>
    <row r="116" spans="1:8" x14ac:dyDescent="0.35">
      <c r="A116" s="1">
        <v>103</v>
      </c>
      <c r="B116" s="3" t="s">
        <v>11</v>
      </c>
      <c r="C116" s="3">
        <f t="shared" si="6"/>
        <v>1</v>
      </c>
      <c r="D116">
        <v>4</v>
      </c>
      <c r="E116" s="4">
        <v>43200</v>
      </c>
      <c r="F116">
        <v>0.53753689623597534</v>
      </c>
      <c r="G116">
        <v>115</v>
      </c>
      <c r="H116" t="str">
        <f t="shared" si="7"/>
        <v>Train-Fold4</v>
      </c>
    </row>
    <row r="117" spans="1:8" x14ac:dyDescent="0.35">
      <c r="A117" s="1">
        <v>90</v>
      </c>
      <c r="B117" s="3" t="s">
        <v>11</v>
      </c>
      <c r="C117" s="3">
        <f t="shared" si="6"/>
        <v>1</v>
      </c>
      <c r="D117">
        <v>3</v>
      </c>
      <c r="E117" s="4">
        <v>36400</v>
      </c>
      <c r="F117">
        <v>0.54299972965499255</v>
      </c>
      <c r="G117">
        <v>116</v>
      </c>
      <c r="H117" t="str">
        <f t="shared" si="7"/>
        <v>Train-Fold4</v>
      </c>
    </row>
    <row r="118" spans="1:8" x14ac:dyDescent="0.35">
      <c r="A118" s="1">
        <v>128</v>
      </c>
      <c r="B118" s="3" t="s">
        <v>11</v>
      </c>
      <c r="C118" s="3">
        <f t="shared" si="6"/>
        <v>1</v>
      </c>
      <c r="D118">
        <v>3</v>
      </c>
      <c r="E118" s="4">
        <v>32600</v>
      </c>
      <c r="F118">
        <v>0.54539979103174652</v>
      </c>
      <c r="G118">
        <v>117</v>
      </c>
      <c r="H118" t="str">
        <f t="shared" si="7"/>
        <v>Train-Fold4</v>
      </c>
    </row>
    <row r="119" spans="1:8" x14ac:dyDescent="0.35">
      <c r="A119" s="1">
        <v>167</v>
      </c>
      <c r="B119" s="3" t="s">
        <v>11</v>
      </c>
      <c r="C119" s="3">
        <f t="shared" si="6"/>
        <v>1</v>
      </c>
      <c r="D119">
        <v>12</v>
      </c>
      <c r="E119" s="4">
        <v>48000</v>
      </c>
      <c r="F119">
        <v>0.5485448513740202</v>
      </c>
      <c r="G119">
        <v>118</v>
      </c>
      <c r="H119" t="str">
        <f t="shared" si="7"/>
        <v>Train-Fold4</v>
      </c>
    </row>
    <row r="120" spans="1:8" x14ac:dyDescent="0.35">
      <c r="A120" s="1">
        <v>163</v>
      </c>
      <c r="B120" s="3" t="s">
        <v>11</v>
      </c>
      <c r="C120" s="3">
        <f t="shared" si="6"/>
        <v>1</v>
      </c>
      <c r="D120">
        <v>19</v>
      </c>
      <c r="E120" s="4">
        <v>54300</v>
      </c>
      <c r="F120">
        <v>0.55496791431786541</v>
      </c>
      <c r="G120">
        <v>119</v>
      </c>
      <c r="H120" t="str">
        <f t="shared" si="7"/>
        <v>Train-Fold4</v>
      </c>
    </row>
    <row r="121" spans="1:8" x14ac:dyDescent="0.35">
      <c r="A121" s="1">
        <v>127</v>
      </c>
      <c r="B121" s="3" t="s">
        <v>11</v>
      </c>
      <c r="C121" s="3">
        <f t="shared" si="6"/>
        <v>1</v>
      </c>
      <c r="D121">
        <v>12</v>
      </c>
      <c r="E121" s="4">
        <v>37000</v>
      </c>
      <c r="F121">
        <v>0.55795944452188384</v>
      </c>
      <c r="G121">
        <v>120</v>
      </c>
      <c r="H121" t="str">
        <f t="shared" si="7"/>
        <v>Train-Fold4</v>
      </c>
    </row>
    <row r="122" spans="1:8" x14ac:dyDescent="0.35">
      <c r="A122" s="1">
        <v>150</v>
      </c>
      <c r="B122" s="3" t="s">
        <v>11</v>
      </c>
      <c r="C122" s="3">
        <f t="shared" si="6"/>
        <v>1</v>
      </c>
      <c r="D122">
        <v>5</v>
      </c>
      <c r="E122" s="4">
        <v>42500</v>
      </c>
      <c r="F122">
        <v>0.56287543649005878</v>
      </c>
      <c r="G122">
        <v>121</v>
      </c>
      <c r="H122" t="str">
        <f t="shared" si="7"/>
        <v>Train-Fold5</v>
      </c>
    </row>
    <row r="123" spans="1:8" x14ac:dyDescent="0.35">
      <c r="A123" s="1">
        <v>17</v>
      </c>
      <c r="B123" s="3" t="s">
        <v>11</v>
      </c>
      <c r="C123" s="3">
        <f t="shared" si="6"/>
        <v>1</v>
      </c>
      <c r="D123">
        <v>6</v>
      </c>
      <c r="E123" s="4">
        <v>27000</v>
      </c>
      <c r="F123">
        <v>0.56760577399609391</v>
      </c>
      <c r="G123">
        <v>122</v>
      </c>
      <c r="H123" t="str">
        <f t="shared" si="7"/>
        <v>Train-Fold5</v>
      </c>
    </row>
    <row r="124" spans="1:8" x14ac:dyDescent="0.35">
      <c r="A124" s="1">
        <v>112</v>
      </c>
      <c r="B124" s="3" t="s">
        <v>11</v>
      </c>
      <c r="C124" s="3">
        <f t="shared" si="6"/>
        <v>1</v>
      </c>
      <c r="D124">
        <v>11</v>
      </c>
      <c r="E124" s="4">
        <v>41300</v>
      </c>
      <c r="F124">
        <v>0.57190616157962759</v>
      </c>
      <c r="G124">
        <v>123</v>
      </c>
      <c r="H124" t="str">
        <f t="shared" si="7"/>
        <v>Train-Fold5</v>
      </c>
    </row>
    <row r="125" spans="1:8" x14ac:dyDescent="0.35">
      <c r="A125" s="1">
        <v>151</v>
      </c>
      <c r="B125" s="3" t="s">
        <v>11</v>
      </c>
      <c r="C125" s="3">
        <f t="shared" si="6"/>
        <v>1</v>
      </c>
      <c r="D125">
        <v>7</v>
      </c>
      <c r="E125" s="4">
        <v>40260</v>
      </c>
      <c r="F125">
        <v>0.57691114487926198</v>
      </c>
      <c r="G125">
        <v>124</v>
      </c>
      <c r="H125" t="str">
        <f t="shared" si="7"/>
        <v>Train-Fold5</v>
      </c>
    </row>
    <row r="126" spans="1:8" x14ac:dyDescent="0.35">
      <c r="A126" s="1">
        <v>176</v>
      </c>
      <c r="B126" s="3" t="s">
        <v>10</v>
      </c>
      <c r="C126" s="3">
        <f t="shared" si="6"/>
        <v>0</v>
      </c>
      <c r="D126">
        <v>8</v>
      </c>
      <c r="E126" s="4">
        <v>47000</v>
      </c>
      <c r="F126">
        <v>0.57881450060586892</v>
      </c>
      <c r="G126">
        <v>125</v>
      </c>
      <c r="H126" t="str">
        <f t="shared" si="7"/>
        <v>Train-Fold5</v>
      </c>
    </row>
    <row r="127" spans="1:8" x14ac:dyDescent="0.35">
      <c r="A127" s="1">
        <v>55</v>
      </c>
      <c r="B127" s="3" t="s">
        <v>11</v>
      </c>
      <c r="C127" s="3">
        <f t="shared" si="6"/>
        <v>1</v>
      </c>
      <c r="D127">
        <v>15</v>
      </c>
      <c r="E127" s="4">
        <v>29200</v>
      </c>
      <c r="F127">
        <v>0.58049158055574435</v>
      </c>
      <c r="G127">
        <v>126</v>
      </c>
      <c r="H127" t="str">
        <f t="shared" si="7"/>
        <v>Train-Fold5</v>
      </c>
    </row>
    <row r="128" spans="1:8" x14ac:dyDescent="0.35">
      <c r="A128" s="1">
        <v>81</v>
      </c>
      <c r="B128" s="3" t="s">
        <v>11</v>
      </c>
      <c r="C128" s="3">
        <f t="shared" si="6"/>
        <v>1</v>
      </c>
      <c r="D128">
        <v>6</v>
      </c>
      <c r="E128" s="4">
        <v>33000</v>
      </c>
      <c r="F128">
        <v>0.58219046550578768</v>
      </c>
      <c r="G128">
        <v>127</v>
      </c>
      <c r="H128" t="str">
        <f t="shared" si="7"/>
        <v>Train-Fold5</v>
      </c>
    </row>
    <row r="129" spans="1:8" x14ac:dyDescent="0.35">
      <c r="A129" s="1">
        <v>65</v>
      </c>
      <c r="B129" s="3" t="s">
        <v>11</v>
      </c>
      <c r="C129" s="3">
        <f t="shared" si="6"/>
        <v>1</v>
      </c>
      <c r="D129">
        <v>4</v>
      </c>
      <c r="E129" s="4">
        <v>37300</v>
      </c>
      <c r="F129">
        <v>0.58334329758963621</v>
      </c>
      <c r="G129">
        <v>128</v>
      </c>
      <c r="H129" t="str">
        <f t="shared" si="7"/>
        <v>Train-Fold5</v>
      </c>
    </row>
    <row r="130" spans="1:8" x14ac:dyDescent="0.35">
      <c r="A130" s="1">
        <v>149</v>
      </c>
      <c r="B130" s="3" t="s">
        <v>10</v>
      </c>
      <c r="C130" s="3">
        <f t="shared" si="6"/>
        <v>0</v>
      </c>
      <c r="D130">
        <v>6</v>
      </c>
      <c r="E130" s="4">
        <v>44000</v>
      </c>
      <c r="F130">
        <v>0.58617093600083736</v>
      </c>
      <c r="G130">
        <v>129</v>
      </c>
      <c r="H130" t="str">
        <f t="shared" si="7"/>
        <v>Train-Fold5</v>
      </c>
    </row>
    <row r="131" spans="1:8" x14ac:dyDescent="0.35">
      <c r="A131" s="1">
        <v>53</v>
      </c>
      <c r="B131" s="3" t="s">
        <v>11</v>
      </c>
      <c r="C131" s="3">
        <f t="shared" ref="C131:C194" si="8">IF(B131="Female",1,0)</f>
        <v>1</v>
      </c>
      <c r="D131">
        <v>7</v>
      </c>
      <c r="E131" s="4">
        <v>29100</v>
      </c>
      <c r="F131">
        <v>0.58660149374423198</v>
      </c>
      <c r="G131">
        <v>130</v>
      </c>
      <c r="H131" t="str">
        <f t="shared" ref="H131:H194" si="9">VLOOKUP(G131,$K$2:$L$7,2,TRUE)</f>
        <v>Train-Fold5</v>
      </c>
    </row>
    <row r="132" spans="1:8" x14ac:dyDescent="0.35">
      <c r="A132" s="1">
        <v>208</v>
      </c>
      <c r="B132" s="3" t="s">
        <v>11</v>
      </c>
      <c r="C132" s="3">
        <f t="shared" si="8"/>
        <v>1</v>
      </c>
      <c r="D132">
        <v>33</v>
      </c>
      <c r="E132" s="4">
        <v>30000</v>
      </c>
      <c r="F132">
        <v>0.59368762927552599</v>
      </c>
      <c r="G132">
        <v>131</v>
      </c>
      <c r="H132" t="str">
        <f t="shared" si="9"/>
        <v>Train-Fold5</v>
      </c>
    </row>
    <row r="133" spans="1:8" x14ac:dyDescent="0.35">
      <c r="A133" s="1">
        <v>29</v>
      </c>
      <c r="B133" s="3" t="s">
        <v>11</v>
      </c>
      <c r="C133" s="3">
        <f t="shared" si="8"/>
        <v>1</v>
      </c>
      <c r="D133">
        <v>12</v>
      </c>
      <c r="E133" s="4">
        <v>34000</v>
      </c>
      <c r="F133">
        <v>0.59454010139713143</v>
      </c>
      <c r="G133">
        <v>132</v>
      </c>
      <c r="H133" t="str">
        <f t="shared" si="9"/>
        <v>Train-Fold5</v>
      </c>
    </row>
    <row r="134" spans="1:8" x14ac:dyDescent="0.35">
      <c r="A134" s="1">
        <v>185</v>
      </c>
      <c r="B134" s="3" t="s">
        <v>10</v>
      </c>
      <c r="C134" s="3">
        <f t="shared" si="8"/>
        <v>0</v>
      </c>
      <c r="D134">
        <v>8</v>
      </c>
      <c r="E134" s="4">
        <v>46500</v>
      </c>
      <c r="F134">
        <v>0.5993051650435558</v>
      </c>
      <c r="G134">
        <v>133</v>
      </c>
      <c r="H134" t="str">
        <f t="shared" si="9"/>
        <v>Train-Fold5</v>
      </c>
    </row>
    <row r="135" spans="1:8" x14ac:dyDescent="0.35">
      <c r="A135" s="1">
        <v>129</v>
      </c>
      <c r="B135" s="3" t="s">
        <v>11</v>
      </c>
      <c r="C135" s="3">
        <f t="shared" si="8"/>
        <v>1</v>
      </c>
      <c r="D135">
        <v>4</v>
      </c>
      <c r="E135" s="4">
        <v>36000</v>
      </c>
      <c r="F135">
        <v>0.60605599512700836</v>
      </c>
      <c r="G135">
        <v>134</v>
      </c>
      <c r="H135" t="str">
        <f t="shared" si="9"/>
        <v>Train-Fold5</v>
      </c>
    </row>
    <row r="136" spans="1:8" x14ac:dyDescent="0.35">
      <c r="A136" s="1">
        <v>92</v>
      </c>
      <c r="B136" s="3" t="s">
        <v>11</v>
      </c>
      <c r="C136" s="3">
        <f t="shared" si="8"/>
        <v>1</v>
      </c>
      <c r="D136">
        <v>15</v>
      </c>
      <c r="E136" s="4">
        <v>35300</v>
      </c>
      <c r="F136">
        <v>0.61510607132725492</v>
      </c>
      <c r="G136">
        <v>135</v>
      </c>
      <c r="H136" t="str">
        <f t="shared" si="9"/>
        <v>Train-Fold5</v>
      </c>
    </row>
    <row r="137" spans="1:8" x14ac:dyDescent="0.35">
      <c r="A137" s="1">
        <v>136</v>
      </c>
      <c r="B137" s="3" t="s">
        <v>11</v>
      </c>
      <c r="C137" s="3">
        <f t="shared" si="8"/>
        <v>1</v>
      </c>
      <c r="D137">
        <v>25</v>
      </c>
      <c r="E137" s="4">
        <v>43500</v>
      </c>
      <c r="F137">
        <v>0.62071489483207065</v>
      </c>
      <c r="G137">
        <v>136</v>
      </c>
      <c r="H137" t="str">
        <f t="shared" si="9"/>
        <v>Train-Fold5</v>
      </c>
    </row>
    <row r="138" spans="1:8" x14ac:dyDescent="0.35">
      <c r="A138" s="1">
        <v>114</v>
      </c>
      <c r="B138" s="3" t="s">
        <v>11</v>
      </c>
      <c r="C138" s="3">
        <f t="shared" si="8"/>
        <v>1</v>
      </c>
      <c r="D138">
        <v>4</v>
      </c>
      <c r="E138" s="4">
        <v>45800</v>
      </c>
      <c r="F138">
        <v>0.62732865311404817</v>
      </c>
      <c r="G138">
        <v>137</v>
      </c>
      <c r="H138" t="str">
        <f t="shared" si="9"/>
        <v>Train-Fold5</v>
      </c>
    </row>
    <row r="139" spans="1:8" x14ac:dyDescent="0.35">
      <c r="A139" s="1">
        <v>207</v>
      </c>
      <c r="B139" s="3" t="s">
        <v>10</v>
      </c>
      <c r="C139" s="3">
        <f t="shared" si="8"/>
        <v>0</v>
      </c>
      <c r="D139">
        <v>35</v>
      </c>
      <c r="E139" s="4">
        <v>94000</v>
      </c>
      <c r="F139">
        <v>0.63576350634491463</v>
      </c>
      <c r="G139">
        <v>138</v>
      </c>
      <c r="H139" t="str">
        <f t="shared" si="9"/>
        <v>Train-Fold5</v>
      </c>
    </row>
    <row r="140" spans="1:8" x14ac:dyDescent="0.35">
      <c r="A140" s="1">
        <v>156</v>
      </c>
      <c r="B140" s="3" t="s">
        <v>10</v>
      </c>
      <c r="C140" s="3">
        <f t="shared" si="8"/>
        <v>0</v>
      </c>
      <c r="D140">
        <v>6</v>
      </c>
      <c r="E140" s="4">
        <v>45000</v>
      </c>
      <c r="F140">
        <v>0.6364859991637174</v>
      </c>
      <c r="G140">
        <v>139</v>
      </c>
      <c r="H140" t="str">
        <f t="shared" si="9"/>
        <v>Train-Fold5</v>
      </c>
    </row>
    <row r="141" spans="1:8" x14ac:dyDescent="0.35">
      <c r="A141" s="1">
        <v>2</v>
      </c>
      <c r="B141" s="3" t="s">
        <v>11</v>
      </c>
      <c r="C141" s="3">
        <f t="shared" si="8"/>
        <v>1</v>
      </c>
      <c r="D141">
        <v>14</v>
      </c>
      <c r="E141" s="4">
        <v>39100</v>
      </c>
      <c r="F141">
        <v>0.63854756045010086</v>
      </c>
      <c r="G141">
        <v>140</v>
      </c>
      <c r="H141" t="str">
        <f t="shared" si="9"/>
        <v>Train-Fold5</v>
      </c>
    </row>
    <row r="142" spans="1:8" x14ac:dyDescent="0.35">
      <c r="A142" s="1">
        <v>84</v>
      </c>
      <c r="B142" s="3" t="s">
        <v>10</v>
      </c>
      <c r="C142" s="3">
        <f t="shared" si="8"/>
        <v>0</v>
      </c>
      <c r="D142">
        <v>12</v>
      </c>
      <c r="E142" s="4">
        <v>34920</v>
      </c>
      <c r="F142">
        <v>0.63985031020632477</v>
      </c>
      <c r="G142">
        <v>141</v>
      </c>
      <c r="H142" t="str">
        <f t="shared" si="9"/>
        <v>Train-Fold5</v>
      </c>
    </row>
    <row r="143" spans="1:8" x14ac:dyDescent="0.35">
      <c r="A143" s="1">
        <v>124</v>
      </c>
      <c r="B143" s="3" t="s">
        <v>11</v>
      </c>
      <c r="C143" s="3">
        <f t="shared" si="8"/>
        <v>1</v>
      </c>
      <c r="D143">
        <v>4</v>
      </c>
      <c r="E143" s="4">
        <v>39500</v>
      </c>
      <c r="F143">
        <v>0.64125493974540759</v>
      </c>
      <c r="G143">
        <v>142</v>
      </c>
      <c r="H143" t="str">
        <f t="shared" si="9"/>
        <v>Train-Fold5</v>
      </c>
    </row>
    <row r="144" spans="1:8" x14ac:dyDescent="0.35">
      <c r="A144" s="1">
        <v>26</v>
      </c>
      <c r="B144" s="3" t="s">
        <v>10</v>
      </c>
      <c r="C144" s="3">
        <f t="shared" si="8"/>
        <v>0</v>
      </c>
      <c r="D144">
        <v>3</v>
      </c>
      <c r="E144" s="4">
        <v>29500</v>
      </c>
      <c r="F144">
        <v>0.64385978818358891</v>
      </c>
      <c r="G144">
        <v>143</v>
      </c>
      <c r="H144" t="str">
        <f t="shared" si="9"/>
        <v>Train-Fold5</v>
      </c>
    </row>
    <row r="145" spans="1:8" x14ac:dyDescent="0.35">
      <c r="A145" s="1">
        <v>204</v>
      </c>
      <c r="B145" s="3" t="s">
        <v>10</v>
      </c>
      <c r="C145" s="3">
        <f t="shared" si="8"/>
        <v>0</v>
      </c>
      <c r="D145">
        <v>34</v>
      </c>
      <c r="E145" s="4">
        <v>95000</v>
      </c>
      <c r="F145">
        <v>0.64475872253564093</v>
      </c>
      <c r="G145">
        <v>144</v>
      </c>
      <c r="H145" t="str">
        <f t="shared" si="9"/>
        <v>Train-Fold5</v>
      </c>
    </row>
    <row r="146" spans="1:8" x14ac:dyDescent="0.35">
      <c r="A146" s="1">
        <v>7</v>
      </c>
      <c r="B146" s="3" t="s">
        <v>11</v>
      </c>
      <c r="C146" s="3">
        <f t="shared" si="8"/>
        <v>1</v>
      </c>
      <c r="D146">
        <v>4</v>
      </c>
      <c r="E146" s="4">
        <v>30000</v>
      </c>
      <c r="F146">
        <v>0.68016987704966669</v>
      </c>
      <c r="G146">
        <v>145</v>
      </c>
      <c r="H146" t="str">
        <f t="shared" si="9"/>
        <v>Train-Fold5</v>
      </c>
    </row>
    <row r="147" spans="1:8" x14ac:dyDescent="0.35">
      <c r="A147" s="1">
        <v>194</v>
      </c>
      <c r="B147" s="3" t="s">
        <v>10</v>
      </c>
      <c r="C147" s="3">
        <f t="shared" si="8"/>
        <v>0</v>
      </c>
      <c r="D147">
        <v>17</v>
      </c>
      <c r="E147" s="4">
        <v>57000</v>
      </c>
      <c r="F147">
        <v>0.68938609823660246</v>
      </c>
      <c r="G147">
        <v>146</v>
      </c>
      <c r="H147" t="str">
        <f t="shared" si="9"/>
        <v>Train-Fold5</v>
      </c>
    </row>
    <row r="148" spans="1:8" x14ac:dyDescent="0.35">
      <c r="A148" s="1">
        <v>82</v>
      </c>
      <c r="B148" s="3" t="s">
        <v>11</v>
      </c>
      <c r="C148" s="3">
        <f t="shared" si="8"/>
        <v>1</v>
      </c>
      <c r="D148">
        <v>4</v>
      </c>
      <c r="E148" s="4">
        <v>33900</v>
      </c>
      <c r="F148">
        <v>0.69044488205007759</v>
      </c>
      <c r="G148">
        <v>147</v>
      </c>
      <c r="H148" t="str">
        <f t="shared" si="9"/>
        <v>Train-Fold5</v>
      </c>
    </row>
    <row r="149" spans="1:8" x14ac:dyDescent="0.35">
      <c r="A149" s="1">
        <v>87</v>
      </c>
      <c r="B149" s="3" t="s">
        <v>11</v>
      </c>
      <c r="C149" s="3">
        <f t="shared" si="8"/>
        <v>1</v>
      </c>
      <c r="D149">
        <v>6</v>
      </c>
      <c r="E149" s="4">
        <v>31900</v>
      </c>
      <c r="F149">
        <v>0.69908708655059504</v>
      </c>
      <c r="G149">
        <v>148</v>
      </c>
      <c r="H149" t="str">
        <f t="shared" si="9"/>
        <v>Train-Fold5</v>
      </c>
    </row>
    <row r="150" spans="1:8" x14ac:dyDescent="0.35">
      <c r="A150" s="1">
        <v>173</v>
      </c>
      <c r="B150" s="3" t="s">
        <v>11</v>
      </c>
      <c r="C150" s="3">
        <f t="shared" si="8"/>
        <v>1</v>
      </c>
      <c r="D150">
        <v>13</v>
      </c>
      <c r="E150" s="4">
        <v>51200</v>
      </c>
      <c r="F150">
        <v>0.70916026183109016</v>
      </c>
      <c r="G150">
        <v>149</v>
      </c>
      <c r="H150" t="str">
        <f t="shared" si="9"/>
        <v>Train-Fold5</v>
      </c>
    </row>
    <row r="151" spans="1:8" x14ac:dyDescent="0.35">
      <c r="A151" s="1">
        <v>69</v>
      </c>
      <c r="B151" s="3" t="s">
        <v>11</v>
      </c>
      <c r="C151" s="3">
        <f t="shared" si="8"/>
        <v>1</v>
      </c>
      <c r="D151">
        <v>17</v>
      </c>
      <c r="E151" s="4">
        <v>32740.000000000004</v>
      </c>
      <c r="F151">
        <v>0.71220043879936368</v>
      </c>
      <c r="G151">
        <v>150</v>
      </c>
      <c r="H151" t="str">
        <f t="shared" si="9"/>
        <v>Train-Fold5</v>
      </c>
    </row>
    <row r="152" spans="1:8" x14ac:dyDescent="0.35">
      <c r="A152" s="1">
        <v>58</v>
      </c>
      <c r="B152" s="3" t="s">
        <v>11</v>
      </c>
      <c r="C152" s="3">
        <f t="shared" si="8"/>
        <v>1</v>
      </c>
      <c r="D152">
        <v>8</v>
      </c>
      <c r="E152" s="4">
        <v>34000</v>
      </c>
      <c r="F152">
        <v>0.71484112059097427</v>
      </c>
      <c r="G152">
        <v>151</v>
      </c>
      <c r="H152" t="str">
        <f t="shared" si="9"/>
        <v>Test</v>
      </c>
    </row>
    <row r="153" spans="1:8" x14ac:dyDescent="0.35">
      <c r="A153" s="1">
        <v>189</v>
      </c>
      <c r="B153" s="3" t="s">
        <v>11</v>
      </c>
      <c r="C153" s="3">
        <f t="shared" si="8"/>
        <v>1</v>
      </c>
      <c r="D153">
        <v>16</v>
      </c>
      <c r="E153" s="4">
        <v>43000</v>
      </c>
      <c r="F153">
        <v>0.71816809966751483</v>
      </c>
      <c r="G153">
        <v>152</v>
      </c>
      <c r="H153" t="str">
        <f t="shared" si="9"/>
        <v>Test</v>
      </c>
    </row>
    <row r="154" spans="1:8" x14ac:dyDescent="0.35">
      <c r="A154" s="1">
        <v>119</v>
      </c>
      <c r="B154" s="3" t="s">
        <v>11</v>
      </c>
      <c r="C154" s="3">
        <f t="shared" si="8"/>
        <v>1</v>
      </c>
      <c r="D154">
        <v>6</v>
      </c>
      <c r="E154" s="4">
        <v>40000</v>
      </c>
      <c r="F154">
        <v>0.72539828903767534</v>
      </c>
      <c r="G154">
        <v>153</v>
      </c>
      <c r="H154" t="str">
        <f t="shared" si="9"/>
        <v>Test</v>
      </c>
    </row>
    <row r="155" spans="1:8" x14ac:dyDescent="0.35">
      <c r="A155" s="1">
        <v>12</v>
      </c>
      <c r="B155" s="3" t="s">
        <v>11</v>
      </c>
      <c r="C155" s="3">
        <f t="shared" si="8"/>
        <v>1</v>
      </c>
      <c r="D155">
        <v>8</v>
      </c>
      <c r="E155" s="4">
        <v>31300</v>
      </c>
      <c r="F155">
        <v>0.72579920240393536</v>
      </c>
      <c r="G155">
        <v>154</v>
      </c>
      <c r="H155" t="str">
        <f t="shared" si="9"/>
        <v>Test</v>
      </c>
    </row>
    <row r="156" spans="1:8" x14ac:dyDescent="0.35">
      <c r="A156" s="1">
        <v>13</v>
      </c>
      <c r="B156" s="3" t="s">
        <v>11</v>
      </c>
      <c r="C156" s="3">
        <f t="shared" si="8"/>
        <v>1</v>
      </c>
      <c r="D156">
        <v>9</v>
      </c>
      <c r="E156" s="4">
        <v>31200</v>
      </c>
      <c r="F156">
        <v>0.73194199673012317</v>
      </c>
      <c r="G156">
        <v>155</v>
      </c>
      <c r="H156" t="str">
        <f t="shared" si="9"/>
        <v>Test</v>
      </c>
    </row>
    <row r="157" spans="1:8" x14ac:dyDescent="0.35">
      <c r="A157" s="1">
        <v>200</v>
      </c>
      <c r="B157" s="3" t="s">
        <v>10</v>
      </c>
      <c r="C157" s="3">
        <f t="shared" si="8"/>
        <v>0</v>
      </c>
      <c r="D157">
        <v>20</v>
      </c>
      <c r="E157" s="4">
        <v>52000</v>
      </c>
      <c r="F157">
        <v>0.75259676598479686</v>
      </c>
      <c r="G157">
        <v>156</v>
      </c>
      <c r="H157" t="str">
        <f t="shared" si="9"/>
        <v>Test</v>
      </c>
    </row>
    <row r="158" spans="1:8" x14ac:dyDescent="0.35">
      <c r="A158" s="1">
        <v>152</v>
      </c>
      <c r="B158" s="3" t="s">
        <v>10</v>
      </c>
      <c r="C158" s="3">
        <f t="shared" si="8"/>
        <v>0</v>
      </c>
      <c r="D158">
        <v>5</v>
      </c>
      <c r="E158" s="4">
        <v>44500</v>
      </c>
      <c r="F158">
        <v>0.75489211617139729</v>
      </c>
      <c r="G158">
        <v>157</v>
      </c>
      <c r="H158" t="str">
        <f t="shared" si="9"/>
        <v>Test</v>
      </c>
    </row>
    <row r="159" spans="1:8" x14ac:dyDescent="0.35">
      <c r="A159" s="1">
        <v>172</v>
      </c>
      <c r="B159" s="3" t="s">
        <v>11</v>
      </c>
      <c r="C159" s="3">
        <f t="shared" si="8"/>
        <v>1</v>
      </c>
      <c r="D159">
        <v>11</v>
      </c>
      <c r="E159" s="4">
        <v>44500</v>
      </c>
      <c r="F159">
        <v>0.76035493073066462</v>
      </c>
      <c r="G159">
        <v>158</v>
      </c>
      <c r="H159" t="str">
        <f t="shared" si="9"/>
        <v>Test</v>
      </c>
    </row>
    <row r="160" spans="1:8" x14ac:dyDescent="0.35">
      <c r="A160" s="1">
        <v>74</v>
      </c>
      <c r="B160" s="3" t="s">
        <v>10</v>
      </c>
      <c r="C160" s="3">
        <f t="shared" si="8"/>
        <v>0</v>
      </c>
      <c r="D160">
        <v>4</v>
      </c>
      <c r="E160" s="4">
        <v>34000</v>
      </c>
      <c r="F160">
        <v>0.76744604193969401</v>
      </c>
      <c r="G160">
        <v>159</v>
      </c>
      <c r="H160" t="str">
        <f t="shared" si="9"/>
        <v>Test</v>
      </c>
    </row>
    <row r="161" spans="1:8" x14ac:dyDescent="0.35">
      <c r="A161" s="1">
        <v>16</v>
      </c>
      <c r="B161" s="3" t="s">
        <v>11</v>
      </c>
      <c r="C161" s="3">
        <f t="shared" si="8"/>
        <v>1</v>
      </c>
      <c r="D161">
        <v>3</v>
      </c>
      <c r="E161" s="4">
        <v>31000</v>
      </c>
      <c r="F161">
        <v>0.76970608732614021</v>
      </c>
      <c r="G161">
        <v>160</v>
      </c>
      <c r="H161" t="str">
        <f t="shared" si="9"/>
        <v>Test</v>
      </c>
    </row>
    <row r="162" spans="1:8" x14ac:dyDescent="0.35">
      <c r="A162" s="1">
        <v>23</v>
      </c>
      <c r="B162" s="3" t="s">
        <v>11</v>
      </c>
      <c r="C162" s="3">
        <f t="shared" si="8"/>
        <v>1</v>
      </c>
      <c r="D162">
        <v>5</v>
      </c>
      <c r="E162" s="4">
        <v>28500</v>
      </c>
      <c r="F162">
        <v>0.77170986352194537</v>
      </c>
      <c r="G162">
        <v>161</v>
      </c>
      <c r="H162" t="str">
        <f t="shared" si="9"/>
        <v>Test</v>
      </c>
    </row>
    <row r="163" spans="1:8" x14ac:dyDescent="0.35">
      <c r="A163" s="1">
        <v>27</v>
      </c>
      <c r="B163" s="3" t="s">
        <v>11</v>
      </c>
      <c r="C163" s="3">
        <f t="shared" si="8"/>
        <v>1</v>
      </c>
      <c r="D163">
        <v>16</v>
      </c>
      <c r="E163" s="4">
        <v>42200</v>
      </c>
      <c r="F163">
        <v>0.77781167210237923</v>
      </c>
      <c r="G163">
        <v>162</v>
      </c>
      <c r="H163" t="str">
        <f t="shared" si="9"/>
        <v>Test</v>
      </c>
    </row>
    <row r="164" spans="1:8" x14ac:dyDescent="0.35">
      <c r="A164" s="1">
        <v>48</v>
      </c>
      <c r="B164" s="3" t="s">
        <v>10</v>
      </c>
      <c r="C164" s="3">
        <f t="shared" si="8"/>
        <v>0</v>
      </c>
      <c r="D164">
        <v>5</v>
      </c>
      <c r="E164" s="4">
        <v>31200</v>
      </c>
      <c r="F164">
        <v>0.78464948976435334</v>
      </c>
      <c r="G164">
        <v>163</v>
      </c>
      <c r="H164" t="str">
        <f t="shared" si="9"/>
        <v>Test</v>
      </c>
    </row>
    <row r="165" spans="1:8" x14ac:dyDescent="0.35">
      <c r="A165" s="1">
        <v>201</v>
      </c>
      <c r="B165" s="3" t="s">
        <v>10</v>
      </c>
      <c r="C165" s="3">
        <f t="shared" si="8"/>
        <v>0</v>
      </c>
      <c r="D165">
        <v>22</v>
      </c>
      <c r="E165" s="4">
        <v>58000</v>
      </c>
      <c r="F165">
        <v>0.79037532815890066</v>
      </c>
      <c r="G165">
        <v>164</v>
      </c>
      <c r="H165" t="str">
        <f t="shared" si="9"/>
        <v>Test</v>
      </c>
    </row>
    <row r="166" spans="1:8" x14ac:dyDescent="0.35">
      <c r="A166" s="1">
        <v>33</v>
      </c>
      <c r="B166" s="3" t="s">
        <v>10</v>
      </c>
      <c r="C166" s="3">
        <f t="shared" si="8"/>
        <v>0</v>
      </c>
      <c r="D166">
        <v>3</v>
      </c>
      <c r="E166" s="4">
        <v>31000</v>
      </c>
      <c r="F166">
        <v>0.80865187351892753</v>
      </c>
      <c r="G166">
        <v>165</v>
      </c>
      <c r="H166" t="str">
        <f t="shared" si="9"/>
        <v>Test</v>
      </c>
    </row>
    <row r="167" spans="1:8" x14ac:dyDescent="0.35">
      <c r="A167" s="1">
        <v>62</v>
      </c>
      <c r="B167" s="3" t="s">
        <v>10</v>
      </c>
      <c r="C167" s="3">
        <f t="shared" si="8"/>
        <v>0</v>
      </c>
      <c r="D167">
        <v>6</v>
      </c>
      <c r="E167" s="4">
        <v>33000</v>
      </c>
      <c r="F167">
        <v>0.80961833903981861</v>
      </c>
      <c r="G167">
        <v>166</v>
      </c>
      <c r="H167" t="str">
        <f t="shared" si="9"/>
        <v>Test</v>
      </c>
    </row>
    <row r="168" spans="1:8" x14ac:dyDescent="0.35">
      <c r="A168" s="1">
        <v>100</v>
      </c>
      <c r="B168" s="3" t="s">
        <v>11</v>
      </c>
      <c r="C168" s="3">
        <f t="shared" si="8"/>
        <v>1</v>
      </c>
      <c r="D168">
        <v>4</v>
      </c>
      <c r="E168" s="4">
        <v>38000</v>
      </c>
      <c r="F168">
        <v>0.80985261922945162</v>
      </c>
      <c r="G168">
        <v>167</v>
      </c>
      <c r="H168" t="str">
        <f t="shared" si="9"/>
        <v>Test</v>
      </c>
    </row>
    <row r="169" spans="1:8" x14ac:dyDescent="0.35">
      <c r="A169" s="1">
        <v>98</v>
      </c>
      <c r="B169" s="3" t="s">
        <v>10</v>
      </c>
      <c r="C169" s="3">
        <f t="shared" si="8"/>
        <v>0</v>
      </c>
      <c r="D169">
        <v>5</v>
      </c>
      <c r="E169" s="4">
        <v>35500</v>
      </c>
      <c r="F169">
        <v>0.81224591028220938</v>
      </c>
      <c r="G169">
        <v>168</v>
      </c>
      <c r="H169" t="str">
        <f t="shared" si="9"/>
        <v>Test</v>
      </c>
    </row>
    <row r="170" spans="1:8" x14ac:dyDescent="0.35">
      <c r="A170" s="1">
        <v>63</v>
      </c>
      <c r="B170" s="3" t="s">
        <v>11</v>
      </c>
      <c r="C170" s="3">
        <f t="shared" si="8"/>
        <v>1</v>
      </c>
      <c r="D170">
        <v>4</v>
      </c>
      <c r="E170" s="4">
        <v>28600</v>
      </c>
      <c r="F170">
        <v>0.81231024223289761</v>
      </c>
      <c r="G170">
        <v>169</v>
      </c>
      <c r="H170" t="str">
        <f t="shared" si="9"/>
        <v>Test</v>
      </c>
    </row>
    <row r="171" spans="1:8" x14ac:dyDescent="0.35">
      <c r="A171" s="1">
        <v>54</v>
      </c>
      <c r="B171" s="3" t="s">
        <v>11</v>
      </c>
      <c r="C171" s="3">
        <f t="shared" si="8"/>
        <v>1</v>
      </c>
      <c r="D171">
        <v>8</v>
      </c>
      <c r="E171" s="4">
        <v>29650</v>
      </c>
      <c r="F171">
        <v>0.81487322830204911</v>
      </c>
      <c r="G171">
        <v>170</v>
      </c>
      <c r="H171" t="str">
        <f t="shared" si="9"/>
        <v>Test</v>
      </c>
    </row>
    <row r="172" spans="1:8" x14ac:dyDescent="0.35">
      <c r="A172" s="1">
        <v>195</v>
      </c>
      <c r="B172" s="3" t="s">
        <v>10</v>
      </c>
      <c r="C172" s="3">
        <f t="shared" si="8"/>
        <v>0</v>
      </c>
      <c r="D172">
        <v>14</v>
      </c>
      <c r="E172" s="4">
        <v>60000</v>
      </c>
      <c r="F172">
        <v>0.81579821454018986</v>
      </c>
      <c r="G172">
        <v>171</v>
      </c>
      <c r="H172" t="str">
        <f t="shared" si="9"/>
        <v>Test</v>
      </c>
    </row>
    <row r="173" spans="1:8" x14ac:dyDescent="0.35">
      <c r="A173" s="1">
        <v>175</v>
      </c>
      <c r="B173" s="3" t="s">
        <v>11</v>
      </c>
      <c r="C173" s="3">
        <f t="shared" si="8"/>
        <v>1</v>
      </c>
      <c r="D173">
        <v>8</v>
      </c>
      <c r="E173" s="4">
        <v>44500</v>
      </c>
      <c r="F173">
        <v>0.8175813447217396</v>
      </c>
      <c r="G173">
        <v>172</v>
      </c>
      <c r="H173" t="str">
        <f t="shared" si="9"/>
        <v>Test</v>
      </c>
    </row>
    <row r="174" spans="1:8" x14ac:dyDescent="0.35">
      <c r="A174" s="1">
        <v>83</v>
      </c>
      <c r="B174" s="3" t="s">
        <v>11</v>
      </c>
      <c r="C174" s="3">
        <f t="shared" si="8"/>
        <v>1</v>
      </c>
      <c r="D174">
        <v>3</v>
      </c>
      <c r="E174" s="4">
        <v>39000</v>
      </c>
      <c r="F174">
        <v>0.82426761423165995</v>
      </c>
      <c r="G174">
        <v>173</v>
      </c>
      <c r="H174" t="str">
        <f t="shared" si="9"/>
        <v>Test</v>
      </c>
    </row>
    <row r="175" spans="1:8" x14ac:dyDescent="0.35">
      <c r="A175" s="1">
        <v>19</v>
      </c>
      <c r="B175" s="3" t="s">
        <v>11</v>
      </c>
      <c r="C175" s="3">
        <f t="shared" si="8"/>
        <v>1</v>
      </c>
      <c r="D175">
        <v>5</v>
      </c>
      <c r="E175" s="4">
        <v>32600</v>
      </c>
      <c r="F175">
        <v>0.829346042803215</v>
      </c>
      <c r="G175">
        <v>174</v>
      </c>
      <c r="H175" t="str">
        <f t="shared" si="9"/>
        <v>Test</v>
      </c>
    </row>
    <row r="176" spans="1:8" x14ac:dyDescent="0.35">
      <c r="A176" s="1">
        <v>1</v>
      </c>
      <c r="B176" s="3" t="s">
        <v>10</v>
      </c>
      <c r="C176" s="3">
        <f t="shared" si="8"/>
        <v>0</v>
      </c>
      <c r="D176">
        <v>3</v>
      </c>
      <c r="E176" s="4">
        <v>32000</v>
      </c>
      <c r="F176">
        <v>0.83388219959582666</v>
      </c>
      <c r="G176">
        <v>175</v>
      </c>
      <c r="H176" t="str">
        <f t="shared" si="9"/>
        <v>Test</v>
      </c>
    </row>
    <row r="177" spans="1:8" x14ac:dyDescent="0.35">
      <c r="A177" s="1">
        <v>38</v>
      </c>
      <c r="B177" s="3" t="s">
        <v>11</v>
      </c>
      <c r="C177" s="3">
        <f t="shared" si="8"/>
        <v>1</v>
      </c>
      <c r="D177">
        <v>2</v>
      </c>
      <c r="E177" s="4">
        <v>28500</v>
      </c>
      <c r="F177">
        <v>0.83615086607921896</v>
      </c>
      <c r="G177">
        <v>176</v>
      </c>
      <c r="H177" t="str">
        <f t="shared" si="9"/>
        <v>Test</v>
      </c>
    </row>
    <row r="178" spans="1:8" x14ac:dyDescent="0.35">
      <c r="A178" s="1">
        <v>77</v>
      </c>
      <c r="B178" s="3" t="s">
        <v>10</v>
      </c>
      <c r="C178" s="3">
        <f t="shared" si="8"/>
        <v>0</v>
      </c>
      <c r="D178">
        <v>3</v>
      </c>
      <c r="E178" s="4">
        <v>36500</v>
      </c>
      <c r="F178">
        <v>0.83678073238912631</v>
      </c>
      <c r="G178">
        <v>177</v>
      </c>
      <c r="H178" t="str">
        <f t="shared" si="9"/>
        <v>Test</v>
      </c>
    </row>
    <row r="179" spans="1:8" x14ac:dyDescent="0.35">
      <c r="A179" s="1">
        <v>86</v>
      </c>
      <c r="B179" s="3" t="s">
        <v>11</v>
      </c>
      <c r="C179" s="3">
        <f t="shared" si="8"/>
        <v>1</v>
      </c>
      <c r="D179">
        <v>8</v>
      </c>
      <c r="E179" s="4">
        <v>34000</v>
      </c>
      <c r="F179">
        <v>0.83698340384390046</v>
      </c>
      <c r="G179">
        <v>178</v>
      </c>
      <c r="H179" t="str">
        <f t="shared" si="9"/>
        <v>Test</v>
      </c>
    </row>
    <row r="180" spans="1:8" x14ac:dyDescent="0.35">
      <c r="A180" s="1">
        <v>197</v>
      </c>
      <c r="B180" s="3" t="s">
        <v>10</v>
      </c>
      <c r="C180" s="3">
        <f t="shared" si="8"/>
        <v>0</v>
      </c>
      <c r="D180">
        <v>19</v>
      </c>
      <c r="E180" s="4">
        <v>59000</v>
      </c>
      <c r="F180">
        <v>0.84252104297130537</v>
      </c>
      <c r="G180">
        <v>179</v>
      </c>
      <c r="H180" t="str">
        <f t="shared" si="9"/>
        <v>Test</v>
      </c>
    </row>
    <row r="181" spans="1:8" x14ac:dyDescent="0.35">
      <c r="A181" s="1">
        <v>60</v>
      </c>
      <c r="B181" s="3" t="s">
        <v>11</v>
      </c>
      <c r="C181" s="3">
        <f t="shared" si="8"/>
        <v>1</v>
      </c>
      <c r="D181">
        <v>18</v>
      </c>
      <c r="E181" s="4">
        <v>34000</v>
      </c>
      <c r="F181">
        <v>0.85064251251124834</v>
      </c>
      <c r="G181">
        <v>180</v>
      </c>
      <c r="H181" t="str">
        <f t="shared" si="9"/>
        <v>Test</v>
      </c>
    </row>
    <row r="182" spans="1:8" x14ac:dyDescent="0.35">
      <c r="A182" s="1">
        <v>170</v>
      </c>
      <c r="B182" s="3" t="s">
        <v>11</v>
      </c>
      <c r="C182" s="3">
        <f t="shared" si="8"/>
        <v>1</v>
      </c>
      <c r="D182">
        <v>16</v>
      </c>
      <c r="E182" s="4">
        <v>42000</v>
      </c>
      <c r="F182">
        <v>0.86692939435899807</v>
      </c>
      <c r="G182">
        <v>181</v>
      </c>
      <c r="H182" t="str">
        <f t="shared" si="9"/>
        <v>Test</v>
      </c>
    </row>
    <row r="183" spans="1:8" x14ac:dyDescent="0.35">
      <c r="A183" s="1">
        <v>14</v>
      </c>
      <c r="B183" s="3" t="s">
        <v>11</v>
      </c>
      <c r="C183" s="3">
        <f t="shared" si="8"/>
        <v>1</v>
      </c>
      <c r="D183">
        <v>10</v>
      </c>
      <c r="E183" s="4">
        <v>34700</v>
      </c>
      <c r="F183">
        <v>0.86746438060714703</v>
      </c>
      <c r="G183">
        <v>182</v>
      </c>
      <c r="H183" t="str">
        <f t="shared" si="9"/>
        <v>Test</v>
      </c>
    </row>
    <row r="184" spans="1:8" x14ac:dyDescent="0.35">
      <c r="A184" s="1">
        <v>131</v>
      </c>
      <c r="B184" s="3" t="s">
        <v>11</v>
      </c>
      <c r="C184" s="3">
        <f t="shared" si="8"/>
        <v>1</v>
      </c>
      <c r="D184">
        <v>3</v>
      </c>
      <c r="E184" s="4">
        <v>43600</v>
      </c>
      <c r="F184">
        <v>0.87535794649007836</v>
      </c>
      <c r="G184">
        <v>183</v>
      </c>
      <c r="H184" t="str">
        <f t="shared" si="9"/>
        <v>Test</v>
      </c>
    </row>
    <row r="185" spans="1:8" x14ac:dyDescent="0.35">
      <c r="A185" s="1">
        <v>171</v>
      </c>
      <c r="B185" s="3" t="s">
        <v>11</v>
      </c>
      <c r="C185" s="3">
        <f t="shared" si="8"/>
        <v>1</v>
      </c>
      <c r="D185">
        <v>16</v>
      </c>
      <c r="E185" s="4">
        <v>45500</v>
      </c>
      <c r="F185">
        <v>0.87925800085364469</v>
      </c>
      <c r="G185">
        <v>184</v>
      </c>
      <c r="H185" t="str">
        <f t="shared" si="9"/>
        <v>Test</v>
      </c>
    </row>
    <row r="186" spans="1:8" x14ac:dyDescent="0.35">
      <c r="A186" s="1">
        <v>141</v>
      </c>
      <c r="B186" s="3" t="s">
        <v>11</v>
      </c>
      <c r="C186" s="3">
        <f t="shared" si="8"/>
        <v>1</v>
      </c>
      <c r="D186">
        <v>13</v>
      </c>
      <c r="E186" s="4">
        <v>39700</v>
      </c>
      <c r="F186">
        <v>0.88309047850849631</v>
      </c>
      <c r="G186">
        <v>185</v>
      </c>
      <c r="H186" t="str">
        <f t="shared" si="9"/>
        <v>Test</v>
      </c>
    </row>
    <row r="187" spans="1:8" x14ac:dyDescent="0.35">
      <c r="A187" s="1">
        <v>88</v>
      </c>
      <c r="B187" s="3" t="s">
        <v>10</v>
      </c>
      <c r="C187" s="3">
        <f t="shared" si="8"/>
        <v>0</v>
      </c>
      <c r="D187">
        <v>3</v>
      </c>
      <c r="E187" s="4">
        <v>37000</v>
      </c>
      <c r="F187">
        <v>0.88477024967790319</v>
      </c>
      <c r="G187">
        <v>186</v>
      </c>
      <c r="H187" t="str">
        <f t="shared" si="9"/>
        <v>Test</v>
      </c>
    </row>
    <row r="188" spans="1:8" x14ac:dyDescent="0.35">
      <c r="A188" s="1">
        <v>6</v>
      </c>
      <c r="B188" s="3" t="s">
        <v>11</v>
      </c>
      <c r="C188" s="3">
        <f t="shared" si="8"/>
        <v>1</v>
      </c>
      <c r="D188">
        <v>3</v>
      </c>
      <c r="E188" s="4">
        <v>30500</v>
      </c>
      <c r="F188">
        <v>0.88519172602689011</v>
      </c>
      <c r="G188">
        <v>187</v>
      </c>
      <c r="H188" t="str">
        <f t="shared" si="9"/>
        <v>Test</v>
      </c>
    </row>
    <row r="189" spans="1:8" x14ac:dyDescent="0.35">
      <c r="A189" s="1">
        <v>116</v>
      </c>
      <c r="B189" s="3" t="s">
        <v>10</v>
      </c>
      <c r="C189" s="3">
        <f t="shared" si="8"/>
        <v>0</v>
      </c>
      <c r="D189">
        <v>4</v>
      </c>
      <c r="E189" s="4">
        <v>41500</v>
      </c>
      <c r="F189">
        <v>0.88665455863292131</v>
      </c>
      <c r="G189">
        <v>188</v>
      </c>
      <c r="H189" t="str">
        <f t="shared" si="9"/>
        <v>Test</v>
      </c>
    </row>
    <row r="190" spans="1:8" x14ac:dyDescent="0.35">
      <c r="A190" s="1">
        <v>101</v>
      </c>
      <c r="B190" s="3" t="s">
        <v>11</v>
      </c>
      <c r="C190" s="3">
        <f t="shared" si="8"/>
        <v>1</v>
      </c>
      <c r="D190">
        <v>9</v>
      </c>
      <c r="E190" s="4">
        <v>35300</v>
      </c>
      <c r="F190">
        <v>0.89952847985265427</v>
      </c>
      <c r="G190">
        <v>189</v>
      </c>
      <c r="H190" t="str">
        <f t="shared" si="9"/>
        <v>Test</v>
      </c>
    </row>
    <row r="191" spans="1:8" x14ac:dyDescent="0.35">
      <c r="A191" s="1">
        <v>3</v>
      </c>
      <c r="B191" s="3" t="s">
        <v>11</v>
      </c>
      <c r="C191" s="3">
        <f t="shared" si="8"/>
        <v>1</v>
      </c>
      <c r="D191">
        <v>12</v>
      </c>
      <c r="E191" s="4">
        <v>33200</v>
      </c>
      <c r="F191">
        <v>0.90024083191563964</v>
      </c>
      <c r="G191">
        <v>190</v>
      </c>
      <c r="H191" t="str">
        <f t="shared" si="9"/>
        <v>Test</v>
      </c>
    </row>
    <row r="192" spans="1:8" x14ac:dyDescent="0.35">
      <c r="A192" s="1">
        <v>39</v>
      </c>
      <c r="B192" s="3" t="s">
        <v>11</v>
      </c>
      <c r="C192" s="3">
        <f t="shared" si="8"/>
        <v>1</v>
      </c>
      <c r="D192">
        <v>11</v>
      </c>
      <c r="E192" s="4">
        <v>29500</v>
      </c>
      <c r="F192">
        <v>0.90025838321809037</v>
      </c>
      <c r="G192">
        <v>191</v>
      </c>
      <c r="H192" t="str">
        <f t="shared" si="9"/>
        <v>Test</v>
      </c>
    </row>
    <row r="193" spans="1:8" x14ac:dyDescent="0.35">
      <c r="A193" s="1">
        <v>109</v>
      </c>
      <c r="B193" s="3" t="s">
        <v>11</v>
      </c>
      <c r="C193" s="3">
        <f t="shared" si="8"/>
        <v>1</v>
      </c>
      <c r="D193">
        <v>4</v>
      </c>
      <c r="E193" s="4">
        <v>41000</v>
      </c>
      <c r="F193">
        <v>0.90165496354444485</v>
      </c>
      <c r="G193">
        <v>192</v>
      </c>
      <c r="H193" t="str">
        <f t="shared" si="9"/>
        <v>Test</v>
      </c>
    </row>
    <row r="194" spans="1:8" x14ac:dyDescent="0.35">
      <c r="A194" s="1">
        <v>110</v>
      </c>
      <c r="B194" s="3" t="s">
        <v>11</v>
      </c>
      <c r="C194" s="3">
        <f t="shared" si="8"/>
        <v>1</v>
      </c>
      <c r="D194">
        <v>10</v>
      </c>
      <c r="E194" s="4">
        <v>35600</v>
      </c>
      <c r="F194">
        <v>0.90803304384168837</v>
      </c>
      <c r="G194">
        <v>193</v>
      </c>
      <c r="H194" t="str">
        <f t="shared" si="9"/>
        <v>Test</v>
      </c>
    </row>
    <row r="195" spans="1:8" x14ac:dyDescent="0.35">
      <c r="A195" s="1">
        <v>153</v>
      </c>
      <c r="B195" s="3" t="s">
        <v>11</v>
      </c>
      <c r="C195" s="3">
        <f t="shared" ref="C195:C209" si="10">IF(B195="Female",1,0)</f>
        <v>1</v>
      </c>
      <c r="D195">
        <v>13</v>
      </c>
      <c r="E195" s="4">
        <v>35500</v>
      </c>
      <c r="F195">
        <v>0.91929449842389466</v>
      </c>
      <c r="G195">
        <v>194</v>
      </c>
      <c r="H195" t="str">
        <f t="shared" ref="H195:H209" si="11">VLOOKUP(G195,$K$2:$L$7,2,TRUE)</f>
        <v>Test</v>
      </c>
    </row>
    <row r="196" spans="1:8" x14ac:dyDescent="0.35">
      <c r="A196" s="1">
        <v>66</v>
      </c>
      <c r="B196" s="3" t="s">
        <v>10</v>
      </c>
      <c r="C196" s="3">
        <f t="shared" si="10"/>
        <v>0</v>
      </c>
      <c r="D196">
        <v>7</v>
      </c>
      <c r="E196" s="4">
        <v>29900</v>
      </c>
      <c r="F196">
        <v>0.92286150390004795</v>
      </c>
      <c r="G196">
        <v>195</v>
      </c>
      <c r="H196" t="str">
        <f t="shared" si="11"/>
        <v>Test</v>
      </c>
    </row>
    <row r="197" spans="1:8" x14ac:dyDescent="0.35">
      <c r="A197" s="1">
        <v>99</v>
      </c>
      <c r="B197" s="3" t="s">
        <v>11</v>
      </c>
      <c r="C197" s="3">
        <f t="shared" si="10"/>
        <v>1</v>
      </c>
      <c r="D197">
        <v>11</v>
      </c>
      <c r="E197" s="4">
        <v>35000</v>
      </c>
      <c r="F197">
        <v>0.93885857982419896</v>
      </c>
      <c r="G197">
        <v>196</v>
      </c>
      <c r="H197" t="str">
        <f t="shared" si="11"/>
        <v>Test</v>
      </c>
    </row>
    <row r="198" spans="1:8" x14ac:dyDescent="0.35">
      <c r="A198" s="1">
        <v>105</v>
      </c>
      <c r="B198" s="3" t="s">
        <v>11</v>
      </c>
      <c r="C198" s="3">
        <f t="shared" si="10"/>
        <v>1</v>
      </c>
      <c r="D198">
        <v>7</v>
      </c>
      <c r="E198" s="4">
        <v>34600</v>
      </c>
      <c r="F198">
        <v>0.93907264190872808</v>
      </c>
      <c r="G198">
        <v>197</v>
      </c>
      <c r="H198" t="str">
        <f t="shared" si="11"/>
        <v>Test</v>
      </c>
    </row>
    <row r="199" spans="1:8" x14ac:dyDescent="0.35">
      <c r="A199" s="1">
        <v>36</v>
      </c>
      <c r="B199" s="3" t="s">
        <v>11</v>
      </c>
      <c r="C199" s="3">
        <f t="shared" si="10"/>
        <v>1</v>
      </c>
      <c r="D199">
        <v>19</v>
      </c>
      <c r="E199" s="4">
        <v>35000</v>
      </c>
      <c r="F199">
        <v>0.9405826065289602</v>
      </c>
      <c r="G199">
        <v>198</v>
      </c>
      <c r="H199" t="str">
        <f t="shared" si="11"/>
        <v>Test</v>
      </c>
    </row>
    <row r="200" spans="1:8" x14ac:dyDescent="0.35">
      <c r="A200" s="1">
        <v>5</v>
      </c>
      <c r="B200" s="3" t="s">
        <v>10</v>
      </c>
      <c r="C200" s="3">
        <f t="shared" si="10"/>
        <v>0</v>
      </c>
      <c r="D200">
        <v>3</v>
      </c>
      <c r="E200" s="4">
        <v>29000</v>
      </c>
      <c r="F200">
        <v>0.94889740159862845</v>
      </c>
      <c r="G200">
        <v>199</v>
      </c>
      <c r="H200" t="str">
        <f t="shared" si="11"/>
        <v>Test</v>
      </c>
    </row>
    <row r="201" spans="1:8" x14ac:dyDescent="0.35">
      <c r="A201" s="1">
        <v>188</v>
      </c>
      <c r="B201" s="3" t="s">
        <v>11</v>
      </c>
      <c r="C201" s="3">
        <f t="shared" si="10"/>
        <v>1</v>
      </c>
      <c r="D201">
        <v>12</v>
      </c>
      <c r="E201" s="4">
        <v>61800</v>
      </c>
      <c r="F201">
        <v>0.9514555351494568</v>
      </c>
      <c r="G201">
        <v>200</v>
      </c>
      <c r="H201" t="str">
        <f t="shared" si="11"/>
        <v>Test</v>
      </c>
    </row>
    <row r="202" spans="1:8" x14ac:dyDescent="0.35">
      <c r="A202" s="1">
        <v>123</v>
      </c>
      <c r="B202" s="3" t="s">
        <v>11</v>
      </c>
      <c r="C202" s="3">
        <f t="shared" si="10"/>
        <v>1</v>
      </c>
      <c r="D202">
        <v>3</v>
      </c>
      <c r="E202" s="4">
        <v>38000</v>
      </c>
      <c r="F202">
        <v>0.95372070534603515</v>
      </c>
      <c r="G202">
        <v>201</v>
      </c>
      <c r="H202" t="str">
        <f t="shared" si="11"/>
        <v>Test</v>
      </c>
    </row>
    <row r="203" spans="1:8" x14ac:dyDescent="0.35">
      <c r="A203" s="1">
        <v>49</v>
      </c>
      <c r="B203" s="3" t="s">
        <v>11</v>
      </c>
      <c r="C203" s="3">
        <f t="shared" si="10"/>
        <v>1</v>
      </c>
      <c r="D203">
        <v>15</v>
      </c>
      <c r="E203" s="4">
        <v>34000</v>
      </c>
      <c r="F203">
        <v>0.96271249866971864</v>
      </c>
      <c r="G203">
        <v>202</v>
      </c>
      <c r="H203" t="str">
        <f t="shared" si="11"/>
        <v>Test</v>
      </c>
    </row>
    <row r="204" spans="1:8" x14ac:dyDescent="0.35">
      <c r="A204" s="1">
        <v>18</v>
      </c>
      <c r="B204" s="3" t="s">
        <v>11</v>
      </c>
      <c r="C204" s="3">
        <f t="shared" si="10"/>
        <v>1</v>
      </c>
      <c r="D204">
        <v>8</v>
      </c>
      <c r="E204" s="4">
        <v>29600</v>
      </c>
      <c r="F204">
        <v>0.96415997559208466</v>
      </c>
      <c r="G204">
        <v>203</v>
      </c>
      <c r="H204" t="str">
        <f t="shared" si="11"/>
        <v>Test</v>
      </c>
    </row>
    <row r="205" spans="1:8" x14ac:dyDescent="0.35">
      <c r="A205" s="1">
        <v>196</v>
      </c>
      <c r="B205" s="3" t="s">
        <v>10</v>
      </c>
      <c r="C205" s="3">
        <f t="shared" si="10"/>
        <v>0</v>
      </c>
      <c r="D205">
        <v>13</v>
      </c>
      <c r="E205" s="4">
        <v>60000</v>
      </c>
      <c r="F205">
        <v>0.98188102483637985</v>
      </c>
      <c r="G205">
        <v>204</v>
      </c>
      <c r="H205" t="str">
        <f t="shared" si="11"/>
        <v>Test</v>
      </c>
    </row>
    <row r="206" spans="1:8" x14ac:dyDescent="0.35">
      <c r="A206" s="1">
        <v>138</v>
      </c>
      <c r="B206" s="3" t="s">
        <v>11</v>
      </c>
      <c r="C206" s="3">
        <f t="shared" si="10"/>
        <v>1</v>
      </c>
      <c r="D206">
        <v>21</v>
      </c>
      <c r="E206" s="4">
        <v>40300</v>
      </c>
      <c r="F206">
        <v>0.98796139085345624</v>
      </c>
      <c r="G206">
        <v>205</v>
      </c>
      <c r="H206" t="str">
        <f t="shared" si="11"/>
        <v>Test</v>
      </c>
    </row>
    <row r="207" spans="1:8" x14ac:dyDescent="0.35">
      <c r="A207" s="1">
        <v>113</v>
      </c>
      <c r="B207" s="3" t="s">
        <v>11</v>
      </c>
      <c r="C207" s="3">
        <f t="shared" si="10"/>
        <v>1</v>
      </c>
      <c r="D207">
        <v>9</v>
      </c>
      <c r="E207" s="4">
        <v>42500</v>
      </c>
      <c r="F207">
        <v>0.98966847139111125</v>
      </c>
      <c r="G207">
        <v>206</v>
      </c>
      <c r="H207" t="str">
        <f t="shared" si="11"/>
        <v>Test</v>
      </c>
    </row>
    <row r="208" spans="1:8" x14ac:dyDescent="0.35">
      <c r="A208" s="1">
        <v>61</v>
      </c>
      <c r="B208" s="3" t="s">
        <v>11</v>
      </c>
      <c r="C208" s="3">
        <f t="shared" si="10"/>
        <v>1</v>
      </c>
      <c r="D208">
        <v>3</v>
      </c>
      <c r="E208" s="4">
        <v>37250</v>
      </c>
      <c r="F208">
        <v>0.99026984314410116</v>
      </c>
      <c r="G208">
        <v>207</v>
      </c>
      <c r="H208" t="str">
        <f t="shared" si="11"/>
        <v>Test</v>
      </c>
    </row>
    <row r="209" spans="1:8" x14ac:dyDescent="0.35">
      <c r="A209" s="1">
        <v>179</v>
      </c>
      <c r="B209" s="3" t="s">
        <v>10</v>
      </c>
      <c r="C209" s="3">
        <f t="shared" si="10"/>
        <v>0</v>
      </c>
      <c r="D209">
        <v>8</v>
      </c>
      <c r="E209" s="4">
        <v>49000</v>
      </c>
      <c r="F209">
        <v>0.99775560895372017</v>
      </c>
      <c r="G209">
        <v>208</v>
      </c>
      <c r="H209" t="str">
        <f t="shared" si="11"/>
        <v>Test</v>
      </c>
    </row>
  </sheetData>
  <autoFilter ref="A1:H209" xr:uid="{D15D8820-24D5-4D91-B57F-8743C669A4C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0426-B284-4F9A-9A7A-E5D6D3DC5A6C}">
  <dimension ref="A1:Q61"/>
  <sheetViews>
    <sheetView tabSelected="1" workbookViewId="0">
      <selection activeCell="M33" sqref="M33"/>
    </sheetView>
  </sheetViews>
  <sheetFormatPr defaultRowHeight="14.5" x14ac:dyDescent="0.35"/>
  <cols>
    <col min="1" max="1" width="10.08984375" bestFit="1" customWidth="1"/>
    <col min="13" max="17" width="7.90625" customWidth="1"/>
  </cols>
  <sheetData>
    <row r="1" spans="1:17" x14ac:dyDescent="0.35">
      <c r="A1" s="26" t="s">
        <v>47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103</v>
      </c>
      <c r="H1" t="s">
        <v>99</v>
      </c>
      <c r="I1" t="s">
        <v>100</v>
      </c>
      <c r="J1" t="s">
        <v>101</v>
      </c>
      <c r="K1" t="s">
        <v>102</v>
      </c>
      <c r="M1" s="27" t="s">
        <v>104</v>
      </c>
      <c r="N1" s="27"/>
      <c r="O1" s="27"/>
      <c r="P1" s="27"/>
      <c r="Q1" s="27"/>
    </row>
    <row r="2" spans="1:17" x14ac:dyDescent="0.35">
      <c r="A2" s="26">
        <v>37288</v>
      </c>
      <c r="B2">
        <v>152641</v>
      </c>
      <c r="C2">
        <v>27840</v>
      </c>
      <c r="D2">
        <v>5.7</v>
      </c>
      <c r="E2">
        <v>4.75</v>
      </c>
      <c r="F2">
        <v>93.13</v>
      </c>
      <c r="G2">
        <f>INT((MONTH(A2)+2)/3)</f>
        <v>1</v>
      </c>
      <c r="H2">
        <f>VLOOKUP($G2,$M$3:$Q$6,RIGHT(H$1,1)+1,FALSE)</f>
        <v>1</v>
      </c>
      <c r="I2">
        <f t="shared" ref="I2:K17" si="0">VLOOKUP($G2,$M$3:$Q$6,RIGHT(I$1,1)+1,FALSE)</f>
        <v>0</v>
      </c>
      <c r="J2">
        <f t="shared" si="0"/>
        <v>0</v>
      </c>
      <c r="K2">
        <f t="shared" si="0"/>
        <v>0</v>
      </c>
      <c r="M2" s="20" t="s">
        <v>103</v>
      </c>
      <c r="N2" s="20" t="s">
        <v>99</v>
      </c>
      <c r="O2" s="20" t="s">
        <v>100</v>
      </c>
      <c r="P2" s="20" t="s">
        <v>101</v>
      </c>
      <c r="Q2" s="20" t="s">
        <v>102</v>
      </c>
    </row>
    <row r="3" spans="1:17" x14ac:dyDescent="0.35">
      <c r="A3" s="26">
        <v>37377</v>
      </c>
      <c r="B3">
        <v>166036</v>
      </c>
      <c r="C3">
        <v>28134</v>
      </c>
      <c r="D3">
        <v>5.83</v>
      </c>
      <c r="E3">
        <v>4.75</v>
      </c>
      <c r="F3">
        <v>94.1</v>
      </c>
      <c r="G3">
        <f t="shared" ref="G3:G61" si="1">INT((MONTH(A3)+2)/3)</f>
        <v>2</v>
      </c>
      <c r="H3">
        <f t="shared" ref="H3:K34" si="2">VLOOKUP($G3,$M$3:$Q$6,RIGHT(H$1,1)+1,FALSE)</f>
        <v>0</v>
      </c>
      <c r="I3">
        <f t="shared" si="0"/>
        <v>1</v>
      </c>
      <c r="J3">
        <f t="shared" si="0"/>
        <v>0</v>
      </c>
      <c r="K3">
        <f t="shared" si="0"/>
        <v>0</v>
      </c>
      <c r="M3" s="20">
        <v>1</v>
      </c>
      <c r="N3" s="20">
        <v>1</v>
      </c>
      <c r="O3" s="20">
        <v>0</v>
      </c>
      <c r="P3" s="20">
        <v>0</v>
      </c>
      <c r="Q3" s="20">
        <v>0</v>
      </c>
    </row>
    <row r="4" spans="1:17" x14ac:dyDescent="0.35">
      <c r="A4" s="26">
        <v>37469</v>
      </c>
      <c r="B4">
        <v>175863</v>
      </c>
      <c r="C4">
        <v>28168</v>
      </c>
      <c r="D4">
        <v>5.73</v>
      </c>
      <c r="E4">
        <v>4.75</v>
      </c>
      <c r="F4">
        <v>87.27</v>
      </c>
      <c r="G4">
        <f t="shared" si="1"/>
        <v>3</v>
      </c>
      <c r="H4">
        <f t="shared" si="2"/>
        <v>0</v>
      </c>
      <c r="I4">
        <f t="shared" si="0"/>
        <v>0</v>
      </c>
      <c r="J4">
        <f t="shared" si="0"/>
        <v>1</v>
      </c>
      <c r="K4">
        <f t="shared" si="0"/>
        <v>0</v>
      </c>
      <c r="M4" s="20">
        <v>2</v>
      </c>
      <c r="N4" s="20">
        <v>0</v>
      </c>
      <c r="O4" s="20">
        <v>1</v>
      </c>
      <c r="P4" s="20">
        <v>0</v>
      </c>
      <c r="Q4" s="20">
        <v>0</v>
      </c>
    </row>
    <row r="5" spans="1:17" x14ac:dyDescent="0.35">
      <c r="A5" s="26">
        <v>37561</v>
      </c>
      <c r="B5">
        <v>151219</v>
      </c>
      <c r="C5">
        <v>28363</v>
      </c>
      <c r="D5">
        <v>5.87</v>
      </c>
      <c r="E5">
        <v>4.45</v>
      </c>
      <c r="F5">
        <v>83.83</v>
      </c>
      <c r="G5">
        <f t="shared" si="1"/>
        <v>4</v>
      </c>
      <c r="H5">
        <f t="shared" si="2"/>
        <v>0</v>
      </c>
      <c r="I5">
        <f t="shared" si="0"/>
        <v>0</v>
      </c>
      <c r="J5">
        <f t="shared" si="0"/>
        <v>0</v>
      </c>
      <c r="K5">
        <f t="shared" si="0"/>
        <v>1</v>
      </c>
      <c r="M5" s="20">
        <v>3</v>
      </c>
      <c r="N5" s="20">
        <v>0</v>
      </c>
      <c r="O5" s="20">
        <v>0</v>
      </c>
      <c r="P5" s="20">
        <v>1</v>
      </c>
      <c r="Q5" s="20">
        <v>0</v>
      </c>
    </row>
    <row r="6" spans="1:17" x14ac:dyDescent="0.35">
      <c r="A6" s="26">
        <v>37653</v>
      </c>
      <c r="B6">
        <v>152843</v>
      </c>
      <c r="C6">
        <v>28584</v>
      </c>
      <c r="D6">
        <v>5.87</v>
      </c>
      <c r="E6">
        <v>4.25</v>
      </c>
      <c r="F6">
        <v>79.97</v>
      </c>
      <c r="G6">
        <f t="shared" si="1"/>
        <v>1</v>
      </c>
      <c r="H6">
        <f t="shared" si="2"/>
        <v>1</v>
      </c>
      <c r="I6">
        <f t="shared" si="0"/>
        <v>0</v>
      </c>
      <c r="J6">
        <f t="shared" si="0"/>
        <v>0</v>
      </c>
      <c r="K6">
        <f t="shared" si="0"/>
        <v>0</v>
      </c>
      <c r="M6" s="20">
        <v>4</v>
      </c>
      <c r="N6" s="20">
        <v>0</v>
      </c>
      <c r="O6" s="20">
        <v>0</v>
      </c>
      <c r="P6" s="20">
        <v>0</v>
      </c>
      <c r="Q6" s="20">
        <v>1</v>
      </c>
    </row>
    <row r="7" spans="1:17" x14ac:dyDescent="0.35">
      <c r="A7" s="26">
        <v>37742</v>
      </c>
      <c r="B7">
        <v>173360</v>
      </c>
      <c r="C7">
        <v>28958</v>
      </c>
      <c r="D7">
        <v>6.13</v>
      </c>
      <c r="E7">
        <v>4.24</v>
      </c>
      <c r="F7">
        <v>89.27</v>
      </c>
      <c r="G7">
        <f t="shared" si="1"/>
        <v>2</v>
      </c>
      <c r="H7">
        <f t="shared" si="2"/>
        <v>0</v>
      </c>
      <c r="I7">
        <f t="shared" si="0"/>
        <v>1</v>
      </c>
      <c r="J7">
        <f t="shared" si="0"/>
        <v>0</v>
      </c>
      <c r="K7">
        <f t="shared" si="0"/>
        <v>0</v>
      </c>
    </row>
    <row r="8" spans="1:17" x14ac:dyDescent="0.35">
      <c r="A8" s="26">
        <v>37834</v>
      </c>
      <c r="B8">
        <v>178086</v>
      </c>
      <c r="C8">
        <v>29539</v>
      </c>
      <c r="D8">
        <v>6.13</v>
      </c>
      <c r="E8">
        <v>4</v>
      </c>
      <c r="F8">
        <v>89.3</v>
      </c>
      <c r="G8">
        <f t="shared" si="1"/>
        <v>3</v>
      </c>
      <c r="H8">
        <f t="shared" si="2"/>
        <v>0</v>
      </c>
      <c r="I8">
        <f t="shared" si="0"/>
        <v>0</v>
      </c>
      <c r="J8">
        <f t="shared" si="0"/>
        <v>1</v>
      </c>
      <c r="K8">
        <f t="shared" si="0"/>
        <v>0</v>
      </c>
    </row>
    <row r="9" spans="1:17" x14ac:dyDescent="0.35">
      <c r="A9" s="26">
        <v>37926</v>
      </c>
      <c r="B9">
        <v>154916</v>
      </c>
      <c r="C9">
        <v>29708</v>
      </c>
      <c r="D9">
        <v>5.83</v>
      </c>
      <c r="E9">
        <v>4</v>
      </c>
      <c r="F9">
        <v>91.97</v>
      </c>
      <c r="G9">
        <f t="shared" si="1"/>
        <v>4</v>
      </c>
      <c r="H9">
        <f t="shared" si="2"/>
        <v>0</v>
      </c>
      <c r="I9">
        <f t="shared" si="0"/>
        <v>0</v>
      </c>
      <c r="J9">
        <f t="shared" si="0"/>
        <v>0</v>
      </c>
      <c r="K9">
        <f t="shared" si="0"/>
        <v>1</v>
      </c>
    </row>
    <row r="10" spans="1:17" x14ac:dyDescent="0.35">
      <c r="A10" s="26">
        <v>38018</v>
      </c>
      <c r="B10">
        <v>159086</v>
      </c>
      <c r="C10">
        <v>30094</v>
      </c>
      <c r="D10">
        <v>5.7</v>
      </c>
      <c r="E10">
        <v>4</v>
      </c>
      <c r="F10">
        <v>98</v>
      </c>
      <c r="G10">
        <f t="shared" si="1"/>
        <v>1</v>
      </c>
      <c r="H10">
        <f t="shared" si="2"/>
        <v>1</v>
      </c>
      <c r="I10">
        <f t="shared" si="0"/>
        <v>0</v>
      </c>
      <c r="J10">
        <f t="shared" si="0"/>
        <v>0</v>
      </c>
      <c r="K10">
        <f t="shared" si="0"/>
        <v>0</v>
      </c>
    </row>
    <row r="11" spans="1:17" x14ac:dyDescent="0.35">
      <c r="A11" s="26">
        <v>38108</v>
      </c>
      <c r="B11">
        <v>172174</v>
      </c>
      <c r="C11">
        <v>30537</v>
      </c>
      <c r="D11">
        <v>5.6</v>
      </c>
      <c r="E11">
        <v>4</v>
      </c>
      <c r="F11">
        <v>93.33</v>
      </c>
      <c r="G11">
        <f t="shared" si="1"/>
        <v>2</v>
      </c>
      <c r="H11">
        <f t="shared" si="2"/>
        <v>0</v>
      </c>
      <c r="I11">
        <f t="shared" si="0"/>
        <v>1</v>
      </c>
      <c r="J11">
        <f t="shared" si="0"/>
        <v>0</v>
      </c>
      <c r="K11">
        <f t="shared" si="0"/>
        <v>0</v>
      </c>
    </row>
    <row r="12" spans="1:17" x14ac:dyDescent="0.35">
      <c r="A12" s="26">
        <v>38200</v>
      </c>
      <c r="B12">
        <v>178077</v>
      </c>
      <c r="C12">
        <v>30800</v>
      </c>
      <c r="D12">
        <v>5.43</v>
      </c>
      <c r="E12">
        <v>4.42</v>
      </c>
      <c r="F12">
        <v>95.6</v>
      </c>
      <c r="G12">
        <f t="shared" si="1"/>
        <v>3</v>
      </c>
      <c r="H12">
        <f t="shared" si="2"/>
        <v>0</v>
      </c>
      <c r="I12">
        <f t="shared" si="0"/>
        <v>0</v>
      </c>
      <c r="J12">
        <f t="shared" si="0"/>
        <v>1</v>
      </c>
      <c r="K12">
        <f t="shared" si="0"/>
        <v>0</v>
      </c>
    </row>
    <row r="13" spans="1:17" x14ac:dyDescent="0.35">
      <c r="A13" s="26">
        <v>38292</v>
      </c>
      <c r="B13">
        <v>161216</v>
      </c>
      <c r="C13">
        <v>31353</v>
      </c>
      <c r="D13">
        <v>5.43</v>
      </c>
      <c r="E13">
        <v>4.9400000000000004</v>
      </c>
      <c r="F13">
        <v>93.87</v>
      </c>
      <c r="G13">
        <f t="shared" si="1"/>
        <v>4</v>
      </c>
      <c r="H13">
        <f t="shared" si="2"/>
        <v>0</v>
      </c>
      <c r="I13">
        <f t="shared" si="0"/>
        <v>0</v>
      </c>
      <c r="J13">
        <f t="shared" si="0"/>
        <v>0</v>
      </c>
      <c r="K13">
        <f t="shared" si="0"/>
        <v>1</v>
      </c>
    </row>
    <row r="14" spans="1:17" x14ac:dyDescent="0.35">
      <c r="A14" s="26">
        <v>38384</v>
      </c>
      <c r="B14">
        <v>160070</v>
      </c>
      <c r="C14">
        <v>31145</v>
      </c>
      <c r="D14">
        <v>5.3</v>
      </c>
      <c r="E14">
        <v>5.44</v>
      </c>
      <c r="F14">
        <v>94.07</v>
      </c>
      <c r="G14">
        <f t="shared" si="1"/>
        <v>1</v>
      </c>
      <c r="H14">
        <f t="shared" si="2"/>
        <v>1</v>
      </c>
      <c r="I14">
        <f t="shared" si="0"/>
        <v>0</v>
      </c>
      <c r="J14">
        <f t="shared" si="0"/>
        <v>0</v>
      </c>
      <c r="K14">
        <f t="shared" si="0"/>
        <v>0</v>
      </c>
    </row>
    <row r="15" spans="1:17" x14ac:dyDescent="0.35">
      <c r="A15" s="26">
        <v>38473</v>
      </c>
      <c r="B15">
        <v>183594</v>
      </c>
      <c r="C15">
        <v>31533</v>
      </c>
      <c r="D15">
        <v>5.0999999999999996</v>
      </c>
      <c r="E15">
        <v>5.91</v>
      </c>
      <c r="F15">
        <v>90.2</v>
      </c>
      <c r="G15">
        <f t="shared" si="1"/>
        <v>2</v>
      </c>
      <c r="H15">
        <f t="shared" si="2"/>
        <v>0</v>
      </c>
      <c r="I15">
        <f t="shared" si="0"/>
        <v>1</v>
      </c>
      <c r="J15">
        <f t="shared" si="0"/>
        <v>0</v>
      </c>
      <c r="K15">
        <f t="shared" si="0"/>
        <v>0</v>
      </c>
    </row>
    <row r="16" spans="1:17" x14ac:dyDescent="0.35">
      <c r="A16" s="26">
        <v>38565</v>
      </c>
      <c r="B16">
        <v>184878</v>
      </c>
      <c r="C16">
        <v>31961</v>
      </c>
      <c r="D16">
        <v>4.97</v>
      </c>
      <c r="E16">
        <v>6.43</v>
      </c>
      <c r="F16">
        <v>87.5</v>
      </c>
      <c r="G16">
        <f t="shared" si="1"/>
        <v>3</v>
      </c>
      <c r="H16">
        <f t="shared" si="2"/>
        <v>0</v>
      </c>
      <c r="I16">
        <f t="shared" si="0"/>
        <v>0</v>
      </c>
      <c r="J16">
        <f t="shared" si="0"/>
        <v>1</v>
      </c>
      <c r="K16">
        <f t="shared" si="0"/>
        <v>0</v>
      </c>
    </row>
    <row r="17" spans="1:11" x14ac:dyDescent="0.35">
      <c r="A17" s="26">
        <v>38657</v>
      </c>
      <c r="B17">
        <v>153405</v>
      </c>
      <c r="C17">
        <v>32396</v>
      </c>
      <c r="D17">
        <v>4.97</v>
      </c>
      <c r="E17">
        <v>6.97</v>
      </c>
      <c r="F17">
        <v>82.43</v>
      </c>
      <c r="G17">
        <f t="shared" si="1"/>
        <v>4</v>
      </c>
      <c r="H17">
        <f t="shared" si="2"/>
        <v>0</v>
      </c>
      <c r="I17">
        <f t="shared" si="0"/>
        <v>0</v>
      </c>
      <c r="J17">
        <f t="shared" si="0"/>
        <v>0</v>
      </c>
      <c r="K17">
        <f t="shared" si="0"/>
        <v>1</v>
      </c>
    </row>
    <row r="18" spans="1:11" x14ac:dyDescent="0.35">
      <c r="A18" s="26">
        <v>38749</v>
      </c>
      <c r="B18">
        <v>164864</v>
      </c>
      <c r="C18">
        <v>33217</v>
      </c>
      <c r="D18">
        <v>4.7300000000000004</v>
      </c>
      <c r="E18">
        <v>7.43</v>
      </c>
      <c r="F18">
        <v>88.93</v>
      </c>
      <c r="G18">
        <f t="shared" si="1"/>
        <v>1</v>
      </c>
      <c r="H18">
        <f t="shared" si="2"/>
        <v>1</v>
      </c>
      <c r="I18">
        <f t="shared" si="2"/>
        <v>0</v>
      </c>
      <c r="J18">
        <f t="shared" si="2"/>
        <v>0</v>
      </c>
      <c r="K18">
        <f t="shared" si="2"/>
        <v>0</v>
      </c>
    </row>
    <row r="19" spans="1:11" x14ac:dyDescent="0.35">
      <c r="A19" s="26">
        <v>38838</v>
      </c>
      <c r="B19">
        <v>178363</v>
      </c>
      <c r="C19">
        <v>33448</v>
      </c>
      <c r="D19">
        <v>4.63</v>
      </c>
      <c r="E19">
        <v>7.9</v>
      </c>
      <c r="F19">
        <v>83.8</v>
      </c>
      <c r="G19">
        <f t="shared" si="1"/>
        <v>2</v>
      </c>
      <c r="H19">
        <f t="shared" si="2"/>
        <v>0</v>
      </c>
      <c r="I19">
        <f t="shared" si="2"/>
        <v>1</v>
      </c>
      <c r="J19">
        <f t="shared" si="2"/>
        <v>0</v>
      </c>
      <c r="K19">
        <f t="shared" si="2"/>
        <v>0</v>
      </c>
    </row>
    <row r="20" spans="1:11" x14ac:dyDescent="0.35">
      <c r="A20" s="26">
        <v>38930</v>
      </c>
      <c r="B20">
        <v>181615</v>
      </c>
      <c r="C20">
        <v>33696</v>
      </c>
      <c r="D20">
        <v>4.63</v>
      </c>
      <c r="E20">
        <v>8.25</v>
      </c>
      <c r="F20">
        <v>84.03</v>
      </c>
      <c r="G20">
        <f t="shared" si="1"/>
        <v>3</v>
      </c>
      <c r="H20">
        <f t="shared" si="2"/>
        <v>0</v>
      </c>
      <c r="I20">
        <f t="shared" si="2"/>
        <v>0</v>
      </c>
      <c r="J20">
        <f t="shared" si="2"/>
        <v>1</v>
      </c>
      <c r="K20">
        <f t="shared" si="2"/>
        <v>0</v>
      </c>
    </row>
    <row r="21" spans="1:11" x14ac:dyDescent="0.35">
      <c r="A21" s="26">
        <v>39022</v>
      </c>
      <c r="B21">
        <v>160780</v>
      </c>
      <c r="C21">
        <v>33991</v>
      </c>
      <c r="D21">
        <v>4.43</v>
      </c>
      <c r="E21">
        <v>8.25</v>
      </c>
      <c r="F21">
        <v>92.47</v>
      </c>
      <c r="G21">
        <f t="shared" si="1"/>
        <v>4</v>
      </c>
      <c r="H21">
        <f t="shared" si="2"/>
        <v>0</v>
      </c>
      <c r="I21">
        <f t="shared" si="2"/>
        <v>0</v>
      </c>
      <c r="J21">
        <f t="shared" si="2"/>
        <v>0</v>
      </c>
      <c r="K21">
        <f t="shared" si="2"/>
        <v>1</v>
      </c>
    </row>
    <row r="22" spans="1:11" x14ac:dyDescent="0.35">
      <c r="A22" s="26">
        <v>39114</v>
      </c>
      <c r="B22">
        <v>167528</v>
      </c>
      <c r="C22">
        <v>34457</v>
      </c>
      <c r="D22">
        <v>4.5</v>
      </c>
      <c r="E22">
        <v>8.25</v>
      </c>
      <c r="F22">
        <v>92.2</v>
      </c>
      <c r="G22">
        <f t="shared" si="1"/>
        <v>1</v>
      </c>
      <c r="H22">
        <f t="shared" si="2"/>
        <v>1</v>
      </c>
      <c r="I22">
        <f t="shared" si="2"/>
        <v>0</v>
      </c>
      <c r="J22">
        <f t="shared" si="2"/>
        <v>0</v>
      </c>
      <c r="K22">
        <f t="shared" si="2"/>
        <v>0</v>
      </c>
    </row>
    <row r="23" spans="1:11" x14ac:dyDescent="0.35">
      <c r="A23" s="26">
        <v>39203</v>
      </c>
      <c r="B23">
        <v>180006</v>
      </c>
      <c r="C23">
        <v>34720</v>
      </c>
      <c r="D23">
        <v>4.5</v>
      </c>
      <c r="E23">
        <v>8.25</v>
      </c>
      <c r="F23">
        <v>86.9</v>
      </c>
      <c r="G23">
        <f t="shared" si="1"/>
        <v>2</v>
      </c>
      <c r="H23">
        <f t="shared" si="2"/>
        <v>0</v>
      </c>
      <c r="I23">
        <f t="shared" si="2"/>
        <v>1</v>
      </c>
      <c r="J23">
        <f t="shared" si="2"/>
        <v>0</v>
      </c>
      <c r="K23">
        <f t="shared" si="2"/>
        <v>0</v>
      </c>
    </row>
    <row r="24" spans="1:11" x14ac:dyDescent="0.35">
      <c r="A24" s="26">
        <v>39295</v>
      </c>
      <c r="B24">
        <v>179216</v>
      </c>
      <c r="C24">
        <v>34918</v>
      </c>
      <c r="D24">
        <v>4.67</v>
      </c>
      <c r="E24">
        <v>8.18</v>
      </c>
      <c r="F24">
        <v>85.73</v>
      </c>
      <c r="G24">
        <f t="shared" si="1"/>
        <v>3</v>
      </c>
      <c r="H24">
        <f t="shared" si="2"/>
        <v>0</v>
      </c>
      <c r="I24">
        <f t="shared" si="2"/>
        <v>0</v>
      </c>
      <c r="J24">
        <f t="shared" si="2"/>
        <v>1</v>
      </c>
      <c r="K24">
        <f t="shared" si="2"/>
        <v>0</v>
      </c>
    </row>
    <row r="25" spans="1:11" x14ac:dyDescent="0.35">
      <c r="A25" s="26">
        <v>39387</v>
      </c>
      <c r="B25">
        <v>160957</v>
      </c>
      <c r="C25">
        <v>35209</v>
      </c>
      <c r="D25">
        <v>4.8</v>
      </c>
      <c r="E25">
        <v>7.52</v>
      </c>
      <c r="F25">
        <v>77.5</v>
      </c>
      <c r="G25">
        <f t="shared" si="1"/>
        <v>4</v>
      </c>
      <c r="H25">
        <f t="shared" si="2"/>
        <v>0</v>
      </c>
      <c r="I25">
        <f t="shared" si="2"/>
        <v>0</v>
      </c>
      <c r="J25">
        <f t="shared" si="2"/>
        <v>0</v>
      </c>
      <c r="K25">
        <f t="shared" si="2"/>
        <v>1</v>
      </c>
    </row>
    <row r="26" spans="1:11" x14ac:dyDescent="0.35">
      <c r="A26" s="26">
        <v>39479</v>
      </c>
      <c r="B26">
        <v>158369</v>
      </c>
      <c r="C26">
        <v>35688</v>
      </c>
      <c r="D26">
        <v>5</v>
      </c>
      <c r="E26">
        <v>6.21</v>
      </c>
      <c r="F26">
        <v>72.900000000000006</v>
      </c>
      <c r="G26">
        <f t="shared" si="1"/>
        <v>1</v>
      </c>
      <c r="H26">
        <f t="shared" si="2"/>
        <v>1</v>
      </c>
      <c r="I26">
        <f t="shared" si="2"/>
        <v>0</v>
      </c>
      <c r="J26">
        <f t="shared" si="2"/>
        <v>0</v>
      </c>
      <c r="K26">
        <f t="shared" si="2"/>
        <v>0</v>
      </c>
    </row>
    <row r="27" spans="1:11" x14ac:dyDescent="0.35">
      <c r="A27" s="26">
        <v>39569</v>
      </c>
      <c r="B27">
        <v>158761</v>
      </c>
      <c r="C27">
        <v>36742</v>
      </c>
      <c r="D27">
        <v>5.33</v>
      </c>
      <c r="E27">
        <v>5.08</v>
      </c>
      <c r="F27">
        <v>59.6</v>
      </c>
      <c r="G27">
        <f t="shared" si="1"/>
        <v>2</v>
      </c>
      <c r="H27">
        <f t="shared" si="2"/>
        <v>0</v>
      </c>
      <c r="I27">
        <f t="shared" si="2"/>
        <v>1</v>
      </c>
      <c r="J27">
        <f t="shared" si="2"/>
        <v>0</v>
      </c>
      <c r="K27">
        <f t="shared" si="2"/>
        <v>0</v>
      </c>
    </row>
    <row r="28" spans="1:11" x14ac:dyDescent="0.35">
      <c r="A28" s="26">
        <v>39661</v>
      </c>
      <c r="B28">
        <v>146003</v>
      </c>
      <c r="C28">
        <v>36175</v>
      </c>
      <c r="D28">
        <v>6</v>
      </c>
      <c r="E28">
        <v>5</v>
      </c>
      <c r="F28">
        <v>64.83</v>
      </c>
      <c r="G28">
        <f t="shared" si="1"/>
        <v>3</v>
      </c>
      <c r="H28">
        <f t="shared" si="2"/>
        <v>0</v>
      </c>
      <c r="I28">
        <f t="shared" si="2"/>
        <v>0</v>
      </c>
      <c r="J28">
        <f t="shared" si="2"/>
        <v>1</v>
      </c>
      <c r="K28">
        <f t="shared" si="2"/>
        <v>0</v>
      </c>
    </row>
    <row r="29" spans="1:11" x14ac:dyDescent="0.35">
      <c r="A29" s="26">
        <v>39753</v>
      </c>
      <c r="B29">
        <v>112460</v>
      </c>
      <c r="C29">
        <v>35801</v>
      </c>
      <c r="D29">
        <v>6.87</v>
      </c>
      <c r="E29">
        <v>4.0599999999999996</v>
      </c>
      <c r="F29">
        <v>57.67</v>
      </c>
      <c r="G29">
        <f t="shared" si="1"/>
        <v>4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1</v>
      </c>
    </row>
    <row r="30" spans="1:11" x14ac:dyDescent="0.35">
      <c r="A30" s="26">
        <v>39845</v>
      </c>
      <c r="B30">
        <v>111819</v>
      </c>
      <c r="C30">
        <v>35459</v>
      </c>
      <c r="D30">
        <v>8.27</v>
      </c>
      <c r="E30">
        <v>3.25</v>
      </c>
      <c r="F30">
        <v>58.27</v>
      </c>
      <c r="G30">
        <f t="shared" si="1"/>
        <v>1</v>
      </c>
      <c r="H30">
        <f t="shared" si="2"/>
        <v>1</v>
      </c>
      <c r="I30">
        <f t="shared" si="2"/>
        <v>0</v>
      </c>
      <c r="J30">
        <f t="shared" si="2"/>
        <v>0</v>
      </c>
      <c r="K30">
        <f t="shared" si="2"/>
        <v>0</v>
      </c>
    </row>
    <row r="31" spans="1:11" x14ac:dyDescent="0.35">
      <c r="A31" s="26">
        <v>39934</v>
      </c>
      <c r="B31">
        <v>122950</v>
      </c>
      <c r="C31">
        <v>35798</v>
      </c>
      <c r="D31">
        <v>9.3000000000000007</v>
      </c>
      <c r="E31">
        <v>3.25</v>
      </c>
      <c r="F31">
        <v>68.2</v>
      </c>
      <c r="G31">
        <f t="shared" si="1"/>
        <v>2</v>
      </c>
      <c r="H31">
        <f t="shared" si="2"/>
        <v>0</v>
      </c>
      <c r="I31">
        <f t="shared" si="2"/>
        <v>1</v>
      </c>
      <c r="J31">
        <f t="shared" si="2"/>
        <v>0</v>
      </c>
      <c r="K31">
        <f t="shared" si="2"/>
        <v>0</v>
      </c>
    </row>
    <row r="32" spans="1:11" x14ac:dyDescent="0.35">
      <c r="A32" s="26">
        <v>40026</v>
      </c>
      <c r="B32">
        <v>132705</v>
      </c>
      <c r="C32">
        <v>35546</v>
      </c>
      <c r="D32">
        <v>9.6300000000000008</v>
      </c>
      <c r="E32">
        <v>3.25</v>
      </c>
      <c r="F32">
        <v>68.400000000000006</v>
      </c>
      <c r="G32">
        <f t="shared" si="1"/>
        <v>3</v>
      </c>
      <c r="H32">
        <f t="shared" si="2"/>
        <v>0</v>
      </c>
      <c r="I32">
        <f t="shared" si="2"/>
        <v>0</v>
      </c>
      <c r="J32">
        <f t="shared" si="2"/>
        <v>1</v>
      </c>
      <c r="K32">
        <f t="shared" si="2"/>
        <v>0</v>
      </c>
    </row>
    <row r="33" spans="1:11" x14ac:dyDescent="0.35">
      <c r="A33" s="26">
        <v>40118</v>
      </c>
      <c r="B33">
        <v>119091</v>
      </c>
      <c r="C33">
        <v>35658</v>
      </c>
      <c r="D33">
        <v>9.93</v>
      </c>
      <c r="E33">
        <v>3.25</v>
      </c>
      <c r="F33">
        <v>70.17</v>
      </c>
      <c r="G33">
        <f t="shared" si="1"/>
        <v>4</v>
      </c>
      <c r="H33">
        <f t="shared" si="2"/>
        <v>0</v>
      </c>
      <c r="I33">
        <f t="shared" si="2"/>
        <v>0</v>
      </c>
      <c r="J33">
        <f t="shared" si="2"/>
        <v>0</v>
      </c>
      <c r="K33">
        <f t="shared" si="2"/>
        <v>1</v>
      </c>
    </row>
    <row r="34" spans="1:11" x14ac:dyDescent="0.35">
      <c r="A34" s="26">
        <v>40210</v>
      </c>
      <c r="B34">
        <v>124117</v>
      </c>
      <c r="C34">
        <v>35744</v>
      </c>
      <c r="D34">
        <v>9.83</v>
      </c>
      <c r="E34">
        <v>3.25</v>
      </c>
      <c r="F34">
        <v>73.87</v>
      </c>
      <c r="G34">
        <f t="shared" si="1"/>
        <v>1</v>
      </c>
      <c r="H34">
        <f t="shared" si="2"/>
        <v>1</v>
      </c>
      <c r="I34">
        <f t="shared" si="2"/>
        <v>0</v>
      </c>
      <c r="J34">
        <f t="shared" si="2"/>
        <v>0</v>
      </c>
      <c r="K34">
        <f t="shared" si="2"/>
        <v>0</v>
      </c>
    </row>
    <row r="35" spans="1:11" x14ac:dyDescent="0.35">
      <c r="A35" s="26">
        <v>40299</v>
      </c>
      <c r="B35">
        <v>142278</v>
      </c>
      <c r="C35">
        <v>36183</v>
      </c>
      <c r="D35">
        <v>9.6300000000000008</v>
      </c>
      <c r="E35">
        <v>3.25</v>
      </c>
      <c r="F35">
        <v>73.930000000000007</v>
      </c>
      <c r="G35">
        <f t="shared" si="1"/>
        <v>2</v>
      </c>
      <c r="H35">
        <f t="shared" ref="H35:K61" si="3">VLOOKUP($G35,$M$3:$Q$6,RIGHT(H$1,1)+1,FALSE)</f>
        <v>0</v>
      </c>
      <c r="I35">
        <f t="shared" si="3"/>
        <v>1</v>
      </c>
      <c r="J35">
        <f t="shared" si="3"/>
        <v>0</v>
      </c>
      <c r="K35">
        <f t="shared" si="3"/>
        <v>0</v>
      </c>
    </row>
    <row r="36" spans="1:11" x14ac:dyDescent="0.35">
      <c r="A36" s="26">
        <v>40391</v>
      </c>
      <c r="B36">
        <v>144165</v>
      </c>
      <c r="C36">
        <v>36397</v>
      </c>
      <c r="D36">
        <v>9.4700000000000006</v>
      </c>
      <c r="E36">
        <v>3.25</v>
      </c>
      <c r="F36">
        <v>68.3</v>
      </c>
      <c r="G36">
        <f t="shared" si="1"/>
        <v>3</v>
      </c>
      <c r="H36">
        <f t="shared" si="3"/>
        <v>0</v>
      </c>
      <c r="I36">
        <f t="shared" si="3"/>
        <v>0</v>
      </c>
      <c r="J36">
        <f t="shared" si="3"/>
        <v>1</v>
      </c>
      <c r="K36">
        <f t="shared" si="3"/>
        <v>0</v>
      </c>
    </row>
    <row r="37" spans="1:11" x14ac:dyDescent="0.35">
      <c r="A37" s="26">
        <v>40483</v>
      </c>
      <c r="B37">
        <v>138913</v>
      </c>
      <c r="C37">
        <v>36770</v>
      </c>
      <c r="D37">
        <v>9.5</v>
      </c>
      <c r="E37">
        <v>3.25</v>
      </c>
      <c r="F37">
        <v>71.27</v>
      </c>
      <c r="G37">
        <f t="shared" si="1"/>
        <v>4</v>
      </c>
      <c r="H37">
        <f t="shared" si="3"/>
        <v>0</v>
      </c>
      <c r="I37">
        <f t="shared" si="3"/>
        <v>0</v>
      </c>
      <c r="J37">
        <f t="shared" si="3"/>
        <v>0</v>
      </c>
      <c r="K37">
        <f t="shared" si="3"/>
        <v>1</v>
      </c>
    </row>
    <row r="38" spans="1:11" x14ac:dyDescent="0.35">
      <c r="A38" s="26">
        <v>40575</v>
      </c>
      <c r="B38">
        <v>146009</v>
      </c>
      <c r="C38">
        <v>37436</v>
      </c>
      <c r="D38">
        <v>9.0299999999999994</v>
      </c>
      <c r="E38">
        <v>3.25</v>
      </c>
      <c r="F38">
        <v>73.069999999999993</v>
      </c>
      <c r="G38">
        <f t="shared" si="1"/>
        <v>1</v>
      </c>
      <c r="H38">
        <f t="shared" si="3"/>
        <v>1</v>
      </c>
      <c r="I38">
        <f t="shared" si="3"/>
        <v>0</v>
      </c>
      <c r="J38">
        <f t="shared" si="3"/>
        <v>0</v>
      </c>
      <c r="K38">
        <f t="shared" si="3"/>
        <v>0</v>
      </c>
    </row>
    <row r="39" spans="1:11" x14ac:dyDescent="0.35">
      <c r="A39" s="26">
        <v>40664</v>
      </c>
      <c r="B39">
        <v>154335</v>
      </c>
      <c r="C39">
        <v>37692</v>
      </c>
      <c r="D39">
        <v>9.07</v>
      </c>
      <c r="E39">
        <v>3.25</v>
      </c>
      <c r="F39">
        <v>71.87</v>
      </c>
      <c r="G39">
        <f t="shared" si="1"/>
        <v>2</v>
      </c>
      <c r="H39">
        <f t="shared" si="3"/>
        <v>0</v>
      </c>
      <c r="I39">
        <f t="shared" si="3"/>
        <v>1</v>
      </c>
      <c r="J39">
        <f t="shared" si="3"/>
        <v>0</v>
      </c>
      <c r="K39">
        <f t="shared" si="3"/>
        <v>0</v>
      </c>
    </row>
    <row r="40" spans="1:11" x14ac:dyDescent="0.35">
      <c r="A40" s="26">
        <v>40756</v>
      </c>
      <c r="B40">
        <v>154418</v>
      </c>
      <c r="C40">
        <v>38017</v>
      </c>
      <c r="D40">
        <v>9</v>
      </c>
      <c r="E40">
        <v>3.25</v>
      </c>
      <c r="F40">
        <v>59.67</v>
      </c>
      <c r="G40">
        <f t="shared" si="1"/>
        <v>3</v>
      </c>
      <c r="H40">
        <f t="shared" si="3"/>
        <v>0</v>
      </c>
      <c r="I40">
        <f t="shared" si="3"/>
        <v>0</v>
      </c>
      <c r="J40">
        <f t="shared" si="3"/>
        <v>1</v>
      </c>
      <c r="K40">
        <f t="shared" si="3"/>
        <v>0</v>
      </c>
    </row>
    <row r="41" spans="1:11" x14ac:dyDescent="0.35">
      <c r="A41" s="26">
        <v>40848</v>
      </c>
      <c r="B41">
        <v>154026</v>
      </c>
      <c r="C41">
        <v>38097</v>
      </c>
      <c r="D41">
        <v>8.6300000000000008</v>
      </c>
      <c r="E41">
        <v>3.25</v>
      </c>
      <c r="F41">
        <v>64.8</v>
      </c>
      <c r="G41">
        <f t="shared" si="1"/>
        <v>4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1</v>
      </c>
    </row>
    <row r="42" spans="1:11" x14ac:dyDescent="0.35">
      <c r="A42" s="26">
        <v>40940</v>
      </c>
      <c r="B42">
        <v>160743</v>
      </c>
      <c r="C42">
        <v>38880</v>
      </c>
      <c r="D42">
        <v>8.27</v>
      </c>
      <c r="E42">
        <v>3.25</v>
      </c>
      <c r="F42">
        <v>75.5</v>
      </c>
      <c r="G42">
        <f t="shared" si="1"/>
        <v>1</v>
      </c>
      <c r="H42">
        <f t="shared" si="3"/>
        <v>1</v>
      </c>
      <c r="I42">
        <f t="shared" si="3"/>
        <v>0</v>
      </c>
      <c r="J42">
        <f t="shared" si="3"/>
        <v>0</v>
      </c>
      <c r="K42">
        <f t="shared" si="3"/>
        <v>0</v>
      </c>
    </row>
    <row r="43" spans="1:11" x14ac:dyDescent="0.35">
      <c r="A43" s="26">
        <v>41030</v>
      </c>
      <c r="B43">
        <v>172000</v>
      </c>
      <c r="C43">
        <v>39234</v>
      </c>
      <c r="D43">
        <v>8.1999999999999993</v>
      </c>
      <c r="E43">
        <v>3.25</v>
      </c>
      <c r="F43">
        <v>76.3</v>
      </c>
      <c r="G43">
        <f t="shared" si="1"/>
        <v>2</v>
      </c>
      <c r="H43">
        <f t="shared" si="3"/>
        <v>0</v>
      </c>
      <c r="I43">
        <f t="shared" si="3"/>
        <v>1</v>
      </c>
      <c r="J43">
        <f t="shared" si="3"/>
        <v>0</v>
      </c>
      <c r="K43">
        <f t="shared" si="3"/>
        <v>0</v>
      </c>
    </row>
    <row r="44" spans="1:11" x14ac:dyDescent="0.35">
      <c r="A44" s="26">
        <v>41122</v>
      </c>
      <c r="B44">
        <v>172584</v>
      </c>
      <c r="C44">
        <v>39266</v>
      </c>
      <c r="D44">
        <v>8.0299999999999994</v>
      </c>
      <c r="E44">
        <v>3.25</v>
      </c>
      <c r="F44">
        <v>74.97</v>
      </c>
      <c r="G44">
        <f t="shared" si="1"/>
        <v>3</v>
      </c>
      <c r="H44">
        <f t="shared" si="3"/>
        <v>0</v>
      </c>
      <c r="I44">
        <f t="shared" si="3"/>
        <v>0</v>
      </c>
      <c r="J44">
        <f t="shared" si="3"/>
        <v>1</v>
      </c>
      <c r="K44">
        <f t="shared" si="3"/>
        <v>0</v>
      </c>
    </row>
    <row r="45" spans="1:11" x14ac:dyDescent="0.35">
      <c r="A45" s="26">
        <v>41214</v>
      </c>
      <c r="B45">
        <v>167223</v>
      </c>
      <c r="C45">
        <v>40436</v>
      </c>
      <c r="D45">
        <v>7.8</v>
      </c>
      <c r="E45">
        <v>3.25</v>
      </c>
      <c r="F45">
        <v>79.400000000000006</v>
      </c>
      <c r="G45">
        <f t="shared" si="1"/>
        <v>4</v>
      </c>
      <c r="H45">
        <f t="shared" si="3"/>
        <v>0</v>
      </c>
      <c r="I45">
        <f t="shared" si="3"/>
        <v>0</v>
      </c>
      <c r="J45">
        <f t="shared" si="3"/>
        <v>0</v>
      </c>
      <c r="K45">
        <f t="shared" si="3"/>
        <v>1</v>
      </c>
    </row>
    <row r="46" spans="1:11" x14ac:dyDescent="0.35">
      <c r="A46" s="26">
        <v>41306</v>
      </c>
      <c r="B46">
        <v>171221</v>
      </c>
      <c r="C46">
        <v>38828</v>
      </c>
      <c r="D46">
        <v>7.73</v>
      </c>
      <c r="E46">
        <v>3.25</v>
      </c>
      <c r="F46">
        <v>76.67</v>
      </c>
      <c r="G46">
        <f t="shared" si="1"/>
        <v>1</v>
      </c>
      <c r="H46">
        <f t="shared" si="3"/>
        <v>1</v>
      </c>
      <c r="I46">
        <f t="shared" si="3"/>
        <v>0</v>
      </c>
      <c r="J46">
        <f t="shared" si="3"/>
        <v>0</v>
      </c>
      <c r="K46">
        <f t="shared" si="3"/>
        <v>0</v>
      </c>
    </row>
    <row r="47" spans="1:11" x14ac:dyDescent="0.35">
      <c r="A47" s="26">
        <v>41395</v>
      </c>
      <c r="B47">
        <v>189832</v>
      </c>
      <c r="C47">
        <v>39010</v>
      </c>
      <c r="D47">
        <v>7.53</v>
      </c>
      <c r="E47">
        <v>3.25</v>
      </c>
      <c r="F47">
        <v>81.67</v>
      </c>
      <c r="G47">
        <f t="shared" si="1"/>
        <v>2</v>
      </c>
      <c r="H47">
        <f t="shared" si="3"/>
        <v>0</v>
      </c>
      <c r="I47">
        <f t="shared" si="3"/>
        <v>1</v>
      </c>
      <c r="J47">
        <f t="shared" si="3"/>
        <v>0</v>
      </c>
      <c r="K47">
        <f t="shared" si="3"/>
        <v>0</v>
      </c>
    </row>
    <row r="48" spans="1:11" x14ac:dyDescent="0.35">
      <c r="A48" s="26">
        <v>41487</v>
      </c>
      <c r="B48">
        <v>192517</v>
      </c>
      <c r="C48">
        <v>39306</v>
      </c>
      <c r="D48">
        <v>7.27</v>
      </c>
      <c r="E48">
        <v>3.25</v>
      </c>
      <c r="F48">
        <v>81.569999999999993</v>
      </c>
      <c r="G48">
        <f t="shared" si="1"/>
        <v>3</v>
      </c>
      <c r="H48">
        <f t="shared" si="3"/>
        <v>0</v>
      </c>
      <c r="I48">
        <f t="shared" si="3"/>
        <v>0</v>
      </c>
      <c r="J48">
        <f t="shared" si="3"/>
        <v>1</v>
      </c>
      <c r="K48">
        <f t="shared" si="3"/>
        <v>0</v>
      </c>
    </row>
    <row r="49" spans="1:11" x14ac:dyDescent="0.35">
      <c r="A49" s="26">
        <v>41579</v>
      </c>
      <c r="B49">
        <v>181804</v>
      </c>
      <c r="C49">
        <v>39481</v>
      </c>
      <c r="D49">
        <v>6.93</v>
      </c>
      <c r="E49">
        <v>3.25</v>
      </c>
      <c r="F49">
        <v>76.930000000000007</v>
      </c>
      <c r="G49">
        <f t="shared" si="1"/>
        <v>4</v>
      </c>
      <c r="H49">
        <f t="shared" si="3"/>
        <v>0</v>
      </c>
      <c r="I49">
        <f t="shared" si="3"/>
        <v>0</v>
      </c>
      <c r="J49">
        <f t="shared" si="3"/>
        <v>0</v>
      </c>
      <c r="K49">
        <f t="shared" si="3"/>
        <v>1</v>
      </c>
    </row>
    <row r="50" spans="1:11" x14ac:dyDescent="0.35">
      <c r="A50" s="26">
        <v>41671</v>
      </c>
      <c r="B50">
        <v>179902</v>
      </c>
      <c r="C50">
        <v>40049</v>
      </c>
      <c r="D50">
        <v>6.67</v>
      </c>
      <c r="E50">
        <v>3.25</v>
      </c>
      <c r="F50">
        <v>80.930000000000007</v>
      </c>
      <c r="G50">
        <f t="shared" si="1"/>
        <v>1</v>
      </c>
      <c r="H50">
        <f t="shared" si="3"/>
        <v>1</v>
      </c>
      <c r="I50">
        <f t="shared" si="3"/>
        <v>0</v>
      </c>
      <c r="J50">
        <f t="shared" si="3"/>
        <v>0</v>
      </c>
      <c r="K50">
        <f t="shared" si="3"/>
        <v>0</v>
      </c>
    </row>
    <row r="51" spans="1:11" x14ac:dyDescent="0.35">
      <c r="A51" s="26">
        <v>41760</v>
      </c>
      <c r="B51">
        <v>203914</v>
      </c>
      <c r="C51">
        <v>40693</v>
      </c>
      <c r="D51">
        <v>6.2</v>
      </c>
      <c r="E51">
        <v>3.25</v>
      </c>
      <c r="F51">
        <v>82.83</v>
      </c>
      <c r="G51">
        <f t="shared" si="1"/>
        <v>2</v>
      </c>
      <c r="H51">
        <f t="shared" si="3"/>
        <v>0</v>
      </c>
      <c r="I51">
        <f t="shared" si="3"/>
        <v>1</v>
      </c>
      <c r="J51">
        <f t="shared" si="3"/>
        <v>0</v>
      </c>
      <c r="K51">
        <f t="shared" si="3"/>
        <v>0</v>
      </c>
    </row>
    <row r="52" spans="1:11" x14ac:dyDescent="0.35">
      <c r="A52" s="26">
        <v>41852</v>
      </c>
      <c r="B52">
        <v>205791</v>
      </c>
      <c r="C52">
        <v>41128</v>
      </c>
      <c r="D52">
        <v>6.1</v>
      </c>
      <c r="E52">
        <v>3.25</v>
      </c>
      <c r="F52">
        <v>82.97</v>
      </c>
      <c r="G52">
        <f t="shared" si="1"/>
        <v>3</v>
      </c>
      <c r="H52">
        <f t="shared" si="3"/>
        <v>0</v>
      </c>
      <c r="I52">
        <f t="shared" si="3"/>
        <v>0</v>
      </c>
      <c r="J52">
        <f t="shared" si="3"/>
        <v>1</v>
      </c>
      <c r="K52">
        <f t="shared" si="3"/>
        <v>0</v>
      </c>
    </row>
    <row r="53" spans="1:11" x14ac:dyDescent="0.35">
      <c r="A53" s="26">
        <v>41944</v>
      </c>
      <c r="B53">
        <v>195535</v>
      </c>
      <c r="C53">
        <v>41478</v>
      </c>
      <c r="D53">
        <v>5.7</v>
      </c>
      <c r="E53">
        <v>3.25</v>
      </c>
      <c r="F53">
        <v>89.77</v>
      </c>
      <c r="G53">
        <f t="shared" si="1"/>
        <v>4</v>
      </c>
      <c r="H53">
        <f t="shared" si="3"/>
        <v>0</v>
      </c>
      <c r="I53">
        <f t="shared" si="3"/>
        <v>0</v>
      </c>
      <c r="J53">
        <f t="shared" si="3"/>
        <v>0</v>
      </c>
      <c r="K53">
        <f t="shared" si="3"/>
        <v>1</v>
      </c>
    </row>
    <row r="54" spans="1:11" x14ac:dyDescent="0.35">
      <c r="A54" s="26">
        <v>42036</v>
      </c>
      <c r="B54">
        <v>194135</v>
      </c>
      <c r="C54">
        <v>41447</v>
      </c>
      <c r="D54">
        <v>5.53</v>
      </c>
      <c r="E54">
        <v>3.25</v>
      </c>
      <c r="F54">
        <v>95.5</v>
      </c>
      <c r="G54">
        <f t="shared" si="1"/>
        <v>1</v>
      </c>
      <c r="H54">
        <f t="shared" si="3"/>
        <v>1</v>
      </c>
      <c r="I54">
        <f t="shared" si="3"/>
        <v>0</v>
      </c>
      <c r="J54">
        <f t="shared" si="3"/>
        <v>0</v>
      </c>
      <c r="K54">
        <f t="shared" si="3"/>
        <v>0</v>
      </c>
    </row>
    <row r="55" spans="1:11" x14ac:dyDescent="0.35">
      <c r="A55" s="26">
        <v>42125</v>
      </c>
      <c r="B55">
        <v>216311</v>
      </c>
      <c r="C55">
        <v>41966</v>
      </c>
      <c r="D55">
        <v>5.4</v>
      </c>
      <c r="E55">
        <v>3.25</v>
      </c>
      <c r="F55">
        <v>94.23</v>
      </c>
      <c r="G55">
        <f t="shared" si="1"/>
        <v>2</v>
      </c>
      <c r="H55">
        <f t="shared" si="3"/>
        <v>0</v>
      </c>
      <c r="I55">
        <f t="shared" si="3"/>
        <v>1</v>
      </c>
      <c r="J55">
        <f t="shared" si="3"/>
        <v>0</v>
      </c>
      <c r="K55">
        <f t="shared" si="3"/>
        <v>0</v>
      </c>
    </row>
    <row r="56" spans="1:11" x14ac:dyDescent="0.35">
      <c r="A56" s="26">
        <v>42217</v>
      </c>
      <c r="B56">
        <v>221493</v>
      </c>
      <c r="C56">
        <v>42343</v>
      </c>
      <c r="D56">
        <v>5.0999999999999996</v>
      </c>
      <c r="E56">
        <v>3.25</v>
      </c>
      <c r="F56">
        <v>90.73</v>
      </c>
      <c r="G56">
        <f t="shared" si="1"/>
        <v>3</v>
      </c>
      <c r="H56">
        <f t="shared" si="3"/>
        <v>0</v>
      </c>
      <c r="I56">
        <f t="shared" si="3"/>
        <v>0</v>
      </c>
      <c r="J56">
        <f t="shared" si="3"/>
        <v>1</v>
      </c>
      <c r="K56">
        <f t="shared" si="3"/>
        <v>0</v>
      </c>
    </row>
    <row r="57" spans="1:11" x14ac:dyDescent="0.35">
      <c r="A57" s="26">
        <v>42309</v>
      </c>
      <c r="B57">
        <v>210181</v>
      </c>
      <c r="C57">
        <v>42621</v>
      </c>
      <c r="D57">
        <v>5</v>
      </c>
      <c r="E57">
        <v>3.29</v>
      </c>
      <c r="F57">
        <v>91.3</v>
      </c>
      <c r="G57">
        <f t="shared" si="1"/>
        <v>4</v>
      </c>
      <c r="H57">
        <f t="shared" si="3"/>
        <v>0</v>
      </c>
      <c r="I57">
        <f t="shared" si="3"/>
        <v>0</v>
      </c>
      <c r="J57">
        <f t="shared" si="3"/>
        <v>0</v>
      </c>
      <c r="K57">
        <f t="shared" si="3"/>
        <v>1</v>
      </c>
    </row>
    <row r="58" spans="1:11" x14ac:dyDescent="0.35">
      <c r="A58" s="26">
        <v>42401</v>
      </c>
      <c r="B58">
        <v>204681</v>
      </c>
      <c r="C58">
        <v>42807</v>
      </c>
      <c r="D58">
        <v>4.93</v>
      </c>
      <c r="E58">
        <v>3.5</v>
      </c>
      <c r="F58">
        <v>91.57</v>
      </c>
      <c r="G58">
        <f t="shared" si="1"/>
        <v>1</v>
      </c>
      <c r="H58">
        <f t="shared" si="3"/>
        <v>1</v>
      </c>
      <c r="I58">
        <f t="shared" si="3"/>
        <v>0</v>
      </c>
      <c r="J58">
        <f t="shared" si="3"/>
        <v>0</v>
      </c>
      <c r="K58">
        <f t="shared" si="3"/>
        <v>0</v>
      </c>
    </row>
    <row r="59" spans="1:11" x14ac:dyDescent="0.35">
      <c r="A59" s="26">
        <v>42491</v>
      </c>
      <c r="B59">
        <v>221073</v>
      </c>
      <c r="C59">
        <v>43265</v>
      </c>
      <c r="D59">
        <v>4.87</v>
      </c>
      <c r="E59">
        <v>3.5</v>
      </c>
      <c r="F59">
        <v>92.4</v>
      </c>
      <c r="G59">
        <f t="shared" si="1"/>
        <v>2</v>
      </c>
      <c r="H59">
        <f t="shared" si="3"/>
        <v>0</v>
      </c>
      <c r="I59">
        <f t="shared" si="3"/>
        <v>1</v>
      </c>
      <c r="J59">
        <f t="shared" si="3"/>
        <v>0</v>
      </c>
      <c r="K59">
        <f t="shared" si="3"/>
        <v>0</v>
      </c>
    </row>
    <row r="60" spans="1:11" x14ac:dyDescent="0.35">
      <c r="A60" s="26">
        <v>42583</v>
      </c>
      <c r="B60">
        <v>229123</v>
      </c>
      <c r="C60">
        <v>43651</v>
      </c>
      <c r="D60">
        <v>4.9000000000000004</v>
      </c>
      <c r="E60">
        <v>3.5</v>
      </c>
      <c r="F60">
        <v>90.33</v>
      </c>
      <c r="G60">
        <f t="shared" si="1"/>
        <v>3</v>
      </c>
      <c r="H60">
        <f t="shared" si="3"/>
        <v>0</v>
      </c>
      <c r="I60">
        <f t="shared" si="3"/>
        <v>0</v>
      </c>
      <c r="J60">
        <f t="shared" si="3"/>
        <v>1</v>
      </c>
      <c r="K60">
        <f t="shared" si="3"/>
        <v>0</v>
      </c>
    </row>
    <row r="61" spans="1:11" x14ac:dyDescent="0.35">
      <c r="A61" s="26">
        <v>42675</v>
      </c>
      <c r="B61">
        <v>221392</v>
      </c>
      <c r="C61">
        <v>43759</v>
      </c>
      <c r="D61">
        <v>4.7</v>
      </c>
      <c r="E61">
        <v>3.55</v>
      </c>
      <c r="F61">
        <v>93.07</v>
      </c>
      <c r="G61">
        <f t="shared" si="1"/>
        <v>4</v>
      </c>
      <c r="H61">
        <f t="shared" si="3"/>
        <v>0</v>
      </c>
      <c r="I61">
        <f t="shared" si="3"/>
        <v>0</v>
      </c>
      <c r="J61">
        <f t="shared" si="3"/>
        <v>0</v>
      </c>
      <c r="K61">
        <f t="shared" si="3"/>
        <v>1</v>
      </c>
    </row>
  </sheetData>
  <mergeCells count="1">
    <mergeCell ref="M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7501-4876-4AAB-8FB6-BE3F76A01E16}">
  <dimension ref="A1:V122"/>
  <sheetViews>
    <sheetView topLeftCell="J1" workbookViewId="0">
      <selection activeCell="V1" sqref="V1"/>
    </sheetView>
  </sheetViews>
  <sheetFormatPr defaultRowHeight="14.5" x14ac:dyDescent="0.35"/>
  <sheetData>
    <row r="1" spans="1:22" x14ac:dyDescent="0.35">
      <c r="A1" t="s">
        <v>91</v>
      </c>
      <c r="N1" t="s">
        <v>92</v>
      </c>
      <c r="U1" t="s">
        <v>82</v>
      </c>
      <c r="V1">
        <f t="array" ref="V1">AVERAGE(ABS(R3:R32-V3:V32))</f>
        <v>6344.5444525086077</v>
      </c>
    </row>
    <row r="2" spans="1:22" x14ac:dyDescent="0.35">
      <c r="A2" s="1" t="s">
        <v>0</v>
      </c>
      <c r="B2" s="2" t="s">
        <v>6</v>
      </c>
      <c r="C2" s="2" t="s">
        <v>72</v>
      </c>
      <c r="D2" s="2" t="s">
        <v>7</v>
      </c>
      <c r="E2" s="2" t="s">
        <v>8</v>
      </c>
      <c r="F2" t="s">
        <v>73</v>
      </c>
      <c r="G2" s="2" t="s">
        <v>74</v>
      </c>
      <c r="H2" s="2" t="s">
        <v>75</v>
      </c>
      <c r="J2" s="2" t="s">
        <v>77</v>
      </c>
      <c r="K2" t="s">
        <v>76</v>
      </c>
      <c r="N2" s="1" t="s">
        <v>0</v>
      </c>
      <c r="O2" s="2" t="s">
        <v>6</v>
      </c>
      <c r="P2" s="2" t="s">
        <v>72</v>
      </c>
      <c r="Q2" s="2" t="s">
        <v>7</v>
      </c>
      <c r="R2" s="2" t="s">
        <v>8</v>
      </c>
      <c r="S2" t="s">
        <v>73</v>
      </c>
      <c r="T2" s="2" t="s">
        <v>74</v>
      </c>
      <c r="U2" s="2" t="s">
        <v>75</v>
      </c>
      <c r="V2" s="2" t="s">
        <v>93</v>
      </c>
    </row>
    <row r="3" spans="1:22" x14ac:dyDescent="0.35">
      <c r="A3" s="1">
        <v>89</v>
      </c>
      <c r="B3" s="3" t="s">
        <v>10</v>
      </c>
      <c r="C3" s="3">
        <f t="shared" ref="C3:C66" si="0">IF(B3="Female",1,0)</f>
        <v>0</v>
      </c>
      <c r="D3">
        <v>4</v>
      </c>
      <c r="E3" s="4">
        <v>34000</v>
      </c>
      <c r="F3">
        <v>0.1431528601212565</v>
      </c>
      <c r="G3">
        <v>31</v>
      </c>
      <c r="H3" t="e">
        <f t="shared" ref="H3:H66" si="1">VLOOKUP(G3,$K$4:$L$9,2,TRUE)</f>
        <v>#N/A</v>
      </c>
      <c r="J3">
        <f>INTERCEPT(E3:E122,D3:D122)</f>
        <v>29824.154823876124</v>
      </c>
      <c r="K3">
        <f>SLOPE(E3:E122,D3:D122)</f>
        <v>1073.211119175274</v>
      </c>
      <c r="N3" s="1">
        <v>106</v>
      </c>
      <c r="O3" s="3" t="s">
        <v>10</v>
      </c>
      <c r="P3" s="3">
        <f>IF(O3="Female",1,0)</f>
        <v>0</v>
      </c>
      <c r="Q3">
        <v>5</v>
      </c>
      <c r="R3" s="4">
        <v>36000</v>
      </c>
      <c r="S3">
        <v>4.955712145418234E-3</v>
      </c>
      <c r="T3">
        <v>1</v>
      </c>
      <c r="U3" t="e">
        <f>VLOOKUP(T3,$K$2:$L$7,2,TRUE)</f>
        <v>#N/A</v>
      </c>
      <c r="V3">
        <f>$K$6+$K$7*Q3</f>
        <v>35190.210419752497</v>
      </c>
    </row>
    <row r="4" spans="1:22" ht="15" thickBot="1" x14ac:dyDescent="0.4">
      <c r="A4" s="1">
        <v>44</v>
      </c>
      <c r="B4" s="3" t="s">
        <v>11</v>
      </c>
      <c r="C4" s="3">
        <f t="shared" si="0"/>
        <v>1</v>
      </c>
      <c r="D4">
        <v>12</v>
      </c>
      <c r="E4" s="4">
        <v>33000</v>
      </c>
      <c r="F4">
        <v>0.14788939147390501</v>
      </c>
      <c r="G4">
        <v>32</v>
      </c>
      <c r="H4" t="e">
        <f t="shared" si="1"/>
        <v>#N/A</v>
      </c>
      <c r="N4" s="1">
        <v>108</v>
      </c>
      <c r="O4" s="3" t="s">
        <v>11</v>
      </c>
      <c r="P4" s="3">
        <f t="shared" ref="P4:P32" si="2">IF(O4="Female",1,0)</f>
        <v>1</v>
      </c>
      <c r="Q4">
        <v>7</v>
      </c>
      <c r="R4" s="4">
        <v>37500</v>
      </c>
      <c r="S4">
        <v>6.1431448537175859E-3</v>
      </c>
      <c r="T4">
        <v>2</v>
      </c>
      <c r="U4" t="e">
        <f t="shared" ref="U4:U32" si="3">VLOOKUP(T4,$K$2:$L$7,2,TRUE)</f>
        <v>#N/A</v>
      </c>
      <c r="V4">
        <f t="shared" ref="V4:V32" si="4">$K$6+$K$7*Q4</f>
        <v>37336.632658103044</v>
      </c>
    </row>
    <row r="5" spans="1:22" x14ac:dyDescent="0.35">
      <c r="A5" s="1">
        <v>168</v>
      </c>
      <c r="B5" s="3" t="s">
        <v>11</v>
      </c>
      <c r="C5" s="3">
        <f t="shared" si="0"/>
        <v>1</v>
      </c>
      <c r="D5">
        <v>9</v>
      </c>
      <c r="E5" s="4">
        <v>42700</v>
      </c>
      <c r="F5">
        <v>0.15943873975029355</v>
      </c>
      <c r="G5">
        <v>33</v>
      </c>
      <c r="H5" t="e">
        <f t="shared" si="1"/>
        <v>#N/A</v>
      </c>
      <c r="J5" s="6"/>
      <c r="K5" s="6" t="s">
        <v>14</v>
      </c>
      <c r="N5" s="1">
        <v>148</v>
      </c>
      <c r="O5" s="3" t="s">
        <v>10</v>
      </c>
      <c r="P5" s="3">
        <f t="shared" si="2"/>
        <v>0</v>
      </c>
      <c r="Q5">
        <v>6</v>
      </c>
      <c r="R5" s="4">
        <v>44000</v>
      </c>
      <c r="S5">
        <v>1.5297435658177205E-2</v>
      </c>
      <c r="T5">
        <v>3</v>
      </c>
      <c r="U5" t="e">
        <f t="shared" si="3"/>
        <v>#N/A</v>
      </c>
      <c r="V5">
        <f t="shared" si="4"/>
        <v>36263.421538927767</v>
      </c>
    </row>
    <row r="6" spans="1:22" x14ac:dyDescent="0.35">
      <c r="A6" s="1">
        <v>184</v>
      </c>
      <c r="B6" s="3" t="s">
        <v>10</v>
      </c>
      <c r="C6" s="3">
        <f t="shared" si="0"/>
        <v>0</v>
      </c>
      <c r="D6">
        <v>7</v>
      </c>
      <c r="E6" s="4">
        <v>48000</v>
      </c>
      <c r="F6">
        <v>0.16779899840499413</v>
      </c>
      <c r="G6">
        <v>34</v>
      </c>
      <c r="H6" t="e">
        <f t="shared" si="1"/>
        <v>#N/A</v>
      </c>
      <c r="J6" t="s">
        <v>24</v>
      </c>
      <c r="K6">
        <v>29824.154823876128</v>
      </c>
      <c r="N6" s="1">
        <v>107</v>
      </c>
      <c r="O6" s="3" t="s">
        <v>11</v>
      </c>
      <c r="P6" s="3">
        <f t="shared" si="2"/>
        <v>1</v>
      </c>
      <c r="Q6">
        <v>7</v>
      </c>
      <c r="R6" s="4">
        <v>36200</v>
      </c>
      <c r="S6">
        <v>1.7316861227402836E-2</v>
      </c>
      <c r="T6">
        <v>4</v>
      </c>
      <c r="U6" t="e">
        <f t="shared" si="3"/>
        <v>#N/A</v>
      </c>
      <c r="V6">
        <f t="shared" si="4"/>
        <v>37336.632658103044</v>
      </c>
    </row>
    <row r="7" spans="1:22" ht="15" thickBot="1" x14ac:dyDescent="0.4">
      <c r="A7" s="1">
        <v>37</v>
      </c>
      <c r="B7" s="3" t="s">
        <v>11</v>
      </c>
      <c r="C7" s="3">
        <f t="shared" si="0"/>
        <v>1</v>
      </c>
      <c r="D7">
        <v>3</v>
      </c>
      <c r="E7" s="4">
        <v>34600</v>
      </c>
      <c r="F7">
        <v>0.17364816696206853</v>
      </c>
      <c r="G7">
        <v>35</v>
      </c>
      <c r="H7" t="e">
        <f t="shared" si="1"/>
        <v>#N/A</v>
      </c>
      <c r="J7" s="13" t="s">
        <v>7</v>
      </c>
      <c r="K7" s="13">
        <v>1073.2111191752736</v>
      </c>
      <c r="N7" s="1">
        <v>165</v>
      </c>
      <c r="O7" s="3" t="s">
        <v>10</v>
      </c>
      <c r="P7" s="3">
        <f t="shared" si="2"/>
        <v>0</v>
      </c>
      <c r="Q7">
        <v>6</v>
      </c>
      <c r="R7" s="4">
        <v>47000</v>
      </c>
      <c r="S7">
        <v>2.4626626941314345E-2</v>
      </c>
      <c r="T7">
        <v>5</v>
      </c>
      <c r="U7" t="e">
        <f t="shared" si="3"/>
        <v>#N/A</v>
      </c>
      <c r="V7">
        <f t="shared" si="4"/>
        <v>36263.421538927767</v>
      </c>
    </row>
    <row r="8" spans="1:22" x14ac:dyDescent="0.35">
      <c r="A8" s="1">
        <v>8</v>
      </c>
      <c r="B8" s="3" t="s">
        <v>10</v>
      </c>
      <c r="C8" s="3">
        <f t="shared" si="0"/>
        <v>0</v>
      </c>
      <c r="D8">
        <v>8</v>
      </c>
      <c r="E8" s="4">
        <v>27000</v>
      </c>
      <c r="F8">
        <v>0.17466481389191502</v>
      </c>
      <c r="G8">
        <v>36</v>
      </c>
      <c r="H8" t="e">
        <f t="shared" si="1"/>
        <v>#N/A</v>
      </c>
      <c r="N8" s="1">
        <v>97</v>
      </c>
      <c r="O8" s="3" t="s">
        <v>11</v>
      </c>
      <c r="P8" s="3">
        <f t="shared" si="2"/>
        <v>1</v>
      </c>
      <c r="Q8">
        <v>5</v>
      </c>
      <c r="R8" s="4">
        <v>40200</v>
      </c>
      <c r="S8">
        <v>2.6304393247830848E-2</v>
      </c>
      <c r="T8">
        <v>6</v>
      </c>
      <c r="U8" t="e">
        <f t="shared" si="3"/>
        <v>#N/A</v>
      </c>
      <c r="V8">
        <f t="shared" si="4"/>
        <v>35190.210419752497</v>
      </c>
    </row>
    <row r="9" spans="1:22" x14ac:dyDescent="0.35">
      <c r="A9" s="1">
        <v>125</v>
      </c>
      <c r="B9" s="3" t="s">
        <v>11</v>
      </c>
      <c r="C9" s="3">
        <f t="shared" si="0"/>
        <v>1</v>
      </c>
      <c r="D9">
        <v>7</v>
      </c>
      <c r="E9" s="4">
        <v>36300</v>
      </c>
      <c r="F9">
        <v>0.17830079850845604</v>
      </c>
      <c r="G9">
        <v>37</v>
      </c>
      <c r="H9" t="e">
        <f t="shared" si="1"/>
        <v>#N/A</v>
      </c>
      <c r="N9" s="1">
        <v>190</v>
      </c>
      <c r="O9" s="3" t="s">
        <v>10</v>
      </c>
      <c r="P9" s="3">
        <f t="shared" si="2"/>
        <v>0</v>
      </c>
      <c r="Q9">
        <v>11</v>
      </c>
      <c r="R9" s="4">
        <v>47000</v>
      </c>
      <c r="S9">
        <v>2.6925054500447021E-2</v>
      </c>
      <c r="T9">
        <v>7</v>
      </c>
      <c r="U9" t="e">
        <f t="shared" si="3"/>
        <v>#N/A</v>
      </c>
      <c r="V9">
        <f t="shared" si="4"/>
        <v>41629.477134804139</v>
      </c>
    </row>
    <row r="10" spans="1:22" x14ac:dyDescent="0.35">
      <c r="A10" s="1">
        <v>206</v>
      </c>
      <c r="B10" s="3" t="s">
        <v>10</v>
      </c>
      <c r="C10" s="3">
        <f t="shared" si="0"/>
        <v>0</v>
      </c>
      <c r="D10">
        <v>32</v>
      </c>
      <c r="E10" s="4">
        <v>88000</v>
      </c>
      <c r="F10">
        <v>0.19574699507184357</v>
      </c>
      <c r="G10">
        <v>38</v>
      </c>
      <c r="H10" t="e">
        <f t="shared" si="1"/>
        <v>#N/A</v>
      </c>
      <c r="N10" s="1">
        <v>76</v>
      </c>
      <c r="O10" s="3" t="s">
        <v>11</v>
      </c>
      <c r="P10" s="3">
        <f t="shared" si="2"/>
        <v>1</v>
      </c>
      <c r="Q10">
        <v>9</v>
      </c>
      <c r="R10" s="4">
        <v>31700</v>
      </c>
      <c r="S10">
        <v>3.5948080606175936E-2</v>
      </c>
      <c r="T10">
        <v>8</v>
      </c>
      <c r="U10" t="e">
        <f t="shared" si="3"/>
        <v>#N/A</v>
      </c>
      <c r="V10">
        <f t="shared" si="4"/>
        <v>39483.054896453592</v>
      </c>
    </row>
    <row r="11" spans="1:22" x14ac:dyDescent="0.35">
      <c r="A11" s="1">
        <v>25</v>
      </c>
      <c r="B11" s="3" t="s">
        <v>10</v>
      </c>
      <c r="C11" s="3">
        <f t="shared" si="0"/>
        <v>0</v>
      </c>
      <c r="D11">
        <v>3</v>
      </c>
      <c r="E11" s="4">
        <v>30750</v>
      </c>
      <c r="F11">
        <v>0.19591119236385945</v>
      </c>
      <c r="G11">
        <v>39</v>
      </c>
      <c r="H11" t="e">
        <f t="shared" si="1"/>
        <v>#N/A</v>
      </c>
      <c r="N11" s="1">
        <v>91</v>
      </c>
      <c r="O11" s="3" t="s">
        <v>11</v>
      </c>
      <c r="P11" s="3">
        <f t="shared" si="2"/>
        <v>1</v>
      </c>
      <c r="Q11">
        <v>15</v>
      </c>
      <c r="R11" s="4">
        <v>38200</v>
      </c>
      <c r="S11">
        <v>4.4209817880143443E-2</v>
      </c>
      <c r="T11">
        <v>9</v>
      </c>
      <c r="U11" t="e">
        <f t="shared" si="3"/>
        <v>#N/A</v>
      </c>
      <c r="V11">
        <f t="shared" si="4"/>
        <v>45922.321611505235</v>
      </c>
    </row>
    <row r="12" spans="1:22" x14ac:dyDescent="0.35">
      <c r="A12" s="1">
        <v>166</v>
      </c>
      <c r="B12" s="3" t="s">
        <v>11</v>
      </c>
      <c r="C12" s="3">
        <f t="shared" si="0"/>
        <v>1</v>
      </c>
      <c r="D12">
        <v>15</v>
      </c>
      <c r="E12" s="4">
        <v>43800</v>
      </c>
      <c r="F12">
        <v>0.20540335923643782</v>
      </c>
      <c r="G12">
        <v>40</v>
      </c>
      <c r="H12" t="e">
        <f t="shared" si="1"/>
        <v>#N/A</v>
      </c>
      <c r="N12" s="1">
        <v>155</v>
      </c>
      <c r="O12" s="3" t="s">
        <v>11</v>
      </c>
      <c r="P12" s="3">
        <f t="shared" si="2"/>
        <v>1</v>
      </c>
      <c r="Q12">
        <v>7</v>
      </c>
      <c r="R12" s="4">
        <v>44000</v>
      </c>
      <c r="S12">
        <v>5.4169836017509465E-2</v>
      </c>
      <c r="T12">
        <v>10</v>
      </c>
      <c r="U12" t="e">
        <f t="shared" si="3"/>
        <v>#N/A</v>
      </c>
      <c r="V12">
        <f t="shared" si="4"/>
        <v>37336.632658103044</v>
      </c>
    </row>
    <row r="13" spans="1:22" x14ac:dyDescent="0.35">
      <c r="A13" s="1">
        <v>134</v>
      </c>
      <c r="B13" s="3" t="s">
        <v>11</v>
      </c>
      <c r="C13" s="3">
        <f t="shared" si="0"/>
        <v>1</v>
      </c>
      <c r="D13">
        <v>16</v>
      </c>
      <c r="E13" s="4">
        <v>42400</v>
      </c>
      <c r="F13">
        <v>0.2054675414094761</v>
      </c>
      <c r="G13">
        <v>41</v>
      </c>
      <c r="H13" t="e">
        <f t="shared" si="1"/>
        <v>#N/A</v>
      </c>
      <c r="N13" s="1">
        <v>10</v>
      </c>
      <c r="O13" s="3" t="s">
        <v>11</v>
      </c>
      <c r="P13" s="3">
        <f t="shared" si="2"/>
        <v>1</v>
      </c>
      <c r="Q13">
        <v>9</v>
      </c>
      <c r="R13" s="4">
        <v>29500</v>
      </c>
      <c r="S13">
        <v>6.140767217208476E-2</v>
      </c>
      <c r="T13">
        <v>11</v>
      </c>
      <c r="U13" t="e">
        <f t="shared" si="3"/>
        <v>#N/A</v>
      </c>
      <c r="V13">
        <f t="shared" si="4"/>
        <v>39483.054896453592</v>
      </c>
    </row>
    <row r="14" spans="1:22" x14ac:dyDescent="0.35">
      <c r="A14" s="1">
        <v>135</v>
      </c>
      <c r="B14" s="3" t="s">
        <v>10</v>
      </c>
      <c r="C14" s="3">
        <f t="shared" si="0"/>
        <v>0</v>
      </c>
      <c r="D14">
        <v>5</v>
      </c>
      <c r="E14" s="4">
        <v>39500</v>
      </c>
      <c r="F14">
        <v>0.21180584536085856</v>
      </c>
      <c r="G14">
        <v>42</v>
      </c>
      <c r="H14" t="e">
        <f t="shared" si="1"/>
        <v>#N/A</v>
      </c>
      <c r="N14" s="1">
        <v>104</v>
      </c>
      <c r="O14" s="3" t="s">
        <v>11</v>
      </c>
      <c r="P14" s="3">
        <f t="shared" si="2"/>
        <v>1</v>
      </c>
      <c r="Q14">
        <v>15</v>
      </c>
      <c r="R14" s="4">
        <v>36100</v>
      </c>
      <c r="S14">
        <v>6.9389364307451462E-2</v>
      </c>
      <c r="T14">
        <v>12</v>
      </c>
      <c r="U14" t="e">
        <f t="shared" si="3"/>
        <v>#N/A</v>
      </c>
      <c r="V14">
        <f t="shared" si="4"/>
        <v>45922.321611505235</v>
      </c>
    </row>
    <row r="15" spans="1:22" x14ac:dyDescent="0.35">
      <c r="A15" s="1">
        <v>95</v>
      </c>
      <c r="B15" s="3" t="s">
        <v>10</v>
      </c>
      <c r="C15" s="3">
        <f t="shared" si="0"/>
        <v>0</v>
      </c>
      <c r="D15">
        <v>2</v>
      </c>
      <c r="E15" s="4">
        <v>30000</v>
      </c>
      <c r="F15">
        <v>0.21777221127260493</v>
      </c>
      <c r="G15">
        <v>43</v>
      </c>
      <c r="H15" t="e">
        <f t="shared" si="1"/>
        <v>#N/A</v>
      </c>
      <c r="N15" s="1">
        <v>111</v>
      </c>
      <c r="O15" s="3" t="s">
        <v>11</v>
      </c>
      <c r="P15" s="3">
        <f t="shared" si="2"/>
        <v>1</v>
      </c>
      <c r="Q15">
        <v>5</v>
      </c>
      <c r="R15" s="4">
        <v>39800</v>
      </c>
      <c r="S15">
        <v>6.9811444495743613E-2</v>
      </c>
      <c r="T15">
        <v>13</v>
      </c>
      <c r="U15" t="e">
        <f t="shared" si="3"/>
        <v>#N/A</v>
      </c>
      <c r="V15">
        <f t="shared" si="4"/>
        <v>35190.210419752497</v>
      </c>
    </row>
    <row r="16" spans="1:22" x14ac:dyDescent="0.35">
      <c r="A16" s="1">
        <v>154</v>
      </c>
      <c r="B16" s="3" t="s">
        <v>10</v>
      </c>
      <c r="C16" s="3">
        <f t="shared" si="0"/>
        <v>0</v>
      </c>
      <c r="D16">
        <v>6</v>
      </c>
      <c r="E16" s="4">
        <v>42500</v>
      </c>
      <c r="F16">
        <v>0.2231279478110737</v>
      </c>
      <c r="G16">
        <v>44</v>
      </c>
      <c r="H16" t="e">
        <f t="shared" si="1"/>
        <v>#N/A</v>
      </c>
      <c r="N16" s="1">
        <v>93</v>
      </c>
      <c r="O16" s="3" t="s">
        <v>10</v>
      </c>
      <c r="P16" s="3">
        <f t="shared" si="2"/>
        <v>0</v>
      </c>
      <c r="Q16">
        <v>3</v>
      </c>
      <c r="R16" s="4">
        <v>34500</v>
      </c>
      <c r="S16">
        <v>7.0210038760075588E-2</v>
      </c>
      <c r="T16">
        <v>14</v>
      </c>
      <c r="U16" t="e">
        <f t="shared" si="3"/>
        <v>#N/A</v>
      </c>
      <c r="V16">
        <f t="shared" si="4"/>
        <v>33043.788181401949</v>
      </c>
    </row>
    <row r="17" spans="1:22" x14ac:dyDescent="0.35">
      <c r="A17" s="1">
        <v>28</v>
      </c>
      <c r="B17" s="3" t="s">
        <v>11</v>
      </c>
      <c r="C17" s="3">
        <f t="shared" si="0"/>
        <v>1</v>
      </c>
      <c r="D17">
        <v>13</v>
      </c>
      <c r="E17" s="4">
        <v>37600</v>
      </c>
      <c r="F17">
        <v>0.22492065296294006</v>
      </c>
      <c r="G17">
        <v>45</v>
      </c>
      <c r="H17" t="e">
        <f t="shared" si="1"/>
        <v>#N/A</v>
      </c>
      <c r="N17" s="1">
        <v>22</v>
      </c>
      <c r="O17" s="3" t="s">
        <v>10</v>
      </c>
      <c r="P17" s="3">
        <f t="shared" si="2"/>
        <v>0</v>
      </c>
      <c r="Q17">
        <v>3</v>
      </c>
      <c r="R17" s="4">
        <v>31000</v>
      </c>
      <c r="S17">
        <v>7.2546334003884216E-2</v>
      </c>
      <c r="T17">
        <v>15</v>
      </c>
      <c r="U17" t="e">
        <f t="shared" si="3"/>
        <v>#N/A</v>
      </c>
      <c r="V17">
        <f t="shared" si="4"/>
        <v>33043.788181401949</v>
      </c>
    </row>
    <row r="18" spans="1:22" x14ac:dyDescent="0.35">
      <c r="A18" s="1">
        <v>178</v>
      </c>
      <c r="B18" s="3" t="s">
        <v>11</v>
      </c>
      <c r="C18" s="3">
        <f t="shared" si="0"/>
        <v>1</v>
      </c>
      <c r="D18">
        <v>17</v>
      </c>
      <c r="E18" s="4">
        <v>43100</v>
      </c>
      <c r="F18">
        <v>0.22634050551216545</v>
      </c>
      <c r="G18">
        <v>46</v>
      </c>
      <c r="H18" t="e">
        <f t="shared" si="1"/>
        <v>#N/A</v>
      </c>
      <c r="N18" s="1">
        <v>52</v>
      </c>
      <c r="O18" s="3" t="s">
        <v>11</v>
      </c>
      <c r="P18" s="3">
        <f t="shared" si="2"/>
        <v>1</v>
      </c>
      <c r="Q18">
        <v>4</v>
      </c>
      <c r="R18" s="4">
        <v>34000</v>
      </c>
      <c r="S18">
        <v>7.6249076654617998E-2</v>
      </c>
      <c r="T18">
        <v>16</v>
      </c>
      <c r="U18" t="e">
        <f t="shared" si="3"/>
        <v>#N/A</v>
      </c>
      <c r="V18">
        <f t="shared" si="4"/>
        <v>34116.999300577219</v>
      </c>
    </row>
    <row r="19" spans="1:22" x14ac:dyDescent="0.35">
      <c r="A19" s="1">
        <v>140</v>
      </c>
      <c r="B19" s="3" t="s">
        <v>11</v>
      </c>
      <c r="C19" s="3">
        <f t="shared" si="0"/>
        <v>1</v>
      </c>
      <c r="D19">
        <v>25</v>
      </c>
      <c r="E19" s="4">
        <v>40660</v>
      </c>
      <c r="F19">
        <v>0.2271071084079842</v>
      </c>
      <c r="G19">
        <v>47</v>
      </c>
      <c r="H19" t="e">
        <f t="shared" si="1"/>
        <v>#N/A</v>
      </c>
      <c r="N19" s="1">
        <v>30</v>
      </c>
      <c r="O19" s="3" t="s">
        <v>11</v>
      </c>
      <c r="P19" s="3">
        <f t="shared" si="2"/>
        <v>1</v>
      </c>
      <c r="Q19">
        <v>4</v>
      </c>
      <c r="R19" s="4">
        <v>33000</v>
      </c>
      <c r="S19">
        <v>7.9264904654075319E-2</v>
      </c>
      <c r="T19">
        <v>17</v>
      </c>
      <c r="U19" t="e">
        <f t="shared" si="3"/>
        <v>#N/A</v>
      </c>
      <c r="V19">
        <f t="shared" si="4"/>
        <v>34116.999300577219</v>
      </c>
    </row>
    <row r="20" spans="1:22" x14ac:dyDescent="0.35">
      <c r="A20" s="1">
        <v>34</v>
      </c>
      <c r="B20" s="3" t="s">
        <v>11</v>
      </c>
      <c r="C20" s="3">
        <f t="shared" si="0"/>
        <v>1</v>
      </c>
      <c r="D20">
        <v>18</v>
      </c>
      <c r="E20" s="4">
        <v>38800</v>
      </c>
      <c r="F20">
        <v>0.23321566899807045</v>
      </c>
      <c r="G20">
        <v>48</v>
      </c>
      <c r="H20" t="e">
        <f t="shared" si="1"/>
        <v>#N/A</v>
      </c>
      <c r="N20" s="1">
        <v>56</v>
      </c>
      <c r="O20" s="3" t="s">
        <v>11</v>
      </c>
      <c r="P20" s="3">
        <f t="shared" si="2"/>
        <v>1</v>
      </c>
      <c r="Q20">
        <v>9</v>
      </c>
      <c r="R20" s="4">
        <v>29800</v>
      </c>
      <c r="S20">
        <v>8.4344113666200315E-2</v>
      </c>
      <c r="T20">
        <v>18</v>
      </c>
      <c r="U20" t="e">
        <f t="shared" si="3"/>
        <v>#N/A</v>
      </c>
      <c r="V20">
        <f t="shared" si="4"/>
        <v>39483.054896453592</v>
      </c>
    </row>
    <row r="21" spans="1:22" x14ac:dyDescent="0.35">
      <c r="A21" s="1">
        <v>130</v>
      </c>
      <c r="B21" s="3" t="s">
        <v>11</v>
      </c>
      <c r="C21" s="3">
        <f t="shared" si="0"/>
        <v>1</v>
      </c>
      <c r="D21">
        <v>3</v>
      </c>
      <c r="E21" s="4">
        <v>35000</v>
      </c>
      <c r="F21">
        <v>0.23570315919561657</v>
      </c>
      <c r="G21">
        <v>49</v>
      </c>
      <c r="H21" t="e">
        <f t="shared" si="1"/>
        <v>#N/A</v>
      </c>
      <c r="N21" s="1">
        <v>177</v>
      </c>
      <c r="O21" s="3" t="s">
        <v>10</v>
      </c>
      <c r="P21" s="3">
        <f t="shared" si="2"/>
        <v>0</v>
      </c>
      <c r="Q21">
        <v>6</v>
      </c>
      <c r="R21" s="4">
        <v>47000</v>
      </c>
      <c r="S21">
        <v>8.9751766231960572E-2</v>
      </c>
      <c r="T21">
        <v>19</v>
      </c>
      <c r="U21" t="e">
        <f t="shared" si="3"/>
        <v>#N/A</v>
      </c>
      <c r="V21">
        <f t="shared" si="4"/>
        <v>36263.421538927767</v>
      </c>
    </row>
    <row r="22" spans="1:22" x14ac:dyDescent="0.35">
      <c r="A22" s="1">
        <v>41</v>
      </c>
      <c r="B22" s="3" t="s">
        <v>11</v>
      </c>
      <c r="C22" s="3">
        <f t="shared" si="0"/>
        <v>1</v>
      </c>
      <c r="D22">
        <v>5</v>
      </c>
      <c r="E22" s="4">
        <v>34200</v>
      </c>
      <c r="F22">
        <v>0.23915061145436267</v>
      </c>
      <c r="G22">
        <v>50</v>
      </c>
      <c r="H22" t="e">
        <f t="shared" si="1"/>
        <v>#N/A</v>
      </c>
      <c r="N22" s="1">
        <v>180</v>
      </c>
      <c r="O22" s="3" t="s">
        <v>10</v>
      </c>
      <c r="P22" s="3">
        <f t="shared" si="2"/>
        <v>0</v>
      </c>
      <c r="Q22">
        <v>8</v>
      </c>
      <c r="R22" s="4">
        <v>48500</v>
      </c>
      <c r="S22">
        <v>8.9988033598152994E-2</v>
      </c>
      <c r="T22">
        <v>20</v>
      </c>
      <c r="U22" t="e">
        <f t="shared" si="3"/>
        <v>#N/A</v>
      </c>
      <c r="V22">
        <f t="shared" si="4"/>
        <v>38409.843777278315</v>
      </c>
    </row>
    <row r="23" spans="1:22" x14ac:dyDescent="0.35">
      <c r="A23" s="1">
        <v>121</v>
      </c>
      <c r="B23" s="3" t="s">
        <v>11</v>
      </c>
      <c r="C23" s="3">
        <f t="shared" si="0"/>
        <v>1</v>
      </c>
      <c r="D23">
        <v>9</v>
      </c>
      <c r="E23" s="4">
        <v>33700</v>
      </c>
      <c r="F23">
        <v>0.25498816731403939</v>
      </c>
      <c r="G23">
        <v>51</v>
      </c>
      <c r="H23" t="e">
        <f t="shared" si="1"/>
        <v>#N/A</v>
      </c>
      <c r="N23" s="1">
        <v>31</v>
      </c>
      <c r="O23" s="3" t="s">
        <v>11</v>
      </c>
      <c r="P23" s="3">
        <f t="shared" si="2"/>
        <v>1</v>
      </c>
      <c r="Q23">
        <v>7</v>
      </c>
      <c r="R23" s="4">
        <v>28760</v>
      </c>
      <c r="S23">
        <v>9.2453790478897568E-2</v>
      </c>
      <c r="T23">
        <v>21</v>
      </c>
      <c r="U23" t="e">
        <f t="shared" si="3"/>
        <v>#N/A</v>
      </c>
      <c r="V23">
        <f t="shared" si="4"/>
        <v>37336.632658103044</v>
      </c>
    </row>
    <row r="24" spans="1:22" x14ac:dyDescent="0.35">
      <c r="A24" s="1">
        <v>174</v>
      </c>
      <c r="B24" s="3" t="s">
        <v>10</v>
      </c>
      <c r="C24" s="3">
        <f t="shared" si="0"/>
        <v>0</v>
      </c>
      <c r="D24">
        <v>7</v>
      </c>
      <c r="E24" s="4">
        <v>47500</v>
      </c>
      <c r="F24">
        <v>0.25953631917081466</v>
      </c>
      <c r="G24">
        <v>52</v>
      </c>
      <c r="H24" t="e">
        <f t="shared" si="1"/>
        <v>#N/A</v>
      </c>
      <c r="N24" s="1">
        <v>198</v>
      </c>
      <c r="O24" s="3" t="s">
        <v>10</v>
      </c>
      <c r="P24" s="3">
        <f t="shared" si="2"/>
        <v>0</v>
      </c>
      <c r="Q24">
        <v>12</v>
      </c>
      <c r="R24" s="4">
        <v>60000</v>
      </c>
      <c r="S24">
        <v>9.8881683689632571E-2</v>
      </c>
      <c r="T24">
        <v>22</v>
      </c>
      <c r="U24" t="e">
        <f t="shared" si="3"/>
        <v>#N/A</v>
      </c>
      <c r="V24">
        <f t="shared" si="4"/>
        <v>42702.68825397941</v>
      </c>
    </row>
    <row r="25" spans="1:22" x14ac:dyDescent="0.35">
      <c r="A25" s="1">
        <v>205</v>
      </c>
      <c r="B25" s="3" t="s">
        <v>10</v>
      </c>
      <c r="C25" s="3">
        <f t="shared" si="0"/>
        <v>0</v>
      </c>
      <c r="D25">
        <v>36</v>
      </c>
      <c r="E25" s="4">
        <v>97000</v>
      </c>
      <c r="F25">
        <v>0.26231232175782615</v>
      </c>
      <c r="G25">
        <v>53</v>
      </c>
      <c r="H25" t="e">
        <f t="shared" si="1"/>
        <v>#N/A</v>
      </c>
      <c r="N25" s="1">
        <v>159</v>
      </c>
      <c r="O25" s="3" t="s">
        <v>10</v>
      </c>
      <c r="P25" s="3">
        <f t="shared" si="2"/>
        <v>0</v>
      </c>
      <c r="Q25">
        <v>4</v>
      </c>
      <c r="R25" s="4">
        <v>41800</v>
      </c>
      <c r="S25">
        <v>0.10235232955282159</v>
      </c>
      <c r="T25">
        <v>23</v>
      </c>
      <c r="U25" t="e">
        <f t="shared" si="3"/>
        <v>#N/A</v>
      </c>
      <c r="V25">
        <f t="shared" si="4"/>
        <v>34116.999300577219</v>
      </c>
    </row>
    <row r="26" spans="1:22" x14ac:dyDescent="0.35">
      <c r="A26" s="1">
        <v>164</v>
      </c>
      <c r="B26" s="3" t="s">
        <v>11</v>
      </c>
      <c r="C26" s="3">
        <f t="shared" si="0"/>
        <v>1</v>
      </c>
      <c r="D26">
        <v>26</v>
      </c>
      <c r="E26" s="4">
        <v>44800</v>
      </c>
      <c r="F26">
        <v>0.26384417023549689</v>
      </c>
      <c r="G26">
        <v>54</v>
      </c>
      <c r="H26" t="e">
        <f t="shared" si="1"/>
        <v>#N/A</v>
      </c>
      <c r="N26" s="1">
        <v>102</v>
      </c>
      <c r="O26" s="3" t="s">
        <v>11</v>
      </c>
      <c r="P26" s="3">
        <f t="shared" si="2"/>
        <v>1</v>
      </c>
      <c r="Q26">
        <v>14</v>
      </c>
      <c r="R26" s="4">
        <v>34100</v>
      </c>
      <c r="S26">
        <v>0.10343111799796612</v>
      </c>
      <c r="T26">
        <v>24</v>
      </c>
      <c r="U26" t="e">
        <f t="shared" si="3"/>
        <v>#N/A</v>
      </c>
      <c r="V26">
        <f t="shared" si="4"/>
        <v>44849.110492329957</v>
      </c>
    </row>
    <row r="27" spans="1:22" x14ac:dyDescent="0.35">
      <c r="A27" s="1">
        <v>169</v>
      </c>
      <c r="B27" s="3" t="s">
        <v>11</v>
      </c>
      <c r="C27" s="3">
        <f t="shared" si="0"/>
        <v>1</v>
      </c>
      <c r="D27">
        <v>14</v>
      </c>
      <c r="E27" s="4">
        <v>48500</v>
      </c>
      <c r="F27">
        <v>0.26978821506718409</v>
      </c>
      <c r="G27">
        <v>55</v>
      </c>
      <c r="H27" t="e">
        <f t="shared" si="1"/>
        <v>#N/A</v>
      </c>
      <c r="N27" s="1">
        <v>202</v>
      </c>
      <c r="O27" s="3" t="s">
        <v>10</v>
      </c>
      <c r="P27" s="3">
        <f t="shared" si="2"/>
        <v>0</v>
      </c>
      <c r="Q27">
        <v>21</v>
      </c>
      <c r="R27" s="4">
        <v>60000</v>
      </c>
      <c r="S27">
        <v>0.11148872432128587</v>
      </c>
      <c r="T27">
        <v>25</v>
      </c>
      <c r="U27" t="e">
        <f t="shared" si="3"/>
        <v>#N/A</v>
      </c>
      <c r="V27">
        <f t="shared" si="4"/>
        <v>52361.58832655687</v>
      </c>
    </row>
    <row r="28" spans="1:22" x14ac:dyDescent="0.35">
      <c r="A28" s="1">
        <v>132</v>
      </c>
      <c r="B28" s="3" t="s">
        <v>11</v>
      </c>
      <c r="C28" s="3">
        <f t="shared" si="0"/>
        <v>1</v>
      </c>
      <c r="D28">
        <v>8</v>
      </c>
      <c r="E28" s="4">
        <v>33800</v>
      </c>
      <c r="F28">
        <v>0.27237589997907208</v>
      </c>
      <c r="G28">
        <v>56</v>
      </c>
      <c r="H28" t="e">
        <f t="shared" si="1"/>
        <v>#N/A</v>
      </c>
      <c r="N28" s="1">
        <v>96</v>
      </c>
      <c r="O28" s="3" t="s">
        <v>11</v>
      </c>
      <c r="P28" s="3">
        <f t="shared" si="2"/>
        <v>1</v>
      </c>
      <c r="Q28">
        <v>8</v>
      </c>
      <c r="R28" s="4">
        <v>37300</v>
      </c>
      <c r="S28">
        <v>0.11995671718820156</v>
      </c>
      <c r="T28">
        <v>26</v>
      </c>
      <c r="U28" t="e">
        <f t="shared" si="3"/>
        <v>#N/A</v>
      </c>
      <c r="V28">
        <f t="shared" si="4"/>
        <v>38409.843777278315</v>
      </c>
    </row>
    <row r="29" spans="1:22" x14ac:dyDescent="0.35">
      <c r="A29" s="1">
        <v>158</v>
      </c>
      <c r="B29" s="3" t="s">
        <v>11</v>
      </c>
      <c r="C29" s="3">
        <f t="shared" si="0"/>
        <v>1</v>
      </c>
      <c r="D29">
        <v>17</v>
      </c>
      <c r="E29" s="4">
        <v>38000</v>
      </c>
      <c r="F29">
        <v>0.27688589164102961</v>
      </c>
      <c r="G29">
        <v>57</v>
      </c>
      <c r="H29" t="e">
        <f t="shared" si="1"/>
        <v>#N/A</v>
      </c>
      <c r="N29" s="1">
        <v>122</v>
      </c>
      <c r="O29" s="3" t="s">
        <v>10</v>
      </c>
      <c r="P29" s="3">
        <f t="shared" si="2"/>
        <v>0</v>
      </c>
      <c r="Q29">
        <v>5</v>
      </c>
      <c r="R29" s="4">
        <v>36300</v>
      </c>
      <c r="S29">
        <v>0.12870109747816061</v>
      </c>
      <c r="T29">
        <v>27</v>
      </c>
      <c r="U29" t="e">
        <f t="shared" si="3"/>
        <v>#N/A</v>
      </c>
      <c r="V29">
        <f t="shared" si="4"/>
        <v>35190.210419752497</v>
      </c>
    </row>
    <row r="30" spans="1:22" x14ac:dyDescent="0.35">
      <c r="A30" s="1">
        <v>73</v>
      </c>
      <c r="B30" s="3" t="s">
        <v>11</v>
      </c>
      <c r="C30" s="3">
        <f t="shared" si="0"/>
        <v>1</v>
      </c>
      <c r="D30">
        <v>3</v>
      </c>
      <c r="E30" s="4">
        <v>42000</v>
      </c>
      <c r="F30">
        <v>0.27810749330896589</v>
      </c>
      <c r="G30">
        <v>58</v>
      </c>
      <c r="H30" t="e">
        <f t="shared" si="1"/>
        <v>#N/A</v>
      </c>
      <c r="N30" s="1">
        <v>126</v>
      </c>
      <c r="O30" s="3" t="s">
        <v>11</v>
      </c>
      <c r="P30" s="3">
        <f t="shared" si="2"/>
        <v>1</v>
      </c>
      <c r="Q30">
        <v>8</v>
      </c>
      <c r="R30" s="4">
        <v>32500</v>
      </c>
      <c r="S30">
        <v>0.13067740277149542</v>
      </c>
      <c r="T30">
        <v>28</v>
      </c>
      <c r="U30" t="e">
        <f t="shared" si="3"/>
        <v>#N/A</v>
      </c>
      <c r="V30">
        <f t="shared" si="4"/>
        <v>38409.843777278315</v>
      </c>
    </row>
    <row r="31" spans="1:22" x14ac:dyDescent="0.35">
      <c r="A31" s="1">
        <v>40</v>
      </c>
      <c r="B31" s="3" t="s">
        <v>10</v>
      </c>
      <c r="C31" s="3">
        <f t="shared" si="0"/>
        <v>0</v>
      </c>
      <c r="D31">
        <v>3</v>
      </c>
      <c r="E31" s="4">
        <v>30500</v>
      </c>
      <c r="F31">
        <v>0.29236393491412038</v>
      </c>
      <c r="G31">
        <v>59</v>
      </c>
      <c r="H31" t="e">
        <f t="shared" si="1"/>
        <v>#N/A</v>
      </c>
      <c r="N31" s="1">
        <v>144</v>
      </c>
      <c r="O31" s="3" t="s">
        <v>11</v>
      </c>
      <c r="P31" s="3">
        <f t="shared" si="2"/>
        <v>1</v>
      </c>
      <c r="Q31">
        <v>8</v>
      </c>
      <c r="R31" s="4">
        <v>38000</v>
      </c>
      <c r="S31">
        <v>0.1314587472591684</v>
      </c>
      <c r="T31">
        <v>29</v>
      </c>
      <c r="U31" t="e">
        <f t="shared" si="3"/>
        <v>#N/A</v>
      </c>
      <c r="V31">
        <f t="shared" si="4"/>
        <v>38409.843777278315</v>
      </c>
    </row>
    <row r="32" spans="1:22" x14ac:dyDescent="0.35">
      <c r="A32" s="1">
        <v>68</v>
      </c>
      <c r="B32" s="3" t="s">
        <v>11</v>
      </c>
      <c r="C32" s="3">
        <f t="shared" si="0"/>
        <v>1</v>
      </c>
      <c r="D32">
        <v>5</v>
      </c>
      <c r="E32" s="4">
        <v>41400</v>
      </c>
      <c r="F32">
        <v>0.29341193977139501</v>
      </c>
      <c r="G32">
        <v>60</v>
      </c>
      <c r="H32" t="e">
        <f t="shared" si="1"/>
        <v>#N/A</v>
      </c>
      <c r="N32" s="1">
        <v>133</v>
      </c>
      <c r="O32" s="3" t="s">
        <v>11</v>
      </c>
      <c r="P32" s="3">
        <f t="shared" si="2"/>
        <v>1</v>
      </c>
      <c r="Q32">
        <v>21</v>
      </c>
      <c r="R32" s="4">
        <v>35300</v>
      </c>
      <c r="S32">
        <v>0.14065695578840742</v>
      </c>
      <c r="T32">
        <v>30</v>
      </c>
      <c r="U32" t="e">
        <f t="shared" si="3"/>
        <v>#N/A</v>
      </c>
      <c r="V32">
        <f t="shared" si="4"/>
        <v>52361.58832655687</v>
      </c>
    </row>
    <row r="33" spans="1:8" x14ac:dyDescent="0.35">
      <c r="A33" s="1">
        <v>142</v>
      </c>
      <c r="B33" s="3" t="s">
        <v>11</v>
      </c>
      <c r="C33" s="3">
        <f t="shared" si="0"/>
        <v>1</v>
      </c>
      <c r="D33">
        <v>6</v>
      </c>
      <c r="E33" s="4">
        <v>45000</v>
      </c>
      <c r="F33">
        <v>0.30095954038664108</v>
      </c>
      <c r="G33">
        <v>61</v>
      </c>
      <c r="H33" t="e">
        <f t="shared" si="1"/>
        <v>#N/A</v>
      </c>
    </row>
    <row r="34" spans="1:8" x14ac:dyDescent="0.35">
      <c r="A34" s="1">
        <v>186</v>
      </c>
      <c r="B34" s="3" t="s">
        <v>11</v>
      </c>
      <c r="C34" s="3">
        <f t="shared" si="0"/>
        <v>1</v>
      </c>
      <c r="D34">
        <v>12</v>
      </c>
      <c r="E34" s="4">
        <v>61500</v>
      </c>
      <c r="F34">
        <v>0.30730439372584761</v>
      </c>
      <c r="G34">
        <v>62</v>
      </c>
      <c r="H34" t="e">
        <f t="shared" si="1"/>
        <v>#N/A</v>
      </c>
    </row>
    <row r="35" spans="1:8" x14ac:dyDescent="0.35">
      <c r="A35" s="1">
        <v>192</v>
      </c>
      <c r="B35" s="3" t="s">
        <v>10</v>
      </c>
      <c r="C35" s="3">
        <f t="shared" si="0"/>
        <v>0</v>
      </c>
      <c r="D35">
        <v>16</v>
      </c>
      <c r="E35" s="4">
        <v>55000</v>
      </c>
      <c r="F35">
        <v>0.3073474541895721</v>
      </c>
      <c r="G35">
        <v>63</v>
      </c>
      <c r="H35" t="e">
        <f t="shared" si="1"/>
        <v>#N/A</v>
      </c>
    </row>
    <row r="36" spans="1:8" x14ac:dyDescent="0.35">
      <c r="A36" s="1">
        <v>43</v>
      </c>
      <c r="B36" s="3" t="s">
        <v>11</v>
      </c>
      <c r="C36" s="3">
        <f t="shared" si="0"/>
        <v>1</v>
      </c>
      <c r="D36">
        <v>7</v>
      </c>
      <c r="E36" s="4">
        <v>33500</v>
      </c>
      <c r="F36">
        <v>0.31055896615447731</v>
      </c>
      <c r="G36">
        <v>64</v>
      </c>
      <c r="H36" t="e">
        <f t="shared" si="1"/>
        <v>#N/A</v>
      </c>
    </row>
    <row r="37" spans="1:8" x14ac:dyDescent="0.35">
      <c r="A37" s="1">
        <v>35</v>
      </c>
      <c r="B37" s="3" t="s">
        <v>11</v>
      </c>
      <c r="C37" s="3">
        <f t="shared" si="0"/>
        <v>1</v>
      </c>
      <c r="D37">
        <v>14</v>
      </c>
      <c r="E37" s="4">
        <v>34300</v>
      </c>
      <c r="F37">
        <v>0.32008775679474999</v>
      </c>
      <c r="G37">
        <v>65</v>
      </c>
      <c r="H37" t="e">
        <f t="shared" si="1"/>
        <v>#N/A</v>
      </c>
    </row>
    <row r="38" spans="1:8" x14ac:dyDescent="0.35">
      <c r="A38" s="1">
        <v>64</v>
      </c>
      <c r="B38" s="3" t="s">
        <v>11</v>
      </c>
      <c r="C38" s="3">
        <f t="shared" si="0"/>
        <v>1</v>
      </c>
      <c r="D38">
        <v>5</v>
      </c>
      <c r="E38" s="4">
        <v>36000</v>
      </c>
      <c r="F38">
        <v>0.3330833237760995</v>
      </c>
      <c r="G38">
        <v>66</v>
      </c>
      <c r="H38" t="e">
        <f t="shared" si="1"/>
        <v>#N/A</v>
      </c>
    </row>
    <row r="39" spans="1:8" x14ac:dyDescent="0.35">
      <c r="A39" s="1">
        <v>162</v>
      </c>
      <c r="B39" s="3" t="s">
        <v>11</v>
      </c>
      <c r="C39" s="3">
        <f t="shared" si="0"/>
        <v>1</v>
      </c>
      <c r="D39">
        <v>3</v>
      </c>
      <c r="E39" s="4">
        <v>44000</v>
      </c>
      <c r="F39">
        <v>0.34154386427810246</v>
      </c>
      <c r="G39">
        <v>67</v>
      </c>
      <c r="H39" t="e">
        <f t="shared" si="1"/>
        <v>#N/A</v>
      </c>
    </row>
    <row r="40" spans="1:8" x14ac:dyDescent="0.35">
      <c r="A40" s="1">
        <v>203</v>
      </c>
      <c r="B40" s="3" t="s">
        <v>10</v>
      </c>
      <c r="C40" s="3">
        <f t="shared" si="0"/>
        <v>0</v>
      </c>
      <c r="D40">
        <v>39</v>
      </c>
      <c r="E40" s="4">
        <v>74000</v>
      </c>
      <c r="F40">
        <v>0.34324063810237682</v>
      </c>
      <c r="G40">
        <v>68</v>
      </c>
      <c r="H40" t="e">
        <f t="shared" si="1"/>
        <v>#N/A</v>
      </c>
    </row>
    <row r="41" spans="1:8" x14ac:dyDescent="0.35">
      <c r="A41" s="1">
        <v>32</v>
      </c>
      <c r="B41" s="3" t="s">
        <v>11</v>
      </c>
      <c r="C41" s="3">
        <f t="shared" si="0"/>
        <v>1</v>
      </c>
      <c r="D41">
        <v>11</v>
      </c>
      <c r="E41" s="4">
        <v>35400</v>
      </c>
      <c r="F41">
        <v>0.34769822626914826</v>
      </c>
      <c r="G41">
        <v>69</v>
      </c>
      <c r="H41" t="e">
        <f t="shared" si="1"/>
        <v>#N/A</v>
      </c>
    </row>
    <row r="42" spans="1:8" x14ac:dyDescent="0.35">
      <c r="A42" s="1">
        <v>78</v>
      </c>
      <c r="B42" s="3" t="s">
        <v>10</v>
      </c>
      <c r="C42" s="3">
        <f t="shared" si="0"/>
        <v>0</v>
      </c>
      <c r="D42">
        <v>4</v>
      </c>
      <c r="E42" s="4">
        <v>33000</v>
      </c>
      <c r="F42">
        <v>0.35430446609034372</v>
      </c>
      <c r="G42">
        <v>70</v>
      </c>
      <c r="H42" t="e">
        <f t="shared" si="1"/>
        <v>#N/A</v>
      </c>
    </row>
    <row r="43" spans="1:8" x14ac:dyDescent="0.35">
      <c r="A43" s="1">
        <v>79</v>
      </c>
      <c r="B43" s="3" t="s">
        <v>11</v>
      </c>
      <c r="C43" s="3">
        <f t="shared" si="0"/>
        <v>1</v>
      </c>
      <c r="D43">
        <v>8</v>
      </c>
      <c r="E43" s="4">
        <v>31200</v>
      </c>
      <c r="F43">
        <v>0.3559016911874181</v>
      </c>
      <c r="G43">
        <v>71</v>
      </c>
      <c r="H43" t="e">
        <f t="shared" si="1"/>
        <v>#N/A</v>
      </c>
    </row>
    <row r="44" spans="1:8" x14ac:dyDescent="0.35">
      <c r="A44" s="1">
        <v>46</v>
      </c>
      <c r="B44" s="3" t="s">
        <v>10</v>
      </c>
      <c r="C44" s="3">
        <f t="shared" si="0"/>
        <v>0</v>
      </c>
      <c r="D44">
        <v>17</v>
      </c>
      <c r="E44" s="4">
        <v>38800</v>
      </c>
      <c r="F44">
        <v>0.35598308504184228</v>
      </c>
      <c r="G44">
        <v>72</v>
      </c>
      <c r="H44" t="e">
        <f t="shared" si="1"/>
        <v>#N/A</v>
      </c>
    </row>
    <row r="45" spans="1:8" x14ac:dyDescent="0.35">
      <c r="A45" s="1">
        <v>157</v>
      </c>
      <c r="B45" s="3" t="s">
        <v>11</v>
      </c>
      <c r="C45" s="3">
        <f t="shared" si="0"/>
        <v>1</v>
      </c>
      <c r="D45">
        <v>15</v>
      </c>
      <c r="E45" s="4">
        <v>44400</v>
      </c>
      <c r="F45">
        <v>0.35655262445852653</v>
      </c>
      <c r="G45">
        <v>73</v>
      </c>
      <c r="H45" t="e">
        <f t="shared" si="1"/>
        <v>#N/A</v>
      </c>
    </row>
    <row r="46" spans="1:8" x14ac:dyDescent="0.35">
      <c r="A46" s="1">
        <v>182</v>
      </c>
      <c r="B46" s="3" t="s">
        <v>11</v>
      </c>
      <c r="C46" s="3">
        <f t="shared" si="0"/>
        <v>1</v>
      </c>
      <c r="D46">
        <v>16</v>
      </c>
      <c r="E46" s="4">
        <v>52500</v>
      </c>
      <c r="F46">
        <v>0.36599259934651873</v>
      </c>
      <c r="G46">
        <v>74</v>
      </c>
      <c r="H46" t="e">
        <f t="shared" si="1"/>
        <v>#N/A</v>
      </c>
    </row>
    <row r="47" spans="1:8" x14ac:dyDescent="0.35">
      <c r="A47" s="1">
        <v>147</v>
      </c>
      <c r="B47" s="3" t="s">
        <v>10</v>
      </c>
      <c r="C47" s="3">
        <f t="shared" si="0"/>
        <v>0</v>
      </c>
      <c r="D47">
        <v>4</v>
      </c>
      <c r="E47" s="4">
        <v>41000</v>
      </c>
      <c r="F47">
        <v>0.36639748940584338</v>
      </c>
      <c r="G47">
        <v>75</v>
      </c>
      <c r="H47" t="e">
        <f t="shared" si="1"/>
        <v>#N/A</v>
      </c>
    </row>
    <row r="48" spans="1:8" x14ac:dyDescent="0.35">
      <c r="A48" s="1">
        <v>4</v>
      </c>
      <c r="B48" s="3" t="s">
        <v>11</v>
      </c>
      <c r="C48" s="3">
        <f t="shared" si="0"/>
        <v>1</v>
      </c>
      <c r="D48">
        <v>8</v>
      </c>
      <c r="E48" s="4">
        <v>30600</v>
      </c>
      <c r="F48">
        <v>0.37509966827957797</v>
      </c>
      <c r="G48">
        <v>76</v>
      </c>
      <c r="H48" t="e">
        <f t="shared" si="1"/>
        <v>#N/A</v>
      </c>
    </row>
    <row r="49" spans="1:8" x14ac:dyDescent="0.35">
      <c r="A49" s="1">
        <v>161</v>
      </c>
      <c r="B49" s="3" t="s">
        <v>10</v>
      </c>
      <c r="C49" s="3">
        <f t="shared" si="0"/>
        <v>0</v>
      </c>
      <c r="D49">
        <v>5</v>
      </c>
      <c r="E49" s="4">
        <v>42500</v>
      </c>
      <c r="F49">
        <v>0.37653142973691911</v>
      </c>
      <c r="G49">
        <v>77</v>
      </c>
      <c r="H49" t="e">
        <f t="shared" si="1"/>
        <v>#N/A</v>
      </c>
    </row>
    <row r="50" spans="1:8" x14ac:dyDescent="0.35">
      <c r="A50" s="1">
        <v>118</v>
      </c>
      <c r="B50" s="3" t="s">
        <v>11</v>
      </c>
      <c r="C50" s="3">
        <f t="shared" si="0"/>
        <v>1</v>
      </c>
      <c r="D50">
        <v>6</v>
      </c>
      <c r="E50" s="4">
        <v>35000</v>
      </c>
      <c r="F50">
        <v>0.3790489616084155</v>
      </c>
      <c r="G50">
        <v>78</v>
      </c>
      <c r="H50" t="e">
        <f t="shared" si="1"/>
        <v>#N/A</v>
      </c>
    </row>
    <row r="51" spans="1:8" x14ac:dyDescent="0.35">
      <c r="A51" s="1">
        <v>9</v>
      </c>
      <c r="B51" s="3" t="s">
        <v>11</v>
      </c>
      <c r="C51" s="3">
        <f t="shared" si="0"/>
        <v>1</v>
      </c>
      <c r="D51">
        <v>4</v>
      </c>
      <c r="E51" s="4">
        <v>34000</v>
      </c>
      <c r="F51">
        <v>0.39185009951725036</v>
      </c>
      <c r="G51">
        <v>79</v>
      </c>
      <c r="H51" t="e">
        <f t="shared" si="1"/>
        <v>#N/A</v>
      </c>
    </row>
    <row r="52" spans="1:8" x14ac:dyDescent="0.35">
      <c r="A52" s="1">
        <v>137</v>
      </c>
      <c r="B52" s="3" t="s">
        <v>10</v>
      </c>
      <c r="C52" s="3">
        <f t="shared" si="0"/>
        <v>0</v>
      </c>
      <c r="D52">
        <v>6</v>
      </c>
      <c r="E52" s="4">
        <v>42000</v>
      </c>
      <c r="F52">
        <v>0.39643866631313451</v>
      </c>
      <c r="G52">
        <v>80</v>
      </c>
      <c r="H52" t="e">
        <f t="shared" si="1"/>
        <v>#N/A</v>
      </c>
    </row>
    <row r="53" spans="1:8" x14ac:dyDescent="0.35">
      <c r="A53" s="1">
        <v>193</v>
      </c>
      <c r="B53" s="3" t="s">
        <v>10</v>
      </c>
      <c r="C53" s="3">
        <f t="shared" si="0"/>
        <v>0</v>
      </c>
      <c r="D53">
        <v>24</v>
      </c>
      <c r="E53" s="4">
        <v>57000</v>
      </c>
      <c r="F53">
        <v>0.39678222817057562</v>
      </c>
      <c r="G53">
        <v>81</v>
      </c>
      <c r="H53" t="e">
        <f t="shared" si="1"/>
        <v>#N/A</v>
      </c>
    </row>
    <row r="54" spans="1:8" x14ac:dyDescent="0.35">
      <c r="A54" s="1">
        <v>191</v>
      </c>
      <c r="B54" s="3" t="s">
        <v>11</v>
      </c>
      <c r="C54" s="3">
        <f t="shared" si="0"/>
        <v>1</v>
      </c>
      <c r="D54">
        <v>9</v>
      </c>
      <c r="E54" s="4">
        <v>58500</v>
      </c>
      <c r="F54">
        <v>0.39894830540808945</v>
      </c>
      <c r="G54">
        <v>82</v>
      </c>
      <c r="H54" t="e">
        <f t="shared" si="1"/>
        <v>#N/A</v>
      </c>
    </row>
    <row r="55" spans="1:8" x14ac:dyDescent="0.35">
      <c r="A55" s="1">
        <v>70</v>
      </c>
      <c r="B55" s="3" t="s">
        <v>10</v>
      </c>
      <c r="C55" s="3">
        <f t="shared" si="0"/>
        <v>0</v>
      </c>
      <c r="D55">
        <v>3</v>
      </c>
      <c r="E55" s="4">
        <v>33500</v>
      </c>
      <c r="F55">
        <v>0.40616978749941757</v>
      </c>
      <c r="G55">
        <v>83</v>
      </c>
      <c r="H55" t="e">
        <f t="shared" si="1"/>
        <v>#N/A</v>
      </c>
    </row>
    <row r="56" spans="1:8" x14ac:dyDescent="0.35">
      <c r="A56" s="1">
        <v>183</v>
      </c>
      <c r="B56" s="3" t="s">
        <v>10</v>
      </c>
      <c r="C56" s="3">
        <f t="shared" si="0"/>
        <v>0</v>
      </c>
      <c r="D56">
        <v>6</v>
      </c>
      <c r="E56" s="4">
        <v>47500</v>
      </c>
      <c r="F56">
        <v>0.41266234338525698</v>
      </c>
      <c r="G56">
        <v>84</v>
      </c>
      <c r="H56" t="e">
        <f t="shared" si="1"/>
        <v>#N/A</v>
      </c>
    </row>
    <row r="57" spans="1:8" x14ac:dyDescent="0.35">
      <c r="A57" s="1">
        <v>115</v>
      </c>
      <c r="B57" s="3" t="s">
        <v>11</v>
      </c>
      <c r="C57" s="3">
        <f t="shared" si="0"/>
        <v>1</v>
      </c>
      <c r="D57">
        <v>5</v>
      </c>
      <c r="E57" s="4">
        <v>34900</v>
      </c>
      <c r="F57">
        <v>0.42038325648778485</v>
      </c>
      <c r="G57">
        <v>85</v>
      </c>
      <c r="H57" t="e">
        <f t="shared" si="1"/>
        <v>#N/A</v>
      </c>
    </row>
    <row r="58" spans="1:8" x14ac:dyDescent="0.35">
      <c r="A58" s="1">
        <v>59</v>
      </c>
      <c r="B58" s="3" t="s">
        <v>11</v>
      </c>
      <c r="C58" s="3">
        <f t="shared" si="0"/>
        <v>1</v>
      </c>
      <c r="D58">
        <v>9</v>
      </c>
      <c r="E58" s="4">
        <v>29600</v>
      </c>
      <c r="F58">
        <v>0.42491158543761931</v>
      </c>
      <c r="G58">
        <v>86</v>
      </c>
      <c r="H58" t="e">
        <f t="shared" si="1"/>
        <v>#N/A</v>
      </c>
    </row>
    <row r="59" spans="1:8" x14ac:dyDescent="0.35">
      <c r="A59" s="1">
        <v>50</v>
      </c>
      <c r="B59" s="3" t="s">
        <v>11</v>
      </c>
      <c r="C59" s="3">
        <f t="shared" si="0"/>
        <v>1</v>
      </c>
      <c r="D59">
        <v>2</v>
      </c>
      <c r="E59" s="4">
        <v>30450</v>
      </c>
      <c r="F59">
        <v>0.42731926742941917</v>
      </c>
      <c r="G59">
        <v>87</v>
      </c>
      <c r="H59" t="e">
        <f t="shared" si="1"/>
        <v>#N/A</v>
      </c>
    </row>
    <row r="60" spans="1:8" x14ac:dyDescent="0.35">
      <c r="A60" s="1">
        <v>51</v>
      </c>
      <c r="B60" s="3" t="s">
        <v>10</v>
      </c>
      <c r="C60" s="3">
        <f t="shared" si="0"/>
        <v>0</v>
      </c>
      <c r="D60">
        <v>3</v>
      </c>
      <c r="E60" s="4">
        <v>35500</v>
      </c>
      <c r="F60">
        <v>0.42828416680742376</v>
      </c>
      <c r="G60">
        <v>88</v>
      </c>
      <c r="H60" t="e">
        <f t="shared" si="1"/>
        <v>#N/A</v>
      </c>
    </row>
    <row r="61" spans="1:8" x14ac:dyDescent="0.35">
      <c r="A61" s="1">
        <v>139</v>
      </c>
      <c r="B61" s="3" t="s">
        <v>10</v>
      </c>
      <c r="C61" s="3">
        <f t="shared" si="0"/>
        <v>0</v>
      </c>
      <c r="D61">
        <v>6</v>
      </c>
      <c r="E61" s="4">
        <v>44000</v>
      </c>
      <c r="F61">
        <v>0.43067969836607833</v>
      </c>
      <c r="G61">
        <v>89</v>
      </c>
      <c r="H61" t="e">
        <f t="shared" si="1"/>
        <v>#N/A</v>
      </c>
    </row>
    <row r="62" spans="1:8" x14ac:dyDescent="0.35">
      <c r="A62" s="1">
        <v>80</v>
      </c>
      <c r="B62" s="3" t="s">
        <v>11</v>
      </c>
      <c r="C62" s="3">
        <f t="shared" si="0"/>
        <v>1</v>
      </c>
      <c r="D62">
        <v>8</v>
      </c>
      <c r="E62" s="4">
        <v>34000</v>
      </c>
      <c r="F62">
        <v>0.43291080329059373</v>
      </c>
      <c r="G62">
        <v>90</v>
      </c>
      <c r="H62" t="e">
        <f t="shared" si="1"/>
        <v>#N/A</v>
      </c>
    </row>
    <row r="63" spans="1:8" x14ac:dyDescent="0.35">
      <c r="A63" s="1">
        <v>117</v>
      </c>
      <c r="B63" s="3" t="s">
        <v>11</v>
      </c>
      <c r="C63" s="3">
        <f t="shared" si="0"/>
        <v>1</v>
      </c>
      <c r="D63">
        <v>5</v>
      </c>
      <c r="E63" s="4">
        <v>38000</v>
      </c>
      <c r="F63">
        <v>0.43863021364642529</v>
      </c>
      <c r="G63">
        <v>91</v>
      </c>
      <c r="H63" t="e">
        <f t="shared" si="1"/>
        <v>#N/A</v>
      </c>
    </row>
    <row r="64" spans="1:8" x14ac:dyDescent="0.35">
      <c r="A64" s="1">
        <v>11</v>
      </c>
      <c r="B64" s="3" t="s">
        <v>11</v>
      </c>
      <c r="C64" s="3">
        <f t="shared" si="0"/>
        <v>1</v>
      </c>
      <c r="D64">
        <v>9</v>
      </c>
      <c r="E64" s="4">
        <v>26800</v>
      </c>
      <c r="F64">
        <v>0.4388220912714802</v>
      </c>
      <c r="G64">
        <v>92</v>
      </c>
      <c r="H64" t="e">
        <f t="shared" si="1"/>
        <v>#N/A</v>
      </c>
    </row>
    <row r="65" spans="1:8" x14ac:dyDescent="0.35">
      <c r="A65" s="1">
        <v>47</v>
      </c>
      <c r="B65" s="3" t="s">
        <v>11</v>
      </c>
      <c r="C65" s="3">
        <f t="shared" si="0"/>
        <v>1</v>
      </c>
      <c r="D65">
        <v>10</v>
      </c>
      <c r="E65" s="4">
        <v>29900</v>
      </c>
      <c r="F65">
        <v>0.44032177616056545</v>
      </c>
      <c r="G65">
        <v>93</v>
      </c>
      <c r="H65" t="e">
        <f t="shared" si="1"/>
        <v>#N/A</v>
      </c>
    </row>
    <row r="66" spans="1:8" x14ac:dyDescent="0.35">
      <c r="A66" s="1">
        <v>181</v>
      </c>
      <c r="B66" s="3" t="s">
        <v>11</v>
      </c>
      <c r="C66" s="3">
        <f t="shared" si="0"/>
        <v>1</v>
      </c>
      <c r="D66">
        <v>8</v>
      </c>
      <c r="E66" s="4">
        <v>45000</v>
      </c>
      <c r="F66">
        <v>0.45372268310623931</v>
      </c>
      <c r="G66">
        <v>94</v>
      </c>
      <c r="H66" t="e">
        <f t="shared" si="1"/>
        <v>#N/A</v>
      </c>
    </row>
    <row r="67" spans="1:8" x14ac:dyDescent="0.35">
      <c r="A67" s="1">
        <v>146</v>
      </c>
      <c r="B67" s="3" t="s">
        <v>10</v>
      </c>
      <c r="C67" s="3">
        <f t="shared" ref="C67:C122" si="5">IF(B67="Female",1,0)</f>
        <v>0</v>
      </c>
      <c r="D67">
        <v>5</v>
      </c>
      <c r="E67" s="4">
        <v>44500</v>
      </c>
      <c r="F67">
        <v>0.45920534697733972</v>
      </c>
      <c r="G67">
        <v>95</v>
      </c>
      <c r="H67" t="e">
        <f t="shared" ref="H67:H122" si="6">VLOOKUP(G67,$K$4:$L$9,2,TRUE)</f>
        <v>#N/A</v>
      </c>
    </row>
    <row r="68" spans="1:8" x14ac:dyDescent="0.35">
      <c r="A68" s="1">
        <v>71</v>
      </c>
      <c r="B68" s="3" t="s">
        <v>11</v>
      </c>
      <c r="C68" s="3">
        <f t="shared" si="5"/>
        <v>1</v>
      </c>
      <c r="D68">
        <v>5</v>
      </c>
      <c r="E68" s="4">
        <v>32000</v>
      </c>
      <c r="F68">
        <v>0.45966641075221526</v>
      </c>
      <c r="G68">
        <v>96</v>
      </c>
      <c r="H68" t="e">
        <f t="shared" si="6"/>
        <v>#N/A</v>
      </c>
    </row>
    <row r="69" spans="1:8" x14ac:dyDescent="0.35">
      <c r="A69" s="1">
        <v>120</v>
      </c>
      <c r="B69" s="3" t="s">
        <v>10</v>
      </c>
      <c r="C69" s="3">
        <f t="shared" si="5"/>
        <v>0</v>
      </c>
      <c r="D69">
        <v>5</v>
      </c>
      <c r="E69" s="4">
        <v>36000</v>
      </c>
      <c r="F69">
        <v>0.46176028588703455</v>
      </c>
      <c r="G69">
        <v>97</v>
      </c>
      <c r="H69" t="e">
        <f t="shared" si="6"/>
        <v>#N/A</v>
      </c>
    </row>
    <row r="70" spans="1:8" x14ac:dyDescent="0.35">
      <c r="A70" s="1">
        <v>42</v>
      </c>
      <c r="B70" s="3" t="s">
        <v>11</v>
      </c>
      <c r="C70" s="3">
        <f t="shared" si="5"/>
        <v>1</v>
      </c>
      <c r="D70">
        <v>15</v>
      </c>
      <c r="E70" s="4">
        <v>43600</v>
      </c>
      <c r="F70">
        <v>0.46264098197081338</v>
      </c>
      <c r="G70">
        <v>98</v>
      </c>
      <c r="H70" t="e">
        <f t="shared" si="6"/>
        <v>#N/A</v>
      </c>
    </row>
    <row r="71" spans="1:8" x14ac:dyDescent="0.35">
      <c r="A71" s="1">
        <v>187</v>
      </c>
      <c r="B71" s="3" t="s">
        <v>11</v>
      </c>
      <c r="C71" s="3">
        <f t="shared" si="5"/>
        <v>1</v>
      </c>
      <c r="D71">
        <v>9</v>
      </c>
      <c r="E71" s="4">
        <v>50000</v>
      </c>
      <c r="F71">
        <v>0.46485413460229374</v>
      </c>
      <c r="G71">
        <v>99</v>
      </c>
      <c r="H71" t="e">
        <f t="shared" si="6"/>
        <v>#N/A</v>
      </c>
    </row>
    <row r="72" spans="1:8" x14ac:dyDescent="0.35">
      <c r="A72" s="1">
        <v>199</v>
      </c>
      <c r="B72" s="3" t="s">
        <v>10</v>
      </c>
      <c r="C72" s="3">
        <f t="shared" si="5"/>
        <v>0</v>
      </c>
      <c r="D72">
        <v>20</v>
      </c>
      <c r="E72" s="4">
        <v>65000</v>
      </c>
      <c r="F72">
        <v>0.46740643151126515</v>
      </c>
      <c r="G72">
        <v>100</v>
      </c>
      <c r="H72" t="e">
        <f t="shared" si="6"/>
        <v>#N/A</v>
      </c>
    </row>
    <row r="73" spans="1:8" x14ac:dyDescent="0.35">
      <c r="A73" s="1">
        <v>24</v>
      </c>
      <c r="B73" s="3" t="s">
        <v>10</v>
      </c>
      <c r="C73" s="3">
        <f t="shared" si="5"/>
        <v>0</v>
      </c>
      <c r="D73">
        <v>3</v>
      </c>
      <c r="E73" s="4">
        <v>26700</v>
      </c>
      <c r="F73">
        <v>0.46753487894385937</v>
      </c>
      <c r="G73">
        <v>101</v>
      </c>
      <c r="H73" t="e">
        <f t="shared" si="6"/>
        <v>#N/A</v>
      </c>
    </row>
    <row r="74" spans="1:8" x14ac:dyDescent="0.35">
      <c r="A74" s="1">
        <v>15</v>
      </c>
      <c r="B74" s="3" t="s">
        <v>11</v>
      </c>
      <c r="C74" s="3">
        <f t="shared" si="5"/>
        <v>1</v>
      </c>
      <c r="D74">
        <v>4</v>
      </c>
      <c r="E74" s="4">
        <v>30000</v>
      </c>
      <c r="F74">
        <v>0.46932977227133643</v>
      </c>
      <c r="G74">
        <v>102</v>
      </c>
      <c r="H74" t="e">
        <f t="shared" si="6"/>
        <v>#N/A</v>
      </c>
    </row>
    <row r="75" spans="1:8" x14ac:dyDescent="0.35">
      <c r="A75" s="1">
        <v>160</v>
      </c>
      <c r="B75" s="3" t="s">
        <v>10</v>
      </c>
      <c r="C75" s="3">
        <f t="shared" si="5"/>
        <v>0</v>
      </c>
      <c r="D75">
        <v>23</v>
      </c>
      <c r="E75" s="4">
        <v>45500</v>
      </c>
      <c r="F75">
        <v>0.47329783657597235</v>
      </c>
      <c r="G75">
        <v>103</v>
      </c>
      <c r="H75" t="e">
        <f t="shared" si="6"/>
        <v>#N/A</v>
      </c>
    </row>
    <row r="76" spans="1:8" x14ac:dyDescent="0.35">
      <c r="A76" s="1">
        <v>145</v>
      </c>
      <c r="B76" s="3" t="s">
        <v>11</v>
      </c>
      <c r="C76" s="3">
        <f t="shared" si="5"/>
        <v>1</v>
      </c>
      <c r="D76">
        <v>5</v>
      </c>
      <c r="E76" s="4">
        <v>39020</v>
      </c>
      <c r="F76">
        <v>0.47665463286320886</v>
      </c>
      <c r="G76">
        <v>104</v>
      </c>
      <c r="H76" t="e">
        <f t="shared" si="6"/>
        <v>#N/A</v>
      </c>
    </row>
    <row r="77" spans="1:8" x14ac:dyDescent="0.35">
      <c r="A77" s="1">
        <v>143</v>
      </c>
      <c r="B77" s="3" t="s">
        <v>11</v>
      </c>
      <c r="C77" s="3">
        <f t="shared" si="5"/>
        <v>1</v>
      </c>
      <c r="D77">
        <v>7</v>
      </c>
      <c r="E77" s="4">
        <v>43900</v>
      </c>
      <c r="F77">
        <v>0.48319559351594854</v>
      </c>
      <c r="G77">
        <v>105</v>
      </c>
      <c r="H77" t="e">
        <f t="shared" si="6"/>
        <v>#N/A</v>
      </c>
    </row>
    <row r="78" spans="1:8" x14ac:dyDescent="0.35">
      <c r="A78" s="1">
        <v>45</v>
      </c>
      <c r="B78" s="3" t="s">
        <v>11</v>
      </c>
      <c r="C78" s="3">
        <f t="shared" si="5"/>
        <v>1</v>
      </c>
      <c r="D78">
        <v>18</v>
      </c>
      <c r="E78" s="4">
        <v>45300</v>
      </c>
      <c r="F78">
        <v>0.49801535592704316</v>
      </c>
      <c r="G78">
        <v>106</v>
      </c>
      <c r="H78" t="e">
        <f t="shared" si="6"/>
        <v>#N/A</v>
      </c>
    </row>
    <row r="79" spans="1:8" x14ac:dyDescent="0.35">
      <c r="A79" s="1">
        <v>75</v>
      </c>
      <c r="B79" s="3" t="s">
        <v>11</v>
      </c>
      <c r="C79" s="3">
        <f t="shared" si="5"/>
        <v>1</v>
      </c>
      <c r="D79">
        <v>16</v>
      </c>
      <c r="E79" s="4">
        <v>32500</v>
      </c>
      <c r="F79">
        <v>0.49886739800728308</v>
      </c>
      <c r="G79">
        <v>107</v>
      </c>
      <c r="H79" t="e">
        <f t="shared" si="6"/>
        <v>#N/A</v>
      </c>
    </row>
    <row r="80" spans="1:8" x14ac:dyDescent="0.35">
      <c r="A80" s="1">
        <v>67</v>
      </c>
      <c r="B80" s="3" t="s">
        <v>11</v>
      </c>
      <c r="C80" s="3">
        <f t="shared" si="5"/>
        <v>1</v>
      </c>
      <c r="D80">
        <v>11</v>
      </c>
      <c r="E80" s="4">
        <v>31500</v>
      </c>
      <c r="F80">
        <v>0.50675868483996289</v>
      </c>
      <c r="G80">
        <v>108</v>
      </c>
      <c r="H80" t="e">
        <f t="shared" si="6"/>
        <v>#N/A</v>
      </c>
    </row>
    <row r="81" spans="1:8" x14ac:dyDescent="0.35">
      <c r="A81" s="1">
        <v>21</v>
      </c>
      <c r="B81" s="3" t="s">
        <v>11</v>
      </c>
      <c r="C81" s="3">
        <f t="shared" si="5"/>
        <v>1</v>
      </c>
      <c r="D81">
        <v>4</v>
      </c>
      <c r="E81" s="4">
        <v>29500</v>
      </c>
      <c r="F81">
        <v>0.50768719219645564</v>
      </c>
      <c r="G81">
        <v>109</v>
      </c>
      <c r="H81" t="e">
        <f t="shared" si="6"/>
        <v>#N/A</v>
      </c>
    </row>
    <row r="82" spans="1:8" x14ac:dyDescent="0.35">
      <c r="A82" s="1">
        <v>94</v>
      </c>
      <c r="B82" s="3" t="s">
        <v>11</v>
      </c>
      <c r="C82" s="3">
        <f t="shared" si="5"/>
        <v>1</v>
      </c>
      <c r="D82">
        <v>12</v>
      </c>
      <c r="E82" s="4">
        <v>30500</v>
      </c>
      <c r="F82">
        <v>0.51250015219527811</v>
      </c>
      <c r="G82">
        <v>110</v>
      </c>
      <c r="H82" t="e">
        <f t="shared" si="6"/>
        <v>#N/A</v>
      </c>
    </row>
    <row r="83" spans="1:8" x14ac:dyDescent="0.35">
      <c r="A83" s="1">
        <v>85</v>
      </c>
      <c r="B83" s="3" t="s">
        <v>10</v>
      </c>
      <c r="C83" s="3">
        <f t="shared" si="5"/>
        <v>0</v>
      </c>
      <c r="D83">
        <v>3</v>
      </c>
      <c r="E83" s="4">
        <v>39000</v>
      </c>
      <c r="F83">
        <v>0.51528385596145476</v>
      </c>
      <c r="G83">
        <v>111</v>
      </c>
      <c r="H83" t="e">
        <f t="shared" si="6"/>
        <v>#N/A</v>
      </c>
    </row>
    <row r="84" spans="1:8" x14ac:dyDescent="0.35">
      <c r="A84" s="1">
        <v>20</v>
      </c>
      <c r="B84" s="3" t="s">
        <v>11</v>
      </c>
      <c r="C84" s="3">
        <f t="shared" si="5"/>
        <v>1</v>
      </c>
      <c r="D84">
        <v>4</v>
      </c>
      <c r="E84" s="4">
        <v>29600</v>
      </c>
      <c r="F84">
        <v>0.52328397656549008</v>
      </c>
      <c r="G84">
        <v>112</v>
      </c>
      <c r="H84" t="e">
        <f t="shared" si="6"/>
        <v>#N/A</v>
      </c>
    </row>
    <row r="85" spans="1:8" x14ac:dyDescent="0.35">
      <c r="A85" s="1">
        <v>72</v>
      </c>
      <c r="B85" s="3" t="s">
        <v>11</v>
      </c>
      <c r="C85" s="3">
        <f t="shared" si="5"/>
        <v>1</v>
      </c>
      <c r="D85">
        <v>9</v>
      </c>
      <c r="E85" s="4">
        <v>30800</v>
      </c>
      <c r="F85">
        <v>0.53170550315882514</v>
      </c>
      <c r="G85">
        <v>113</v>
      </c>
      <c r="H85" t="e">
        <f t="shared" si="6"/>
        <v>#N/A</v>
      </c>
    </row>
    <row r="86" spans="1:8" x14ac:dyDescent="0.35">
      <c r="A86" s="1">
        <v>57</v>
      </c>
      <c r="B86" s="3" t="s">
        <v>11</v>
      </c>
      <c r="C86" s="3">
        <f t="shared" si="5"/>
        <v>1</v>
      </c>
      <c r="D86">
        <v>16</v>
      </c>
      <c r="E86" s="4">
        <v>33500</v>
      </c>
      <c r="F86">
        <v>0.53387645448575838</v>
      </c>
      <c r="G86">
        <v>114</v>
      </c>
      <c r="H86" t="e">
        <f t="shared" si="6"/>
        <v>#N/A</v>
      </c>
    </row>
    <row r="87" spans="1:8" x14ac:dyDescent="0.35">
      <c r="A87" s="1">
        <v>103</v>
      </c>
      <c r="B87" s="3" t="s">
        <v>11</v>
      </c>
      <c r="C87" s="3">
        <f t="shared" si="5"/>
        <v>1</v>
      </c>
      <c r="D87">
        <v>4</v>
      </c>
      <c r="E87" s="4">
        <v>43200</v>
      </c>
      <c r="F87">
        <v>0.53753689623597534</v>
      </c>
      <c r="G87">
        <v>115</v>
      </c>
      <c r="H87" t="e">
        <f t="shared" si="6"/>
        <v>#N/A</v>
      </c>
    </row>
    <row r="88" spans="1:8" x14ac:dyDescent="0.35">
      <c r="A88" s="1">
        <v>90</v>
      </c>
      <c r="B88" s="3" t="s">
        <v>11</v>
      </c>
      <c r="C88" s="3">
        <f t="shared" si="5"/>
        <v>1</v>
      </c>
      <c r="D88">
        <v>3</v>
      </c>
      <c r="E88" s="4">
        <v>36400</v>
      </c>
      <c r="F88">
        <v>0.54299972965499255</v>
      </c>
      <c r="G88">
        <v>116</v>
      </c>
      <c r="H88" t="e">
        <f t="shared" si="6"/>
        <v>#N/A</v>
      </c>
    </row>
    <row r="89" spans="1:8" x14ac:dyDescent="0.35">
      <c r="A89" s="1">
        <v>128</v>
      </c>
      <c r="B89" s="3" t="s">
        <v>11</v>
      </c>
      <c r="C89" s="3">
        <f t="shared" si="5"/>
        <v>1</v>
      </c>
      <c r="D89">
        <v>3</v>
      </c>
      <c r="E89" s="4">
        <v>32600</v>
      </c>
      <c r="F89">
        <v>0.54539979103174652</v>
      </c>
      <c r="G89">
        <v>117</v>
      </c>
      <c r="H89" t="e">
        <f t="shared" si="6"/>
        <v>#N/A</v>
      </c>
    </row>
    <row r="90" spans="1:8" x14ac:dyDescent="0.35">
      <c r="A90" s="1">
        <v>167</v>
      </c>
      <c r="B90" s="3" t="s">
        <v>11</v>
      </c>
      <c r="C90" s="3">
        <f t="shared" si="5"/>
        <v>1</v>
      </c>
      <c r="D90">
        <v>12</v>
      </c>
      <c r="E90" s="4">
        <v>48000</v>
      </c>
      <c r="F90">
        <v>0.5485448513740202</v>
      </c>
      <c r="G90">
        <v>118</v>
      </c>
      <c r="H90" t="e">
        <f t="shared" si="6"/>
        <v>#N/A</v>
      </c>
    </row>
    <row r="91" spans="1:8" x14ac:dyDescent="0.35">
      <c r="A91" s="1">
        <v>163</v>
      </c>
      <c r="B91" s="3" t="s">
        <v>11</v>
      </c>
      <c r="C91" s="3">
        <f t="shared" si="5"/>
        <v>1</v>
      </c>
      <c r="D91">
        <v>19</v>
      </c>
      <c r="E91" s="4">
        <v>54300</v>
      </c>
      <c r="F91">
        <v>0.55496791431786541</v>
      </c>
      <c r="G91">
        <v>119</v>
      </c>
      <c r="H91" t="e">
        <f t="shared" si="6"/>
        <v>#N/A</v>
      </c>
    </row>
    <row r="92" spans="1:8" x14ac:dyDescent="0.35">
      <c r="A92" s="1">
        <v>127</v>
      </c>
      <c r="B92" s="3" t="s">
        <v>11</v>
      </c>
      <c r="C92" s="3">
        <f t="shared" si="5"/>
        <v>1</v>
      </c>
      <c r="D92">
        <v>12</v>
      </c>
      <c r="E92" s="4">
        <v>37000</v>
      </c>
      <c r="F92">
        <v>0.55795944452188384</v>
      </c>
      <c r="G92">
        <v>120</v>
      </c>
      <c r="H92" t="e">
        <f t="shared" si="6"/>
        <v>#N/A</v>
      </c>
    </row>
    <row r="93" spans="1:8" x14ac:dyDescent="0.35">
      <c r="A93" s="1">
        <v>150</v>
      </c>
      <c r="B93" s="3" t="s">
        <v>11</v>
      </c>
      <c r="C93" s="3">
        <f t="shared" si="5"/>
        <v>1</v>
      </c>
      <c r="D93">
        <v>5</v>
      </c>
      <c r="E93" s="4">
        <v>42500</v>
      </c>
      <c r="F93">
        <v>0.56287543649005878</v>
      </c>
      <c r="G93">
        <v>121</v>
      </c>
      <c r="H93" t="e">
        <f t="shared" si="6"/>
        <v>#N/A</v>
      </c>
    </row>
    <row r="94" spans="1:8" x14ac:dyDescent="0.35">
      <c r="A94" s="1">
        <v>17</v>
      </c>
      <c r="B94" s="3" t="s">
        <v>11</v>
      </c>
      <c r="C94" s="3">
        <f t="shared" si="5"/>
        <v>1</v>
      </c>
      <c r="D94">
        <v>6</v>
      </c>
      <c r="E94" s="4">
        <v>27000</v>
      </c>
      <c r="F94">
        <v>0.56760577399609391</v>
      </c>
      <c r="G94">
        <v>122</v>
      </c>
      <c r="H94" t="e">
        <f t="shared" si="6"/>
        <v>#N/A</v>
      </c>
    </row>
    <row r="95" spans="1:8" x14ac:dyDescent="0.35">
      <c r="A95" s="1">
        <v>112</v>
      </c>
      <c r="B95" s="3" t="s">
        <v>11</v>
      </c>
      <c r="C95" s="3">
        <f t="shared" si="5"/>
        <v>1</v>
      </c>
      <c r="D95">
        <v>11</v>
      </c>
      <c r="E95" s="4">
        <v>41300</v>
      </c>
      <c r="F95">
        <v>0.57190616157962759</v>
      </c>
      <c r="G95">
        <v>123</v>
      </c>
      <c r="H95" t="e">
        <f t="shared" si="6"/>
        <v>#N/A</v>
      </c>
    </row>
    <row r="96" spans="1:8" x14ac:dyDescent="0.35">
      <c r="A96" s="1">
        <v>151</v>
      </c>
      <c r="B96" s="3" t="s">
        <v>11</v>
      </c>
      <c r="C96" s="3">
        <f t="shared" si="5"/>
        <v>1</v>
      </c>
      <c r="D96">
        <v>7</v>
      </c>
      <c r="E96" s="4">
        <v>40260</v>
      </c>
      <c r="F96">
        <v>0.57691114487926198</v>
      </c>
      <c r="G96">
        <v>124</v>
      </c>
      <c r="H96" t="e">
        <f t="shared" si="6"/>
        <v>#N/A</v>
      </c>
    </row>
    <row r="97" spans="1:8" x14ac:dyDescent="0.35">
      <c r="A97" s="1">
        <v>176</v>
      </c>
      <c r="B97" s="3" t="s">
        <v>10</v>
      </c>
      <c r="C97" s="3">
        <f t="shared" si="5"/>
        <v>0</v>
      </c>
      <c r="D97">
        <v>8</v>
      </c>
      <c r="E97" s="4">
        <v>47000</v>
      </c>
      <c r="F97">
        <v>0.57881450060586892</v>
      </c>
      <c r="G97">
        <v>125</v>
      </c>
      <c r="H97" t="e">
        <f t="shared" si="6"/>
        <v>#N/A</v>
      </c>
    </row>
    <row r="98" spans="1:8" x14ac:dyDescent="0.35">
      <c r="A98" s="1">
        <v>55</v>
      </c>
      <c r="B98" s="3" t="s">
        <v>11</v>
      </c>
      <c r="C98" s="3">
        <f t="shared" si="5"/>
        <v>1</v>
      </c>
      <c r="D98">
        <v>15</v>
      </c>
      <c r="E98" s="4">
        <v>29200</v>
      </c>
      <c r="F98">
        <v>0.58049158055574435</v>
      </c>
      <c r="G98">
        <v>126</v>
      </c>
      <c r="H98" t="e">
        <f t="shared" si="6"/>
        <v>#N/A</v>
      </c>
    </row>
    <row r="99" spans="1:8" x14ac:dyDescent="0.35">
      <c r="A99" s="1">
        <v>81</v>
      </c>
      <c r="B99" s="3" t="s">
        <v>11</v>
      </c>
      <c r="C99" s="3">
        <f t="shared" si="5"/>
        <v>1</v>
      </c>
      <c r="D99">
        <v>6</v>
      </c>
      <c r="E99" s="4">
        <v>33000</v>
      </c>
      <c r="F99">
        <v>0.58219046550578768</v>
      </c>
      <c r="G99">
        <v>127</v>
      </c>
      <c r="H99" t="e">
        <f t="shared" si="6"/>
        <v>#N/A</v>
      </c>
    </row>
    <row r="100" spans="1:8" x14ac:dyDescent="0.35">
      <c r="A100" s="1">
        <v>65</v>
      </c>
      <c r="B100" s="3" t="s">
        <v>11</v>
      </c>
      <c r="C100" s="3">
        <f t="shared" si="5"/>
        <v>1</v>
      </c>
      <c r="D100">
        <v>4</v>
      </c>
      <c r="E100" s="4">
        <v>37300</v>
      </c>
      <c r="F100">
        <v>0.58334329758963621</v>
      </c>
      <c r="G100">
        <v>128</v>
      </c>
      <c r="H100" t="e">
        <f t="shared" si="6"/>
        <v>#N/A</v>
      </c>
    </row>
    <row r="101" spans="1:8" x14ac:dyDescent="0.35">
      <c r="A101" s="1">
        <v>149</v>
      </c>
      <c r="B101" s="3" t="s">
        <v>10</v>
      </c>
      <c r="C101" s="3">
        <f t="shared" si="5"/>
        <v>0</v>
      </c>
      <c r="D101">
        <v>6</v>
      </c>
      <c r="E101" s="4">
        <v>44000</v>
      </c>
      <c r="F101">
        <v>0.58617093600083736</v>
      </c>
      <c r="G101">
        <v>129</v>
      </c>
      <c r="H101" t="e">
        <f t="shared" si="6"/>
        <v>#N/A</v>
      </c>
    </row>
    <row r="102" spans="1:8" x14ac:dyDescent="0.35">
      <c r="A102" s="1">
        <v>53</v>
      </c>
      <c r="B102" s="3" t="s">
        <v>11</v>
      </c>
      <c r="C102" s="3">
        <f t="shared" si="5"/>
        <v>1</v>
      </c>
      <c r="D102">
        <v>7</v>
      </c>
      <c r="E102" s="4">
        <v>29100</v>
      </c>
      <c r="F102">
        <v>0.58660149374423198</v>
      </c>
      <c r="G102">
        <v>130</v>
      </c>
      <c r="H102" t="e">
        <f t="shared" si="6"/>
        <v>#N/A</v>
      </c>
    </row>
    <row r="103" spans="1:8" x14ac:dyDescent="0.35">
      <c r="A103" s="1">
        <v>208</v>
      </c>
      <c r="B103" s="3" t="s">
        <v>11</v>
      </c>
      <c r="C103" s="3">
        <f t="shared" si="5"/>
        <v>1</v>
      </c>
      <c r="D103">
        <v>33</v>
      </c>
      <c r="E103" s="4">
        <v>30000</v>
      </c>
      <c r="F103">
        <v>0.59368762927552599</v>
      </c>
      <c r="G103">
        <v>131</v>
      </c>
      <c r="H103" t="e">
        <f t="shared" si="6"/>
        <v>#N/A</v>
      </c>
    </row>
    <row r="104" spans="1:8" x14ac:dyDescent="0.35">
      <c r="A104" s="1">
        <v>29</v>
      </c>
      <c r="B104" s="3" t="s">
        <v>11</v>
      </c>
      <c r="C104" s="3">
        <f t="shared" si="5"/>
        <v>1</v>
      </c>
      <c r="D104">
        <v>12</v>
      </c>
      <c r="E104" s="4">
        <v>34000</v>
      </c>
      <c r="F104">
        <v>0.59454010139713143</v>
      </c>
      <c r="G104">
        <v>132</v>
      </c>
      <c r="H104" t="e">
        <f t="shared" si="6"/>
        <v>#N/A</v>
      </c>
    </row>
    <row r="105" spans="1:8" x14ac:dyDescent="0.35">
      <c r="A105" s="1">
        <v>185</v>
      </c>
      <c r="B105" s="3" t="s">
        <v>10</v>
      </c>
      <c r="C105" s="3">
        <f t="shared" si="5"/>
        <v>0</v>
      </c>
      <c r="D105">
        <v>8</v>
      </c>
      <c r="E105" s="4">
        <v>46500</v>
      </c>
      <c r="F105">
        <v>0.5993051650435558</v>
      </c>
      <c r="G105">
        <v>133</v>
      </c>
      <c r="H105" t="e">
        <f t="shared" si="6"/>
        <v>#N/A</v>
      </c>
    </row>
    <row r="106" spans="1:8" x14ac:dyDescent="0.35">
      <c r="A106" s="1">
        <v>129</v>
      </c>
      <c r="B106" s="3" t="s">
        <v>11</v>
      </c>
      <c r="C106" s="3">
        <f t="shared" si="5"/>
        <v>1</v>
      </c>
      <c r="D106">
        <v>4</v>
      </c>
      <c r="E106" s="4">
        <v>36000</v>
      </c>
      <c r="F106">
        <v>0.60605599512700836</v>
      </c>
      <c r="G106">
        <v>134</v>
      </c>
      <c r="H106" t="e">
        <f t="shared" si="6"/>
        <v>#N/A</v>
      </c>
    </row>
    <row r="107" spans="1:8" x14ac:dyDescent="0.35">
      <c r="A107" s="1">
        <v>92</v>
      </c>
      <c r="B107" s="3" t="s">
        <v>11</v>
      </c>
      <c r="C107" s="3">
        <f t="shared" si="5"/>
        <v>1</v>
      </c>
      <c r="D107">
        <v>15</v>
      </c>
      <c r="E107" s="4">
        <v>35300</v>
      </c>
      <c r="F107">
        <v>0.61510607132725492</v>
      </c>
      <c r="G107">
        <v>135</v>
      </c>
      <c r="H107" t="e">
        <f t="shared" si="6"/>
        <v>#N/A</v>
      </c>
    </row>
    <row r="108" spans="1:8" x14ac:dyDescent="0.35">
      <c r="A108" s="1">
        <v>136</v>
      </c>
      <c r="B108" s="3" t="s">
        <v>11</v>
      </c>
      <c r="C108" s="3">
        <f t="shared" si="5"/>
        <v>1</v>
      </c>
      <c r="D108">
        <v>25</v>
      </c>
      <c r="E108" s="4">
        <v>43500</v>
      </c>
      <c r="F108">
        <v>0.62071489483207065</v>
      </c>
      <c r="G108">
        <v>136</v>
      </c>
      <c r="H108" t="e">
        <f t="shared" si="6"/>
        <v>#N/A</v>
      </c>
    </row>
    <row r="109" spans="1:8" x14ac:dyDescent="0.35">
      <c r="A109" s="1">
        <v>114</v>
      </c>
      <c r="B109" s="3" t="s">
        <v>11</v>
      </c>
      <c r="C109" s="3">
        <f t="shared" si="5"/>
        <v>1</v>
      </c>
      <c r="D109">
        <v>4</v>
      </c>
      <c r="E109" s="4">
        <v>45800</v>
      </c>
      <c r="F109">
        <v>0.62732865311404817</v>
      </c>
      <c r="G109">
        <v>137</v>
      </c>
      <c r="H109" t="e">
        <f t="shared" si="6"/>
        <v>#N/A</v>
      </c>
    </row>
    <row r="110" spans="1:8" x14ac:dyDescent="0.35">
      <c r="A110" s="1">
        <v>207</v>
      </c>
      <c r="B110" s="3" t="s">
        <v>10</v>
      </c>
      <c r="C110" s="3">
        <f t="shared" si="5"/>
        <v>0</v>
      </c>
      <c r="D110">
        <v>35</v>
      </c>
      <c r="E110" s="4">
        <v>94000</v>
      </c>
      <c r="F110">
        <v>0.63576350634491463</v>
      </c>
      <c r="G110">
        <v>138</v>
      </c>
      <c r="H110" t="e">
        <f t="shared" si="6"/>
        <v>#N/A</v>
      </c>
    </row>
    <row r="111" spans="1:8" x14ac:dyDescent="0.35">
      <c r="A111" s="1">
        <v>156</v>
      </c>
      <c r="B111" s="3" t="s">
        <v>10</v>
      </c>
      <c r="C111" s="3">
        <f t="shared" si="5"/>
        <v>0</v>
      </c>
      <c r="D111">
        <v>6</v>
      </c>
      <c r="E111" s="4">
        <v>45000</v>
      </c>
      <c r="F111">
        <v>0.6364859991637174</v>
      </c>
      <c r="G111">
        <v>139</v>
      </c>
      <c r="H111" t="e">
        <f t="shared" si="6"/>
        <v>#N/A</v>
      </c>
    </row>
    <row r="112" spans="1:8" x14ac:dyDescent="0.35">
      <c r="A112" s="1">
        <v>2</v>
      </c>
      <c r="B112" s="3" t="s">
        <v>11</v>
      </c>
      <c r="C112" s="3">
        <f t="shared" si="5"/>
        <v>1</v>
      </c>
      <c r="D112">
        <v>14</v>
      </c>
      <c r="E112" s="4">
        <v>39100</v>
      </c>
      <c r="F112">
        <v>0.63854756045010086</v>
      </c>
      <c r="G112">
        <v>140</v>
      </c>
      <c r="H112" t="e">
        <f t="shared" si="6"/>
        <v>#N/A</v>
      </c>
    </row>
    <row r="113" spans="1:8" x14ac:dyDescent="0.35">
      <c r="A113" s="1">
        <v>84</v>
      </c>
      <c r="B113" s="3" t="s">
        <v>10</v>
      </c>
      <c r="C113" s="3">
        <f t="shared" si="5"/>
        <v>0</v>
      </c>
      <c r="D113">
        <v>12</v>
      </c>
      <c r="E113" s="4">
        <v>34920</v>
      </c>
      <c r="F113">
        <v>0.63985031020632477</v>
      </c>
      <c r="G113">
        <v>141</v>
      </c>
      <c r="H113" t="e">
        <f t="shared" si="6"/>
        <v>#N/A</v>
      </c>
    </row>
    <row r="114" spans="1:8" x14ac:dyDescent="0.35">
      <c r="A114" s="1">
        <v>124</v>
      </c>
      <c r="B114" s="3" t="s">
        <v>11</v>
      </c>
      <c r="C114" s="3">
        <f t="shared" si="5"/>
        <v>1</v>
      </c>
      <c r="D114">
        <v>4</v>
      </c>
      <c r="E114" s="4">
        <v>39500</v>
      </c>
      <c r="F114">
        <v>0.64125493974540759</v>
      </c>
      <c r="G114">
        <v>142</v>
      </c>
      <c r="H114" t="e">
        <f t="shared" si="6"/>
        <v>#N/A</v>
      </c>
    </row>
    <row r="115" spans="1:8" x14ac:dyDescent="0.35">
      <c r="A115" s="1">
        <v>26</v>
      </c>
      <c r="B115" s="3" t="s">
        <v>10</v>
      </c>
      <c r="C115" s="3">
        <f t="shared" si="5"/>
        <v>0</v>
      </c>
      <c r="D115">
        <v>3</v>
      </c>
      <c r="E115" s="4">
        <v>29500</v>
      </c>
      <c r="F115">
        <v>0.64385978818358891</v>
      </c>
      <c r="G115">
        <v>143</v>
      </c>
      <c r="H115" t="e">
        <f t="shared" si="6"/>
        <v>#N/A</v>
      </c>
    </row>
    <row r="116" spans="1:8" x14ac:dyDescent="0.35">
      <c r="A116" s="1">
        <v>204</v>
      </c>
      <c r="B116" s="3" t="s">
        <v>10</v>
      </c>
      <c r="C116" s="3">
        <f t="shared" si="5"/>
        <v>0</v>
      </c>
      <c r="D116">
        <v>34</v>
      </c>
      <c r="E116" s="4">
        <v>95000</v>
      </c>
      <c r="F116">
        <v>0.64475872253564093</v>
      </c>
      <c r="G116">
        <v>144</v>
      </c>
      <c r="H116" t="e">
        <f t="shared" si="6"/>
        <v>#N/A</v>
      </c>
    </row>
    <row r="117" spans="1:8" x14ac:dyDescent="0.35">
      <c r="A117" s="1">
        <v>7</v>
      </c>
      <c r="B117" s="3" t="s">
        <v>11</v>
      </c>
      <c r="C117" s="3">
        <f t="shared" si="5"/>
        <v>1</v>
      </c>
      <c r="D117">
        <v>4</v>
      </c>
      <c r="E117" s="4">
        <v>30000</v>
      </c>
      <c r="F117">
        <v>0.68016987704966669</v>
      </c>
      <c r="G117">
        <v>145</v>
      </c>
      <c r="H117" t="e">
        <f t="shared" si="6"/>
        <v>#N/A</v>
      </c>
    </row>
    <row r="118" spans="1:8" x14ac:dyDescent="0.35">
      <c r="A118" s="1">
        <v>194</v>
      </c>
      <c r="B118" s="3" t="s">
        <v>10</v>
      </c>
      <c r="C118" s="3">
        <f t="shared" si="5"/>
        <v>0</v>
      </c>
      <c r="D118">
        <v>17</v>
      </c>
      <c r="E118" s="4">
        <v>57000</v>
      </c>
      <c r="F118">
        <v>0.68938609823660246</v>
      </c>
      <c r="G118">
        <v>146</v>
      </c>
      <c r="H118" t="e">
        <f t="shared" si="6"/>
        <v>#N/A</v>
      </c>
    </row>
    <row r="119" spans="1:8" x14ac:dyDescent="0.35">
      <c r="A119" s="1">
        <v>82</v>
      </c>
      <c r="B119" s="3" t="s">
        <v>11</v>
      </c>
      <c r="C119" s="3">
        <f t="shared" si="5"/>
        <v>1</v>
      </c>
      <c r="D119">
        <v>4</v>
      </c>
      <c r="E119" s="4">
        <v>33900</v>
      </c>
      <c r="F119">
        <v>0.69044488205007759</v>
      </c>
      <c r="G119">
        <v>147</v>
      </c>
      <c r="H119" t="e">
        <f t="shared" si="6"/>
        <v>#N/A</v>
      </c>
    </row>
    <row r="120" spans="1:8" x14ac:dyDescent="0.35">
      <c r="A120" s="1">
        <v>87</v>
      </c>
      <c r="B120" s="3" t="s">
        <v>11</v>
      </c>
      <c r="C120" s="3">
        <f t="shared" si="5"/>
        <v>1</v>
      </c>
      <c r="D120">
        <v>6</v>
      </c>
      <c r="E120" s="4">
        <v>31900</v>
      </c>
      <c r="F120">
        <v>0.69908708655059504</v>
      </c>
      <c r="G120">
        <v>148</v>
      </c>
      <c r="H120" t="e">
        <f t="shared" si="6"/>
        <v>#N/A</v>
      </c>
    </row>
    <row r="121" spans="1:8" x14ac:dyDescent="0.35">
      <c r="A121" s="1">
        <v>173</v>
      </c>
      <c r="B121" s="3" t="s">
        <v>11</v>
      </c>
      <c r="C121" s="3">
        <f t="shared" si="5"/>
        <v>1</v>
      </c>
      <c r="D121">
        <v>13</v>
      </c>
      <c r="E121" s="4">
        <v>51200</v>
      </c>
      <c r="F121">
        <v>0.70916026183109016</v>
      </c>
      <c r="G121">
        <v>149</v>
      </c>
      <c r="H121" t="e">
        <f t="shared" si="6"/>
        <v>#N/A</v>
      </c>
    </row>
    <row r="122" spans="1:8" x14ac:dyDescent="0.35">
      <c r="A122" s="1">
        <v>69</v>
      </c>
      <c r="B122" s="3" t="s">
        <v>11</v>
      </c>
      <c r="C122" s="3">
        <f t="shared" si="5"/>
        <v>1</v>
      </c>
      <c r="D122">
        <v>17</v>
      </c>
      <c r="E122" s="4">
        <v>32740.000000000004</v>
      </c>
      <c r="F122">
        <v>0.71220043879936368</v>
      </c>
      <c r="G122">
        <v>150</v>
      </c>
      <c r="H122" t="e">
        <f t="shared" si="6"/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0824D1-FD83-4913-8342-E364EFF32780}"/>
</file>

<file path=customXml/itemProps2.xml><?xml version="1.0" encoding="utf-8"?>
<ds:datastoreItem xmlns:ds="http://schemas.openxmlformats.org/officeDocument/2006/customXml" ds:itemID="{2265B0F6-5320-48C9-934C-1F0EA681F871}"/>
</file>

<file path=customXml/itemProps3.xml><?xml version="1.0" encoding="utf-8"?>
<ds:datastoreItem xmlns:ds="http://schemas.openxmlformats.org/officeDocument/2006/customXml" ds:itemID="{321756DD-1899-4B31-8169-494616A7D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salaryAll</vt:lpstr>
      <vt:lpstr>banksalary</vt:lpstr>
      <vt:lpstr>mustardAll</vt:lpstr>
      <vt:lpstr>mustardTrendSeason</vt:lpstr>
      <vt:lpstr>bankCV</vt:lpstr>
      <vt:lpstr>NewCarSalesQtr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Kannapha Amaruchkul</cp:lastModifiedBy>
  <dcterms:created xsi:type="dcterms:W3CDTF">2023-03-09T06:41:59Z</dcterms:created>
  <dcterms:modified xsi:type="dcterms:W3CDTF">2026-06-23T08:39:38Z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