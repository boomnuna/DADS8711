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Mai\Teaching\Courses\Forecasting\FC-Excel-R-Python\"/>
    </mc:Choice>
  </mc:AlternateContent>
  <xr:revisionPtr revIDLastSave="0" documentId="13_ncr:1_{FF2A3CD0-AD10-42D3-8426-6B25CB67B5D6}" xr6:coauthVersionLast="36" xr6:coauthVersionMax="36" xr10:uidLastSave="{00000000-0000-0000-0000-000000000000}"/>
  <bookViews>
    <workbookView xWindow="0" yWindow="0" windowWidth="23040" windowHeight="8652" activeTab="2" xr2:uid="{178A813A-633A-4BF5-A1FA-944AC2CDCB55}"/>
  </bookViews>
  <sheets>
    <sheet name="JewelryData" sheetId="1" r:id="rId1"/>
    <sheet name="NewCarSales" sheetId="2" r:id="rId2"/>
    <sheet name="Matrix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3" l="1" a="1"/>
  <c r="K4" i="3" s="1"/>
  <c r="K2" i="3" l="1"/>
  <c r="K3" i="3"/>
  <c r="K5" i="3"/>
  <c r="K6" i="3"/>
</calcChain>
</file>

<file path=xl/sharedStrings.xml><?xml version="1.0" encoding="utf-8"?>
<sst xmlns="http://schemas.openxmlformats.org/spreadsheetml/2006/main" count="23" uniqueCount="17">
  <si>
    <t>Year</t>
  </si>
  <si>
    <t>Qtr</t>
  </si>
  <si>
    <t>Date</t>
  </si>
  <si>
    <t>DPI</t>
  </si>
  <si>
    <t>JS</t>
  </si>
  <si>
    <t>Period</t>
  </si>
  <si>
    <t>NCS</t>
  </si>
  <si>
    <t>DPIPC</t>
  </si>
  <si>
    <t>UR</t>
  </si>
  <si>
    <t>PR</t>
  </si>
  <si>
    <t>UMICS</t>
  </si>
  <si>
    <t>ones</t>
  </si>
  <si>
    <t>beta0</t>
  </si>
  <si>
    <t>beta1</t>
  </si>
  <si>
    <t>beta2</t>
  </si>
  <si>
    <t>beta3</t>
  </si>
  <si>
    <t>beta4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</si>
</sst>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yyyy\-mm\-dd;@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right"/>
    </xf>
    <xf numFmtId="2" fontId="0" fillId="0" borderId="0" xfId="1" applyNumberFormat="1" applyFont="1"/>
    <xf numFmtId="164" fontId="0" fillId="0" borderId="0" xfId="1" applyNumberFormat="1" applyFont="1"/>
    <xf numFmtId="165" fontId="0" fillId="0" borderId="0" xfId="0" applyNumberFormat="1" applyAlignment="1">
      <alignment horizontal="right"/>
    </xf>
    <xf numFmtId="165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2204E-0933-4AE8-A909-79CECE870C48}">
  <dimension ref="A1:G29"/>
  <sheetViews>
    <sheetView topLeftCell="A13" workbookViewId="0"/>
  </sheetViews>
  <sheetFormatPr defaultRowHeight="14.4" x14ac:dyDescent="0.3"/>
  <cols>
    <col min="1" max="1" width="11.33203125" bestFit="1" customWidth="1"/>
    <col min="4" max="4" width="10.33203125" style="5" bestFit="1" customWidth="1"/>
  </cols>
  <sheetData>
    <row r="1" spans="1:7" x14ac:dyDescent="0.3">
      <c r="A1" s="1" t="s">
        <v>5</v>
      </c>
      <c r="B1" s="1" t="s">
        <v>0</v>
      </c>
      <c r="C1" s="1" t="s">
        <v>1</v>
      </c>
      <c r="D1" s="4" t="s">
        <v>2</v>
      </c>
      <c r="E1" s="1" t="s">
        <v>3</v>
      </c>
      <c r="F1" s="1" t="s">
        <v>4</v>
      </c>
    </row>
    <row r="2" spans="1:7" x14ac:dyDescent="0.3">
      <c r="A2">
        <v>1</v>
      </c>
      <c r="B2">
        <v>2010</v>
      </c>
      <c r="C2">
        <v>1</v>
      </c>
      <c r="D2" s="5">
        <v>40210</v>
      </c>
      <c r="E2" s="2">
        <v>11041.46667</v>
      </c>
      <c r="F2" s="2">
        <v>5372</v>
      </c>
      <c r="G2" s="3"/>
    </row>
    <row r="3" spans="1:7" x14ac:dyDescent="0.3">
      <c r="A3">
        <v>2</v>
      </c>
      <c r="B3">
        <v>2010</v>
      </c>
      <c r="C3">
        <v>2</v>
      </c>
      <c r="D3" s="5">
        <v>40299</v>
      </c>
      <c r="E3" s="2">
        <v>11197.633330000001</v>
      </c>
      <c r="F3" s="2">
        <v>5841</v>
      </c>
      <c r="G3" s="3"/>
    </row>
    <row r="4" spans="1:7" x14ac:dyDescent="0.3">
      <c r="A4">
        <v>3</v>
      </c>
      <c r="B4">
        <v>2010</v>
      </c>
      <c r="C4">
        <v>3</v>
      </c>
      <c r="D4" s="5">
        <v>40391</v>
      </c>
      <c r="E4" s="2">
        <v>11286.633330000001</v>
      </c>
      <c r="F4" s="2">
        <v>5311</v>
      </c>
      <c r="G4" s="3"/>
    </row>
    <row r="5" spans="1:7" x14ac:dyDescent="0.3">
      <c r="A5">
        <v>4</v>
      </c>
      <c r="B5">
        <v>2010</v>
      </c>
      <c r="C5">
        <v>4</v>
      </c>
      <c r="D5" s="5">
        <v>40483</v>
      </c>
      <c r="E5" s="2">
        <v>11425.733329999999</v>
      </c>
      <c r="F5" s="2">
        <v>9385</v>
      </c>
      <c r="G5" s="3"/>
    </row>
    <row r="6" spans="1:7" x14ac:dyDescent="0.3">
      <c r="A6">
        <v>5</v>
      </c>
      <c r="B6">
        <v>2011</v>
      </c>
      <c r="C6">
        <v>1</v>
      </c>
      <c r="D6" s="5">
        <v>40575</v>
      </c>
      <c r="E6" s="2">
        <v>11652.233329999999</v>
      </c>
      <c r="F6" s="2">
        <v>5823</v>
      </c>
      <c r="G6" s="3"/>
    </row>
    <row r="7" spans="1:7" x14ac:dyDescent="0.3">
      <c r="A7">
        <v>6</v>
      </c>
      <c r="B7">
        <v>2011</v>
      </c>
      <c r="C7">
        <v>2</v>
      </c>
      <c r="D7" s="5">
        <v>40664</v>
      </c>
      <c r="E7" s="2">
        <v>11751.633330000001</v>
      </c>
      <c r="F7" s="2">
        <v>6911</v>
      </c>
      <c r="G7" s="3"/>
    </row>
    <row r="8" spans="1:7" x14ac:dyDescent="0.3">
      <c r="A8">
        <v>7</v>
      </c>
      <c r="B8">
        <v>2011</v>
      </c>
      <c r="C8">
        <v>3</v>
      </c>
      <c r="D8" s="5">
        <v>40756</v>
      </c>
      <c r="E8" s="2">
        <v>11876.666670000001</v>
      </c>
      <c r="F8" s="2">
        <v>6243</v>
      </c>
      <c r="G8" s="3"/>
    </row>
    <row r="9" spans="1:7" x14ac:dyDescent="0.3">
      <c r="A9">
        <v>8</v>
      </c>
      <c r="B9">
        <v>2011</v>
      </c>
      <c r="C9">
        <v>4</v>
      </c>
      <c r="D9" s="5">
        <v>40848</v>
      </c>
      <c r="E9" s="2">
        <v>11924.93333</v>
      </c>
      <c r="F9" s="2">
        <v>10073</v>
      </c>
      <c r="G9" s="3"/>
    </row>
    <row r="10" spans="1:7" x14ac:dyDescent="0.3">
      <c r="A10">
        <v>9</v>
      </c>
      <c r="B10">
        <v>2012</v>
      </c>
      <c r="C10">
        <v>1</v>
      </c>
      <c r="D10" s="5">
        <v>40940</v>
      </c>
      <c r="E10" s="2">
        <v>12189.96667</v>
      </c>
      <c r="F10" s="2">
        <v>6337</v>
      </c>
      <c r="G10" s="3"/>
    </row>
    <row r="11" spans="1:7" x14ac:dyDescent="0.3">
      <c r="A11">
        <v>10</v>
      </c>
      <c r="B11">
        <v>2012</v>
      </c>
      <c r="C11">
        <v>2</v>
      </c>
      <c r="D11" s="5">
        <v>41030</v>
      </c>
      <c r="E11" s="2">
        <v>12321.333329999999</v>
      </c>
      <c r="F11" s="2">
        <v>6772</v>
      </c>
      <c r="G11" s="3"/>
    </row>
    <row r="12" spans="1:7" x14ac:dyDescent="0.3">
      <c r="A12">
        <v>11</v>
      </c>
      <c r="B12">
        <v>2012</v>
      </c>
      <c r="C12">
        <v>3</v>
      </c>
      <c r="D12" s="5">
        <v>41122</v>
      </c>
      <c r="E12" s="2">
        <v>12355.43333</v>
      </c>
      <c r="F12" s="2">
        <v>6102</v>
      </c>
      <c r="G12" s="3"/>
    </row>
    <row r="13" spans="1:7" x14ac:dyDescent="0.3">
      <c r="A13">
        <v>12</v>
      </c>
      <c r="B13">
        <v>2012</v>
      </c>
      <c r="C13">
        <v>4</v>
      </c>
      <c r="D13" s="5">
        <v>41214</v>
      </c>
      <c r="E13" s="2">
        <v>12748.133330000001</v>
      </c>
      <c r="F13" s="2">
        <v>10651</v>
      </c>
      <c r="G13" s="3"/>
    </row>
    <row r="14" spans="1:7" x14ac:dyDescent="0.3">
      <c r="A14">
        <v>13</v>
      </c>
      <c r="B14">
        <v>2013</v>
      </c>
      <c r="C14">
        <v>1</v>
      </c>
      <c r="D14" s="5">
        <v>41306</v>
      </c>
      <c r="E14" s="2">
        <v>12259.266670000001</v>
      </c>
      <c r="F14" s="2">
        <v>6484</v>
      </c>
      <c r="G14" s="3"/>
    </row>
    <row r="15" spans="1:7" x14ac:dyDescent="0.3">
      <c r="A15">
        <v>14</v>
      </c>
      <c r="B15">
        <v>2013</v>
      </c>
      <c r="C15">
        <v>2</v>
      </c>
      <c r="D15" s="5">
        <v>41395</v>
      </c>
      <c r="E15" s="2">
        <v>12335.9</v>
      </c>
      <c r="F15" s="2">
        <v>7106</v>
      </c>
      <c r="G15" s="3"/>
    </row>
    <row r="16" spans="1:7" x14ac:dyDescent="0.3">
      <c r="A16">
        <v>15</v>
      </c>
      <c r="B16">
        <v>2013</v>
      </c>
      <c r="C16">
        <v>3</v>
      </c>
      <c r="D16" s="5">
        <v>41487</v>
      </c>
      <c r="E16" s="2">
        <v>12453.833329999999</v>
      </c>
      <c r="F16" s="2">
        <v>6175</v>
      </c>
      <c r="G16" s="3"/>
    </row>
    <row r="17" spans="1:7" x14ac:dyDescent="0.3">
      <c r="A17">
        <v>16</v>
      </c>
      <c r="B17">
        <v>2013</v>
      </c>
      <c r="C17">
        <v>4</v>
      </c>
      <c r="D17" s="5">
        <v>41579</v>
      </c>
      <c r="E17" s="2">
        <v>12534.333329999999</v>
      </c>
      <c r="F17" s="2">
        <v>10686</v>
      </c>
      <c r="G17" s="3"/>
    </row>
    <row r="18" spans="1:7" x14ac:dyDescent="0.3">
      <c r="A18">
        <v>17</v>
      </c>
      <c r="B18">
        <v>2014</v>
      </c>
      <c r="C18">
        <v>1</v>
      </c>
      <c r="D18" s="5">
        <v>41671</v>
      </c>
      <c r="E18" s="2">
        <v>12735.833329999999</v>
      </c>
      <c r="F18" s="2">
        <v>6681</v>
      </c>
      <c r="G18" s="3"/>
    </row>
    <row r="19" spans="1:7" x14ac:dyDescent="0.3">
      <c r="A19">
        <v>18</v>
      </c>
      <c r="B19">
        <v>2014</v>
      </c>
      <c r="C19">
        <v>2</v>
      </c>
      <c r="D19" s="5">
        <v>41760</v>
      </c>
      <c r="E19" s="2">
        <v>12962.43333</v>
      </c>
      <c r="F19" s="2">
        <v>7397</v>
      </c>
      <c r="G19" s="3"/>
    </row>
    <row r="20" spans="1:7" x14ac:dyDescent="0.3">
      <c r="A20">
        <v>19</v>
      </c>
      <c r="B20">
        <v>2014</v>
      </c>
      <c r="C20">
        <v>3</v>
      </c>
      <c r="D20" s="5">
        <v>41852</v>
      </c>
      <c r="E20" s="2">
        <v>13127.43333</v>
      </c>
      <c r="F20" s="2">
        <v>6548</v>
      </c>
      <c r="G20" s="3"/>
    </row>
    <row r="21" spans="1:7" x14ac:dyDescent="0.3">
      <c r="A21">
        <v>20</v>
      </c>
      <c r="B21">
        <v>2014</v>
      </c>
      <c r="C21">
        <v>4</v>
      </c>
      <c r="D21" s="5">
        <v>41944</v>
      </c>
      <c r="E21" s="2">
        <v>13265.266670000001</v>
      </c>
      <c r="F21" s="2">
        <v>10586</v>
      </c>
      <c r="G21" s="3"/>
    </row>
    <row r="22" spans="1:7" x14ac:dyDescent="0.3">
      <c r="A22">
        <v>21</v>
      </c>
      <c r="B22">
        <v>2015</v>
      </c>
      <c r="C22">
        <v>1</v>
      </c>
      <c r="D22" s="5">
        <v>42036</v>
      </c>
      <c r="E22" s="2">
        <v>13276.5</v>
      </c>
      <c r="F22" s="2">
        <v>6617</v>
      </c>
      <c r="G22" s="3"/>
    </row>
    <row r="23" spans="1:7" x14ac:dyDescent="0.3">
      <c r="A23">
        <v>22</v>
      </c>
      <c r="B23">
        <v>2015</v>
      </c>
      <c r="C23">
        <v>2</v>
      </c>
      <c r="D23" s="5">
        <v>42125</v>
      </c>
      <c r="E23" s="2">
        <v>13464.7</v>
      </c>
      <c r="F23" s="2">
        <v>7477</v>
      </c>
      <c r="G23" s="3"/>
    </row>
    <row r="24" spans="1:7" x14ac:dyDescent="0.3">
      <c r="A24">
        <v>23</v>
      </c>
      <c r="B24">
        <v>2015</v>
      </c>
      <c r="C24">
        <v>3</v>
      </c>
      <c r="D24" s="5">
        <v>42217</v>
      </c>
      <c r="E24" s="2">
        <v>13611.7</v>
      </c>
      <c r="F24" s="2">
        <v>6529</v>
      </c>
      <c r="G24" s="3"/>
    </row>
    <row r="25" spans="1:7" x14ac:dyDescent="0.3">
      <c r="A25">
        <v>24</v>
      </c>
      <c r="B25">
        <v>2015</v>
      </c>
      <c r="C25">
        <v>4</v>
      </c>
      <c r="D25" s="5">
        <v>42309</v>
      </c>
      <c r="E25" s="2">
        <v>13726.366669999999</v>
      </c>
      <c r="F25" s="2">
        <v>10882</v>
      </c>
      <c r="G25" s="3"/>
    </row>
    <row r="26" spans="1:7" x14ac:dyDescent="0.3">
      <c r="A26">
        <v>25</v>
      </c>
      <c r="B26">
        <v>2016</v>
      </c>
      <c r="C26">
        <v>1</v>
      </c>
      <c r="D26" s="5">
        <v>42401</v>
      </c>
      <c r="E26" s="2">
        <v>13807.4</v>
      </c>
      <c r="F26" s="2">
        <v>6851</v>
      </c>
      <c r="G26" s="3"/>
    </row>
    <row r="27" spans="1:7" x14ac:dyDescent="0.3">
      <c r="A27">
        <v>26</v>
      </c>
      <c r="B27">
        <v>2016</v>
      </c>
      <c r="C27">
        <v>2</v>
      </c>
      <c r="D27" s="5">
        <v>42491</v>
      </c>
      <c r="E27" s="2">
        <v>13977.3</v>
      </c>
      <c r="F27" s="2">
        <v>7648</v>
      </c>
    </row>
    <row r="28" spans="1:7" x14ac:dyDescent="0.3">
      <c r="A28">
        <v>27</v>
      </c>
      <c r="B28">
        <v>2016</v>
      </c>
      <c r="C28">
        <v>3</v>
      </c>
      <c r="D28" s="5">
        <v>42583</v>
      </c>
      <c r="E28" s="2">
        <v>14128.7</v>
      </c>
      <c r="F28" s="2">
        <v>6735</v>
      </c>
    </row>
    <row r="29" spans="1:7" x14ac:dyDescent="0.3">
      <c r="A29">
        <v>28</v>
      </c>
      <c r="B29">
        <v>2016</v>
      </c>
      <c r="C29">
        <v>4</v>
      </c>
      <c r="D29" s="5">
        <v>42675</v>
      </c>
      <c r="E29" s="2">
        <v>14270.3</v>
      </c>
      <c r="F29" s="2">
        <v>11684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D137B-F512-4ADC-949C-02636C6790F9}">
  <dimension ref="A1:F61"/>
  <sheetViews>
    <sheetView topLeftCell="A35" workbookViewId="0">
      <selection activeCell="G49" sqref="G49"/>
    </sheetView>
  </sheetViews>
  <sheetFormatPr defaultRowHeight="14.4" x14ac:dyDescent="0.3"/>
  <cols>
    <col min="1" max="1" width="10.33203125" style="5" bestFit="1" customWidth="1"/>
  </cols>
  <sheetData>
    <row r="1" spans="1:6" x14ac:dyDescent="0.3">
      <c r="A1" s="5" t="s">
        <v>2</v>
      </c>
      <c r="B1" t="s">
        <v>6</v>
      </c>
      <c r="C1" t="s">
        <v>7</v>
      </c>
      <c r="D1" t="s">
        <v>8</v>
      </c>
      <c r="E1" t="s">
        <v>9</v>
      </c>
      <c r="F1" t="s">
        <v>10</v>
      </c>
    </row>
    <row r="2" spans="1:6" x14ac:dyDescent="0.3">
      <c r="A2" s="5">
        <v>37288</v>
      </c>
      <c r="B2">
        <v>152641</v>
      </c>
      <c r="C2">
        <v>27840</v>
      </c>
      <c r="D2">
        <v>5.7</v>
      </c>
      <c r="E2">
        <v>4.75</v>
      </c>
      <c r="F2">
        <v>93.13</v>
      </c>
    </row>
    <row r="3" spans="1:6" x14ac:dyDescent="0.3">
      <c r="A3" s="5">
        <v>37377</v>
      </c>
      <c r="B3">
        <v>166036</v>
      </c>
      <c r="C3">
        <v>28134</v>
      </c>
      <c r="D3">
        <v>5.83</v>
      </c>
      <c r="E3">
        <v>4.75</v>
      </c>
      <c r="F3">
        <v>94.1</v>
      </c>
    </row>
    <row r="4" spans="1:6" x14ac:dyDescent="0.3">
      <c r="A4" s="5">
        <v>37469</v>
      </c>
      <c r="B4">
        <v>175863</v>
      </c>
      <c r="C4">
        <v>28168</v>
      </c>
      <c r="D4">
        <v>5.73</v>
      </c>
      <c r="E4">
        <v>4.75</v>
      </c>
      <c r="F4">
        <v>87.27</v>
      </c>
    </row>
    <row r="5" spans="1:6" x14ac:dyDescent="0.3">
      <c r="A5" s="5">
        <v>37561</v>
      </c>
      <c r="B5">
        <v>151219</v>
      </c>
      <c r="C5">
        <v>28363</v>
      </c>
      <c r="D5">
        <v>5.87</v>
      </c>
      <c r="E5">
        <v>4.45</v>
      </c>
      <c r="F5">
        <v>83.83</v>
      </c>
    </row>
    <row r="6" spans="1:6" x14ac:dyDescent="0.3">
      <c r="A6" s="5">
        <v>37653</v>
      </c>
      <c r="B6">
        <v>152843</v>
      </c>
      <c r="C6">
        <v>28584</v>
      </c>
      <c r="D6">
        <v>5.87</v>
      </c>
      <c r="E6">
        <v>4.25</v>
      </c>
      <c r="F6">
        <v>79.97</v>
      </c>
    </row>
    <row r="7" spans="1:6" x14ac:dyDescent="0.3">
      <c r="A7" s="5">
        <v>37742</v>
      </c>
      <c r="B7">
        <v>173360</v>
      </c>
      <c r="C7">
        <v>28958</v>
      </c>
      <c r="D7">
        <v>6.13</v>
      </c>
      <c r="E7">
        <v>4.24</v>
      </c>
      <c r="F7">
        <v>89.27</v>
      </c>
    </row>
    <row r="8" spans="1:6" x14ac:dyDescent="0.3">
      <c r="A8" s="5">
        <v>37834</v>
      </c>
      <c r="B8">
        <v>178086</v>
      </c>
      <c r="C8">
        <v>29539</v>
      </c>
      <c r="D8">
        <v>6.13</v>
      </c>
      <c r="E8">
        <v>4</v>
      </c>
      <c r="F8">
        <v>89.3</v>
      </c>
    </row>
    <row r="9" spans="1:6" x14ac:dyDescent="0.3">
      <c r="A9" s="5">
        <v>37926</v>
      </c>
      <c r="B9">
        <v>154916</v>
      </c>
      <c r="C9">
        <v>29708</v>
      </c>
      <c r="D9">
        <v>5.83</v>
      </c>
      <c r="E9">
        <v>4</v>
      </c>
      <c r="F9">
        <v>91.97</v>
      </c>
    </row>
    <row r="10" spans="1:6" x14ac:dyDescent="0.3">
      <c r="A10" s="5">
        <v>38018</v>
      </c>
      <c r="B10">
        <v>159086</v>
      </c>
      <c r="C10">
        <v>30094</v>
      </c>
      <c r="D10">
        <v>5.7</v>
      </c>
      <c r="E10">
        <v>4</v>
      </c>
      <c r="F10">
        <v>98</v>
      </c>
    </row>
    <row r="11" spans="1:6" x14ac:dyDescent="0.3">
      <c r="A11" s="5">
        <v>38108</v>
      </c>
      <c r="B11">
        <v>172174</v>
      </c>
      <c r="C11">
        <v>30537</v>
      </c>
      <c r="D11">
        <v>5.6</v>
      </c>
      <c r="E11">
        <v>4</v>
      </c>
      <c r="F11">
        <v>93.33</v>
      </c>
    </row>
    <row r="12" spans="1:6" x14ac:dyDescent="0.3">
      <c r="A12" s="5">
        <v>38200</v>
      </c>
      <c r="B12">
        <v>178077</v>
      </c>
      <c r="C12">
        <v>30800</v>
      </c>
      <c r="D12">
        <v>5.43</v>
      </c>
      <c r="E12">
        <v>4.42</v>
      </c>
      <c r="F12">
        <v>95.6</v>
      </c>
    </row>
    <row r="13" spans="1:6" x14ac:dyDescent="0.3">
      <c r="A13" s="5">
        <v>38292</v>
      </c>
      <c r="B13">
        <v>161216</v>
      </c>
      <c r="C13">
        <v>31353</v>
      </c>
      <c r="D13">
        <v>5.43</v>
      </c>
      <c r="E13">
        <v>4.9400000000000004</v>
      </c>
      <c r="F13">
        <v>93.87</v>
      </c>
    </row>
    <row r="14" spans="1:6" x14ac:dyDescent="0.3">
      <c r="A14" s="5">
        <v>38384</v>
      </c>
      <c r="B14">
        <v>160070</v>
      </c>
      <c r="C14">
        <v>31145</v>
      </c>
      <c r="D14">
        <v>5.3</v>
      </c>
      <c r="E14">
        <v>5.44</v>
      </c>
      <c r="F14">
        <v>94.07</v>
      </c>
    </row>
    <row r="15" spans="1:6" x14ac:dyDescent="0.3">
      <c r="A15" s="5">
        <v>38473</v>
      </c>
      <c r="B15">
        <v>183594</v>
      </c>
      <c r="C15">
        <v>31533</v>
      </c>
      <c r="D15">
        <v>5.0999999999999996</v>
      </c>
      <c r="E15">
        <v>5.91</v>
      </c>
      <c r="F15">
        <v>90.2</v>
      </c>
    </row>
    <row r="16" spans="1:6" x14ac:dyDescent="0.3">
      <c r="A16" s="5">
        <v>38565</v>
      </c>
      <c r="B16">
        <v>184878</v>
      </c>
      <c r="C16">
        <v>31961</v>
      </c>
      <c r="D16">
        <v>4.97</v>
      </c>
      <c r="E16">
        <v>6.43</v>
      </c>
      <c r="F16">
        <v>87.5</v>
      </c>
    </row>
    <row r="17" spans="1:6" x14ac:dyDescent="0.3">
      <c r="A17" s="5">
        <v>38657</v>
      </c>
      <c r="B17">
        <v>153405</v>
      </c>
      <c r="C17">
        <v>32396</v>
      </c>
      <c r="D17">
        <v>4.97</v>
      </c>
      <c r="E17">
        <v>6.97</v>
      </c>
      <c r="F17">
        <v>82.43</v>
      </c>
    </row>
    <row r="18" spans="1:6" x14ac:dyDescent="0.3">
      <c r="A18" s="5">
        <v>38749</v>
      </c>
      <c r="B18">
        <v>164864</v>
      </c>
      <c r="C18">
        <v>33217</v>
      </c>
      <c r="D18">
        <v>4.7300000000000004</v>
      </c>
      <c r="E18">
        <v>7.43</v>
      </c>
      <c r="F18">
        <v>88.93</v>
      </c>
    </row>
    <row r="19" spans="1:6" x14ac:dyDescent="0.3">
      <c r="A19" s="5">
        <v>38838</v>
      </c>
      <c r="B19">
        <v>178363</v>
      </c>
      <c r="C19">
        <v>33448</v>
      </c>
      <c r="D19">
        <v>4.63</v>
      </c>
      <c r="E19">
        <v>7.9</v>
      </c>
      <c r="F19">
        <v>83.8</v>
      </c>
    </row>
    <row r="20" spans="1:6" x14ac:dyDescent="0.3">
      <c r="A20" s="5">
        <v>38930</v>
      </c>
      <c r="B20">
        <v>181615</v>
      </c>
      <c r="C20">
        <v>33696</v>
      </c>
      <c r="D20">
        <v>4.63</v>
      </c>
      <c r="E20">
        <v>8.25</v>
      </c>
      <c r="F20">
        <v>84.03</v>
      </c>
    </row>
    <row r="21" spans="1:6" x14ac:dyDescent="0.3">
      <c r="A21" s="5">
        <v>39022</v>
      </c>
      <c r="B21">
        <v>160780</v>
      </c>
      <c r="C21">
        <v>33991</v>
      </c>
      <c r="D21">
        <v>4.43</v>
      </c>
      <c r="E21">
        <v>8.25</v>
      </c>
      <c r="F21">
        <v>92.47</v>
      </c>
    </row>
    <row r="22" spans="1:6" x14ac:dyDescent="0.3">
      <c r="A22" s="5">
        <v>39114</v>
      </c>
      <c r="B22">
        <v>167528</v>
      </c>
      <c r="C22">
        <v>34457</v>
      </c>
      <c r="D22">
        <v>4.5</v>
      </c>
      <c r="E22">
        <v>8.25</v>
      </c>
      <c r="F22">
        <v>92.2</v>
      </c>
    </row>
    <row r="23" spans="1:6" x14ac:dyDescent="0.3">
      <c r="A23" s="5">
        <v>39203</v>
      </c>
      <c r="B23">
        <v>180006</v>
      </c>
      <c r="C23">
        <v>34720</v>
      </c>
      <c r="D23">
        <v>4.5</v>
      </c>
      <c r="E23">
        <v>8.25</v>
      </c>
      <c r="F23">
        <v>86.9</v>
      </c>
    </row>
    <row r="24" spans="1:6" x14ac:dyDescent="0.3">
      <c r="A24" s="5">
        <v>39295</v>
      </c>
      <c r="B24">
        <v>179216</v>
      </c>
      <c r="C24">
        <v>34918</v>
      </c>
      <c r="D24">
        <v>4.67</v>
      </c>
      <c r="E24">
        <v>8.18</v>
      </c>
      <c r="F24">
        <v>85.73</v>
      </c>
    </row>
    <row r="25" spans="1:6" x14ac:dyDescent="0.3">
      <c r="A25" s="5">
        <v>39387</v>
      </c>
      <c r="B25">
        <v>160957</v>
      </c>
      <c r="C25">
        <v>35209</v>
      </c>
      <c r="D25">
        <v>4.8</v>
      </c>
      <c r="E25">
        <v>7.52</v>
      </c>
      <c r="F25">
        <v>77.5</v>
      </c>
    </row>
    <row r="26" spans="1:6" x14ac:dyDescent="0.3">
      <c r="A26" s="5">
        <v>39479</v>
      </c>
      <c r="B26">
        <v>158369</v>
      </c>
      <c r="C26">
        <v>35688</v>
      </c>
      <c r="D26">
        <v>5</v>
      </c>
      <c r="E26">
        <v>6.21</v>
      </c>
      <c r="F26">
        <v>72.900000000000006</v>
      </c>
    </row>
    <row r="27" spans="1:6" x14ac:dyDescent="0.3">
      <c r="A27" s="5">
        <v>39569</v>
      </c>
      <c r="B27">
        <v>158761</v>
      </c>
      <c r="C27">
        <v>36742</v>
      </c>
      <c r="D27">
        <v>5.33</v>
      </c>
      <c r="E27">
        <v>5.08</v>
      </c>
      <c r="F27">
        <v>59.6</v>
      </c>
    </row>
    <row r="28" spans="1:6" x14ac:dyDescent="0.3">
      <c r="A28" s="5">
        <v>39661</v>
      </c>
      <c r="B28">
        <v>146003</v>
      </c>
      <c r="C28">
        <v>36175</v>
      </c>
      <c r="D28">
        <v>6</v>
      </c>
      <c r="E28">
        <v>5</v>
      </c>
      <c r="F28">
        <v>64.83</v>
      </c>
    </row>
    <row r="29" spans="1:6" x14ac:dyDescent="0.3">
      <c r="A29" s="5">
        <v>39753</v>
      </c>
      <c r="B29">
        <v>112460</v>
      </c>
      <c r="C29">
        <v>35801</v>
      </c>
      <c r="D29">
        <v>6.87</v>
      </c>
      <c r="E29">
        <v>4.0599999999999996</v>
      </c>
      <c r="F29">
        <v>57.67</v>
      </c>
    </row>
    <row r="30" spans="1:6" x14ac:dyDescent="0.3">
      <c r="A30" s="5">
        <v>39845</v>
      </c>
      <c r="B30">
        <v>111819</v>
      </c>
      <c r="C30">
        <v>35459</v>
      </c>
      <c r="D30">
        <v>8.27</v>
      </c>
      <c r="E30">
        <v>3.25</v>
      </c>
      <c r="F30">
        <v>58.27</v>
      </c>
    </row>
    <row r="31" spans="1:6" x14ac:dyDescent="0.3">
      <c r="A31" s="5">
        <v>39934</v>
      </c>
      <c r="B31">
        <v>122950</v>
      </c>
      <c r="C31">
        <v>35798</v>
      </c>
      <c r="D31">
        <v>9.3000000000000007</v>
      </c>
      <c r="E31">
        <v>3.25</v>
      </c>
      <c r="F31">
        <v>68.2</v>
      </c>
    </row>
    <row r="32" spans="1:6" x14ac:dyDescent="0.3">
      <c r="A32" s="5">
        <v>40026</v>
      </c>
      <c r="B32">
        <v>132705</v>
      </c>
      <c r="C32">
        <v>35546</v>
      </c>
      <c r="D32">
        <v>9.6300000000000008</v>
      </c>
      <c r="E32">
        <v>3.25</v>
      </c>
      <c r="F32">
        <v>68.400000000000006</v>
      </c>
    </row>
    <row r="33" spans="1:6" x14ac:dyDescent="0.3">
      <c r="A33" s="5">
        <v>40118</v>
      </c>
      <c r="B33">
        <v>119091</v>
      </c>
      <c r="C33">
        <v>35658</v>
      </c>
      <c r="D33">
        <v>9.93</v>
      </c>
      <c r="E33">
        <v>3.25</v>
      </c>
      <c r="F33">
        <v>70.17</v>
      </c>
    </row>
    <row r="34" spans="1:6" x14ac:dyDescent="0.3">
      <c r="A34" s="5">
        <v>40210</v>
      </c>
      <c r="B34">
        <v>124117</v>
      </c>
      <c r="C34">
        <v>35744</v>
      </c>
      <c r="D34">
        <v>9.83</v>
      </c>
      <c r="E34">
        <v>3.25</v>
      </c>
      <c r="F34">
        <v>73.87</v>
      </c>
    </row>
    <row r="35" spans="1:6" x14ac:dyDescent="0.3">
      <c r="A35" s="5">
        <v>40299</v>
      </c>
      <c r="B35">
        <v>142278</v>
      </c>
      <c r="C35">
        <v>36183</v>
      </c>
      <c r="D35">
        <v>9.6300000000000008</v>
      </c>
      <c r="E35">
        <v>3.25</v>
      </c>
      <c r="F35">
        <v>73.930000000000007</v>
      </c>
    </row>
    <row r="36" spans="1:6" x14ac:dyDescent="0.3">
      <c r="A36" s="5">
        <v>40391</v>
      </c>
      <c r="B36">
        <v>144165</v>
      </c>
      <c r="C36">
        <v>36397</v>
      </c>
      <c r="D36">
        <v>9.4700000000000006</v>
      </c>
      <c r="E36">
        <v>3.25</v>
      </c>
      <c r="F36">
        <v>68.3</v>
      </c>
    </row>
    <row r="37" spans="1:6" x14ac:dyDescent="0.3">
      <c r="A37" s="5">
        <v>40483</v>
      </c>
      <c r="B37">
        <v>138913</v>
      </c>
      <c r="C37">
        <v>36770</v>
      </c>
      <c r="D37">
        <v>9.5</v>
      </c>
      <c r="E37">
        <v>3.25</v>
      </c>
      <c r="F37">
        <v>71.27</v>
      </c>
    </row>
    <row r="38" spans="1:6" x14ac:dyDescent="0.3">
      <c r="A38" s="5">
        <v>40575</v>
      </c>
      <c r="B38">
        <v>146009</v>
      </c>
      <c r="C38">
        <v>37436</v>
      </c>
      <c r="D38">
        <v>9.0299999999999994</v>
      </c>
      <c r="E38">
        <v>3.25</v>
      </c>
      <c r="F38">
        <v>73.069999999999993</v>
      </c>
    </row>
    <row r="39" spans="1:6" x14ac:dyDescent="0.3">
      <c r="A39" s="5">
        <v>40664</v>
      </c>
      <c r="B39">
        <v>154335</v>
      </c>
      <c r="C39">
        <v>37692</v>
      </c>
      <c r="D39">
        <v>9.07</v>
      </c>
      <c r="E39">
        <v>3.25</v>
      </c>
      <c r="F39">
        <v>71.87</v>
      </c>
    </row>
    <row r="40" spans="1:6" x14ac:dyDescent="0.3">
      <c r="A40" s="5">
        <v>40756</v>
      </c>
      <c r="B40">
        <v>154418</v>
      </c>
      <c r="C40">
        <v>38017</v>
      </c>
      <c r="D40">
        <v>9</v>
      </c>
      <c r="E40">
        <v>3.25</v>
      </c>
      <c r="F40">
        <v>59.67</v>
      </c>
    </row>
    <row r="41" spans="1:6" x14ac:dyDescent="0.3">
      <c r="A41" s="5">
        <v>40848</v>
      </c>
      <c r="B41">
        <v>154026</v>
      </c>
      <c r="C41">
        <v>38097</v>
      </c>
      <c r="D41">
        <v>8.6300000000000008</v>
      </c>
      <c r="E41">
        <v>3.25</v>
      </c>
      <c r="F41">
        <v>64.8</v>
      </c>
    </row>
    <row r="42" spans="1:6" x14ac:dyDescent="0.3">
      <c r="A42" s="5">
        <v>40940</v>
      </c>
      <c r="B42">
        <v>160743</v>
      </c>
      <c r="C42">
        <v>38880</v>
      </c>
      <c r="D42">
        <v>8.27</v>
      </c>
      <c r="E42">
        <v>3.25</v>
      </c>
      <c r="F42">
        <v>75.5</v>
      </c>
    </row>
    <row r="43" spans="1:6" x14ac:dyDescent="0.3">
      <c r="A43" s="5">
        <v>41030</v>
      </c>
      <c r="B43">
        <v>172000</v>
      </c>
      <c r="C43">
        <v>39234</v>
      </c>
      <c r="D43">
        <v>8.1999999999999993</v>
      </c>
      <c r="E43">
        <v>3.25</v>
      </c>
      <c r="F43">
        <v>76.3</v>
      </c>
    </row>
    <row r="44" spans="1:6" x14ac:dyDescent="0.3">
      <c r="A44" s="5">
        <v>41122</v>
      </c>
      <c r="B44">
        <v>172584</v>
      </c>
      <c r="C44">
        <v>39266</v>
      </c>
      <c r="D44">
        <v>8.0299999999999994</v>
      </c>
      <c r="E44">
        <v>3.25</v>
      </c>
      <c r="F44">
        <v>74.97</v>
      </c>
    </row>
    <row r="45" spans="1:6" x14ac:dyDescent="0.3">
      <c r="A45" s="5">
        <v>41214</v>
      </c>
      <c r="B45">
        <v>167223</v>
      </c>
      <c r="C45">
        <v>40436</v>
      </c>
      <c r="D45">
        <v>7.8</v>
      </c>
      <c r="E45">
        <v>3.25</v>
      </c>
      <c r="F45">
        <v>79.400000000000006</v>
      </c>
    </row>
    <row r="46" spans="1:6" x14ac:dyDescent="0.3">
      <c r="A46" s="5">
        <v>41306</v>
      </c>
      <c r="B46">
        <v>171221</v>
      </c>
      <c r="C46">
        <v>38828</v>
      </c>
      <c r="D46">
        <v>7.73</v>
      </c>
      <c r="E46">
        <v>3.25</v>
      </c>
      <c r="F46">
        <v>76.67</v>
      </c>
    </row>
    <row r="47" spans="1:6" x14ac:dyDescent="0.3">
      <c r="A47" s="5">
        <v>41395</v>
      </c>
      <c r="B47">
        <v>189832</v>
      </c>
      <c r="C47">
        <v>39010</v>
      </c>
      <c r="D47">
        <v>7.53</v>
      </c>
      <c r="E47">
        <v>3.25</v>
      </c>
      <c r="F47">
        <v>81.67</v>
      </c>
    </row>
    <row r="48" spans="1:6" x14ac:dyDescent="0.3">
      <c r="A48" s="5">
        <v>41487</v>
      </c>
      <c r="B48">
        <v>192517</v>
      </c>
      <c r="C48">
        <v>39306</v>
      </c>
      <c r="D48">
        <v>7.27</v>
      </c>
      <c r="E48">
        <v>3.25</v>
      </c>
      <c r="F48">
        <v>81.569999999999993</v>
      </c>
    </row>
    <row r="49" spans="1:6" x14ac:dyDescent="0.3">
      <c r="A49" s="5">
        <v>41579</v>
      </c>
      <c r="B49">
        <v>181804</v>
      </c>
      <c r="C49">
        <v>39481</v>
      </c>
      <c r="D49">
        <v>6.93</v>
      </c>
      <c r="E49">
        <v>3.25</v>
      </c>
      <c r="F49">
        <v>76.930000000000007</v>
      </c>
    </row>
    <row r="50" spans="1:6" x14ac:dyDescent="0.3">
      <c r="A50" s="5">
        <v>41671</v>
      </c>
      <c r="B50">
        <v>179902</v>
      </c>
      <c r="C50">
        <v>40049</v>
      </c>
      <c r="D50">
        <v>6.67</v>
      </c>
      <c r="E50">
        <v>3.25</v>
      </c>
      <c r="F50">
        <v>80.930000000000007</v>
      </c>
    </row>
    <row r="51" spans="1:6" x14ac:dyDescent="0.3">
      <c r="A51" s="5">
        <v>41760</v>
      </c>
      <c r="B51">
        <v>203914</v>
      </c>
      <c r="C51">
        <v>40693</v>
      </c>
      <c r="D51">
        <v>6.2</v>
      </c>
      <c r="E51">
        <v>3.25</v>
      </c>
      <c r="F51">
        <v>82.83</v>
      </c>
    </row>
    <row r="52" spans="1:6" x14ac:dyDescent="0.3">
      <c r="A52" s="5">
        <v>41852</v>
      </c>
      <c r="B52">
        <v>205791</v>
      </c>
      <c r="C52">
        <v>41128</v>
      </c>
      <c r="D52">
        <v>6.1</v>
      </c>
      <c r="E52">
        <v>3.25</v>
      </c>
      <c r="F52">
        <v>82.97</v>
      </c>
    </row>
    <row r="53" spans="1:6" x14ac:dyDescent="0.3">
      <c r="A53" s="5">
        <v>41944</v>
      </c>
      <c r="B53">
        <v>195535</v>
      </c>
      <c r="C53">
        <v>41478</v>
      </c>
      <c r="D53">
        <v>5.7</v>
      </c>
      <c r="E53">
        <v>3.25</v>
      </c>
      <c r="F53">
        <v>89.77</v>
      </c>
    </row>
    <row r="54" spans="1:6" x14ac:dyDescent="0.3">
      <c r="A54" s="5">
        <v>42036</v>
      </c>
      <c r="B54">
        <v>194135</v>
      </c>
      <c r="C54">
        <v>41447</v>
      </c>
      <c r="D54">
        <v>5.53</v>
      </c>
      <c r="E54">
        <v>3.25</v>
      </c>
      <c r="F54">
        <v>95.5</v>
      </c>
    </row>
    <row r="55" spans="1:6" x14ac:dyDescent="0.3">
      <c r="A55" s="5">
        <v>42125</v>
      </c>
      <c r="B55">
        <v>216311</v>
      </c>
      <c r="C55">
        <v>41966</v>
      </c>
      <c r="D55">
        <v>5.4</v>
      </c>
      <c r="E55">
        <v>3.25</v>
      </c>
      <c r="F55">
        <v>94.23</v>
      </c>
    </row>
    <row r="56" spans="1:6" x14ac:dyDescent="0.3">
      <c r="A56" s="5">
        <v>42217</v>
      </c>
      <c r="B56">
        <v>221493</v>
      </c>
      <c r="C56">
        <v>42343</v>
      </c>
      <c r="D56">
        <v>5.0999999999999996</v>
      </c>
      <c r="E56">
        <v>3.25</v>
      </c>
      <c r="F56">
        <v>90.73</v>
      </c>
    </row>
    <row r="57" spans="1:6" x14ac:dyDescent="0.3">
      <c r="A57" s="5">
        <v>42309</v>
      </c>
      <c r="B57">
        <v>210181</v>
      </c>
      <c r="C57">
        <v>42621</v>
      </c>
      <c r="D57">
        <v>5</v>
      </c>
      <c r="E57">
        <v>3.29</v>
      </c>
      <c r="F57">
        <v>91.3</v>
      </c>
    </row>
    <row r="58" spans="1:6" x14ac:dyDescent="0.3">
      <c r="A58" s="5">
        <v>42401</v>
      </c>
      <c r="B58">
        <v>204681</v>
      </c>
      <c r="C58">
        <v>42807</v>
      </c>
      <c r="D58">
        <v>4.93</v>
      </c>
      <c r="E58">
        <v>3.5</v>
      </c>
      <c r="F58">
        <v>91.57</v>
      </c>
    </row>
    <row r="59" spans="1:6" x14ac:dyDescent="0.3">
      <c r="A59" s="5">
        <v>42491</v>
      </c>
      <c r="B59">
        <v>221073</v>
      </c>
      <c r="C59">
        <v>43265</v>
      </c>
      <c r="D59">
        <v>4.87</v>
      </c>
      <c r="E59">
        <v>3.5</v>
      </c>
      <c r="F59">
        <v>92.4</v>
      </c>
    </row>
    <row r="60" spans="1:6" x14ac:dyDescent="0.3">
      <c r="A60" s="5">
        <v>42583</v>
      </c>
      <c r="B60">
        <v>229123</v>
      </c>
      <c r="C60">
        <v>43651</v>
      </c>
      <c r="D60">
        <v>4.9000000000000004</v>
      </c>
      <c r="E60">
        <v>3.5</v>
      </c>
      <c r="F60">
        <v>90.33</v>
      </c>
    </row>
    <row r="61" spans="1:6" x14ac:dyDescent="0.3">
      <c r="A61" s="5">
        <v>42675</v>
      </c>
      <c r="B61">
        <v>221392</v>
      </c>
      <c r="C61">
        <v>43759</v>
      </c>
      <c r="D61">
        <v>4.7</v>
      </c>
      <c r="E61">
        <v>3.55</v>
      </c>
      <c r="F61">
        <v>93.07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3B10D-48B3-4C5D-BB73-24827EF58838}">
  <dimension ref="A1:K61"/>
  <sheetViews>
    <sheetView tabSelected="1" workbookViewId="0">
      <selection activeCell="N9" sqref="N9"/>
    </sheetView>
  </sheetViews>
  <sheetFormatPr defaultRowHeight="14.4" x14ac:dyDescent="0.3"/>
  <cols>
    <col min="2" max="2" width="4.109375" customWidth="1"/>
  </cols>
  <sheetData>
    <row r="1" spans="1:11" x14ac:dyDescent="0.3">
      <c r="A1" t="s">
        <v>6</v>
      </c>
      <c r="C1" t="s">
        <v>11</v>
      </c>
      <c r="D1" t="s">
        <v>7</v>
      </c>
      <c r="E1" t="s">
        <v>8</v>
      </c>
      <c r="F1" t="s">
        <v>9</v>
      </c>
      <c r="G1" t="s">
        <v>10</v>
      </c>
    </row>
    <row r="2" spans="1:11" x14ac:dyDescent="0.3">
      <c r="A2">
        <v>152641</v>
      </c>
      <c r="C2">
        <v>1</v>
      </c>
      <c r="D2">
        <v>27840</v>
      </c>
      <c r="E2">
        <v>5.7</v>
      </c>
      <c r="F2">
        <v>4.75</v>
      </c>
      <c r="G2">
        <v>93.13</v>
      </c>
      <c r="J2" t="s">
        <v>12</v>
      </c>
      <c r="K2">
        <f t="array" ref="K2:K6">MMULT(MMULT(MINVERSE(MMULT(TRANSPOSE(C2:G61),C2:G61)),TRANSPOSE(C2:G61)),A2:A61)</f>
        <v>25428.255372432483</v>
      </c>
    </row>
    <row r="3" spans="1:11" x14ac:dyDescent="0.3">
      <c r="A3">
        <v>166036</v>
      </c>
      <c r="C3">
        <v>1</v>
      </c>
      <c r="D3">
        <v>28134</v>
      </c>
      <c r="E3">
        <v>5.83</v>
      </c>
      <c r="F3">
        <v>4.75</v>
      </c>
      <c r="G3">
        <v>94.1</v>
      </c>
      <c r="J3" t="s">
        <v>13</v>
      </c>
      <c r="K3">
        <v>3.2274615664638113</v>
      </c>
    </row>
    <row r="4" spans="1:11" x14ac:dyDescent="0.3">
      <c r="A4">
        <v>175863</v>
      </c>
      <c r="C4">
        <v>1</v>
      </c>
      <c r="D4">
        <v>28168</v>
      </c>
      <c r="E4">
        <v>5.73</v>
      </c>
      <c r="F4">
        <v>4.75</v>
      </c>
      <c r="G4">
        <v>87.27</v>
      </c>
      <c r="J4" t="s">
        <v>14</v>
      </c>
      <c r="K4">
        <v>-7666.8515781450242</v>
      </c>
    </row>
    <row r="5" spans="1:11" x14ac:dyDescent="0.3">
      <c r="A5">
        <v>151219</v>
      </c>
      <c r="C5">
        <v>1</v>
      </c>
      <c r="D5">
        <v>28363</v>
      </c>
      <c r="E5">
        <v>5.87</v>
      </c>
      <c r="F5">
        <v>4.45</v>
      </c>
      <c r="G5">
        <v>83.83</v>
      </c>
      <c r="J5" t="s">
        <v>15</v>
      </c>
      <c r="K5">
        <v>-3219.49912454477</v>
      </c>
    </row>
    <row r="6" spans="1:11" x14ac:dyDescent="0.3">
      <c r="A6">
        <v>152843</v>
      </c>
      <c r="C6">
        <v>1</v>
      </c>
      <c r="D6">
        <v>28584</v>
      </c>
      <c r="E6">
        <v>5.87</v>
      </c>
      <c r="F6">
        <v>4.25</v>
      </c>
      <c r="G6">
        <v>79.97</v>
      </c>
      <c r="J6" t="s">
        <v>16</v>
      </c>
      <c r="K6">
        <v>1122.4290256210024</v>
      </c>
    </row>
    <row r="7" spans="1:11" x14ac:dyDescent="0.3">
      <c r="A7">
        <v>173360</v>
      </c>
      <c r="C7">
        <v>1</v>
      </c>
      <c r="D7">
        <v>28958</v>
      </c>
      <c r="E7">
        <v>6.13</v>
      </c>
      <c r="F7">
        <v>4.24</v>
      </c>
      <c r="G7">
        <v>89.27</v>
      </c>
    </row>
    <row r="8" spans="1:11" x14ac:dyDescent="0.3">
      <c r="A8">
        <v>178086</v>
      </c>
      <c r="C8">
        <v>1</v>
      </c>
      <c r="D8">
        <v>29539</v>
      </c>
      <c r="E8">
        <v>6.13</v>
      </c>
      <c r="F8">
        <v>4</v>
      </c>
      <c r="G8">
        <v>89.3</v>
      </c>
    </row>
    <row r="9" spans="1:11" x14ac:dyDescent="0.3">
      <c r="A9">
        <v>154916</v>
      </c>
      <c r="C9">
        <v>1</v>
      </c>
      <c r="D9">
        <v>29708</v>
      </c>
      <c r="E9">
        <v>5.83</v>
      </c>
      <c r="F9">
        <v>4</v>
      </c>
      <c r="G9">
        <v>91.97</v>
      </c>
    </row>
    <row r="10" spans="1:11" x14ac:dyDescent="0.3">
      <c r="A10">
        <v>159086</v>
      </c>
      <c r="C10">
        <v>1</v>
      </c>
      <c r="D10">
        <v>30094</v>
      </c>
      <c r="E10">
        <v>5.7</v>
      </c>
      <c r="F10">
        <v>4</v>
      </c>
      <c r="G10">
        <v>98</v>
      </c>
    </row>
    <row r="11" spans="1:11" x14ac:dyDescent="0.3">
      <c r="A11">
        <v>172174</v>
      </c>
      <c r="C11">
        <v>1</v>
      </c>
      <c r="D11">
        <v>30537</v>
      </c>
      <c r="E11">
        <v>5.6</v>
      </c>
      <c r="F11">
        <v>4</v>
      </c>
      <c r="G11">
        <v>93.33</v>
      </c>
    </row>
    <row r="12" spans="1:11" x14ac:dyDescent="0.3">
      <c r="A12">
        <v>178077</v>
      </c>
      <c r="C12">
        <v>1</v>
      </c>
      <c r="D12">
        <v>30800</v>
      </c>
      <c r="E12">
        <v>5.43</v>
      </c>
      <c r="F12">
        <v>4.42</v>
      </c>
      <c r="G12">
        <v>95.6</v>
      </c>
    </row>
    <row r="13" spans="1:11" x14ac:dyDescent="0.3">
      <c r="A13">
        <v>161216</v>
      </c>
      <c r="C13">
        <v>1</v>
      </c>
      <c r="D13">
        <v>31353</v>
      </c>
      <c r="E13">
        <v>5.43</v>
      </c>
      <c r="F13">
        <v>4.9400000000000004</v>
      </c>
      <c r="G13">
        <v>93.87</v>
      </c>
    </row>
    <row r="14" spans="1:11" x14ac:dyDescent="0.3">
      <c r="A14">
        <v>160070</v>
      </c>
      <c r="C14">
        <v>1</v>
      </c>
      <c r="D14">
        <v>31145</v>
      </c>
      <c r="E14">
        <v>5.3</v>
      </c>
      <c r="F14">
        <v>5.44</v>
      </c>
      <c r="G14">
        <v>94.07</v>
      </c>
    </row>
    <row r="15" spans="1:11" x14ac:dyDescent="0.3">
      <c r="A15">
        <v>183594</v>
      </c>
      <c r="C15">
        <v>1</v>
      </c>
      <c r="D15">
        <v>31533</v>
      </c>
      <c r="E15">
        <v>5.0999999999999996</v>
      </c>
      <c r="F15">
        <v>5.91</v>
      </c>
      <c r="G15">
        <v>90.2</v>
      </c>
    </row>
    <row r="16" spans="1:11" x14ac:dyDescent="0.3">
      <c r="A16">
        <v>184878</v>
      </c>
      <c r="C16">
        <v>1</v>
      </c>
      <c r="D16">
        <v>31961</v>
      </c>
      <c r="E16">
        <v>4.97</v>
      </c>
      <c r="F16">
        <v>6.43</v>
      </c>
      <c r="G16">
        <v>87.5</v>
      </c>
    </row>
    <row r="17" spans="1:7" x14ac:dyDescent="0.3">
      <c r="A17">
        <v>153405</v>
      </c>
      <c r="C17">
        <v>1</v>
      </c>
      <c r="D17">
        <v>32396</v>
      </c>
      <c r="E17">
        <v>4.97</v>
      </c>
      <c r="F17">
        <v>6.97</v>
      </c>
      <c r="G17">
        <v>82.43</v>
      </c>
    </row>
    <row r="18" spans="1:7" x14ac:dyDescent="0.3">
      <c r="A18">
        <v>164864</v>
      </c>
      <c r="C18">
        <v>1</v>
      </c>
      <c r="D18">
        <v>33217</v>
      </c>
      <c r="E18">
        <v>4.7300000000000004</v>
      </c>
      <c r="F18">
        <v>7.43</v>
      </c>
      <c r="G18">
        <v>88.93</v>
      </c>
    </row>
    <row r="19" spans="1:7" x14ac:dyDescent="0.3">
      <c r="A19">
        <v>178363</v>
      </c>
      <c r="C19">
        <v>1</v>
      </c>
      <c r="D19">
        <v>33448</v>
      </c>
      <c r="E19">
        <v>4.63</v>
      </c>
      <c r="F19">
        <v>7.9</v>
      </c>
      <c r="G19">
        <v>83.8</v>
      </c>
    </row>
    <row r="20" spans="1:7" x14ac:dyDescent="0.3">
      <c r="A20">
        <v>181615</v>
      </c>
      <c r="C20">
        <v>1</v>
      </c>
      <c r="D20">
        <v>33696</v>
      </c>
      <c r="E20">
        <v>4.63</v>
      </c>
      <c r="F20">
        <v>8.25</v>
      </c>
      <c r="G20">
        <v>84.03</v>
      </c>
    </row>
    <row r="21" spans="1:7" x14ac:dyDescent="0.3">
      <c r="A21">
        <v>160780</v>
      </c>
      <c r="C21">
        <v>1</v>
      </c>
      <c r="D21">
        <v>33991</v>
      </c>
      <c r="E21">
        <v>4.43</v>
      </c>
      <c r="F21">
        <v>8.25</v>
      </c>
      <c r="G21">
        <v>92.47</v>
      </c>
    </row>
    <row r="22" spans="1:7" x14ac:dyDescent="0.3">
      <c r="A22">
        <v>167528</v>
      </c>
      <c r="C22">
        <v>1</v>
      </c>
      <c r="D22">
        <v>34457</v>
      </c>
      <c r="E22">
        <v>4.5</v>
      </c>
      <c r="F22">
        <v>8.25</v>
      </c>
      <c r="G22">
        <v>92.2</v>
      </c>
    </row>
    <row r="23" spans="1:7" x14ac:dyDescent="0.3">
      <c r="A23">
        <v>180006</v>
      </c>
      <c r="C23">
        <v>1</v>
      </c>
      <c r="D23">
        <v>34720</v>
      </c>
      <c r="E23">
        <v>4.5</v>
      </c>
      <c r="F23">
        <v>8.25</v>
      </c>
      <c r="G23">
        <v>86.9</v>
      </c>
    </row>
    <row r="24" spans="1:7" x14ac:dyDescent="0.3">
      <c r="A24">
        <v>179216</v>
      </c>
      <c r="C24">
        <v>1</v>
      </c>
      <c r="D24">
        <v>34918</v>
      </c>
      <c r="E24">
        <v>4.67</v>
      </c>
      <c r="F24">
        <v>8.18</v>
      </c>
      <c r="G24">
        <v>85.73</v>
      </c>
    </row>
    <row r="25" spans="1:7" x14ac:dyDescent="0.3">
      <c r="A25">
        <v>160957</v>
      </c>
      <c r="C25">
        <v>1</v>
      </c>
      <c r="D25">
        <v>35209</v>
      </c>
      <c r="E25">
        <v>4.8</v>
      </c>
      <c r="F25">
        <v>7.52</v>
      </c>
      <c r="G25">
        <v>77.5</v>
      </c>
    </row>
    <row r="26" spans="1:7" x14ac:dyDescent="0.3">
      <c r="A26">
        <v>158369</v>
      </c>
      <c r="C26">
        <v>1</v>
      </c>
      <c r="D26">
        <v>35688</v>
      </c>
      <c r="E26">
        <v>5</v>
      </c>
      <c r="F26">
        <v>6.21</v>
      </c>
      <c r="G26">
        <v>72.900000000000006</v>
      </c>
    </row>
    <row r="27" spans="1:7" x14ac:dyDescent="0.3">
      <c r="A27">
        <v>158761</v>
      </c>
      <c r="C27">
        <v>1</v>
      </c>
      <c r="D27">
        <v>36742</v>
      </c>
      <c r="E27">
        <v>5.33</v>
      </c>
      <c r="F27">
        <v>5.08</v>
      </c>
      <c r="G27">
        <v>59.6</v>
      </c>
    </row>
    <row r="28" spans="1:7" x14ac:dyDescent="0.3">
      <c r="A28">
        <v>146003</v>
      </c>
      <c r="C28">
        <v>1</v>
      </c>
      <c r="D28">
        <v>36175</v>
      </c>
      <c r="E28">
        <v>6</v>
      </c>
      <c r="F28">
        <v>5</v>
      </c>
      <c r="G28">
        <v>64.83</v>
      </c>
    </row>
    <row r="29" spans="1:7" x14ac:dyDescent="0.3">
      <c r="A29">
        <v>112460</v>
      </c>
      <c r="C29">
        <v>1</v>
      </c>
      <c r="D29">
        <v>35801</v>
      </c>
      <c r="E29">
        <v>6.87</v>
      </c>
      <c r="F29">
        <v>4.0599999999999996</v>
      </c>
      <c r="G29">
        <v>57.67</v>
      </c>
    </row>
    <row r="30" spans="1:7" x14ac:dyDescent="0.3">
      <c r="A30">
        <v>111819</v>
      </c>
      <c r="C30">
        <v>1</v>
      </c>
      <c r="D30">
        <v>35459</v>
      </c>
      <c r="E30">
        <v>8.27</v>
      </c>
      <c r="F30">
        <v>3.25</v>
      </c>
      <c r="G30">
        <v>58.27</v>
      </c>
    </row>
    <row r="31" spans="1:7" x14ac:dyDescent="0.3">
      <c r="A31">
        <v>122950</v>
      </c>
      <c r="C31">
        <v>1</v>
      </c>
      <c r="D31">
        <v>35798</v>
      </c>
      <c r="E31">
        <v>9.3000000000000007</v>
      </c>
      <c r="F31">
        <v>3.25</v>
      </c>
      <c r="G31">
        <v>68.2</v>
      </c>
    </row>
    <row r="32" spans="1:7" x14ac:dyDescent="0.3">
      <c r="A32">
        <v>132705</v>
      </c>
      <c r="C32">
        <v>1</v>
      </c>
      <c r="D32">
        <v>35546</v>
      </c>
      <c r="E32">
        <v>9.6300000000000008</v>
      </c>
      <c r="F32">
        <v>3.25</v>
      </c>
      <c r="G32">
        <v>68.400000000000006</v>
      </c>
    </row>
    <row r="33" spans="1:7" x14ac:dyDescent="0.3">
      <c r="A33">
        <v>119091</v>
      </c>
      <c r="C33">
        <v>1</v>
      </c>
      <c r="D33">
        <v>35658</v>
      </c>
      <c r="E33">
        <v>9.93</v>
      </c>
      <c r="F33">
        <v>3.25</v>
      </c>
      <c r="G33">
        <v>70.17</v>
      </c>
    </row>
    <row r="34" spans="1:7" x14ac:dyDescent="0.3">
      <c r="A34">
        <v>124117</v>
      </c>
      <c r="C34">
        <v>1</v>
      </c>
      <c r="D34">
        <v>35744</v>
      </c>
      <c r="E34">
        <v>9.83</v>
      </c>
      <c r="F34">
        <v>3.25</v>
      </c>
      <c r="G34">
        <v>73.87</v>
      </c>
    </row>
    <row r="35" spans="1:7" x14ac:dyDescent="0.3">
      <c r="A35">
        <v>142278</v>
      </c>
      <c r="C35">
        <v>1</v>
      </c>
      <c r="D35">
        <v>36183</v>
      </c>
      <c r="E35">
        <v>9.6300000000000008</v>
      </c>
      <c r="F35">
        <v>3.25</v>
      </c>
      <c r="G35">
        <v>73.930000000000007</v>
      </c>
    </row>
    <row r="36" spans="1:7" x14ac:dyDescent="0.3">
      <c r="A36">
        <v>144165</v>
      </c>
      <c r="C36">
        <v>1</v>
      </c>
      <c r="D36">
        <v>36397</v>
      </c>
      <c r="E36">
        <v>9.4700000000000006</v>
      </c>
      <c r="F36">
        <v>3.25</v>
      </c>
      <c r="G36">
        <v>68.3</v>
      </c>
    </row>
    <row r="37" spans="1:7" x14ac:dyDescent="0.3">
      <c r="A37">
        <v>138913</v>
      </c>
      <c r="C37">
        <v>1</v>
      </c>
      <c r="D37">
        <v>36770</v>
      </c>
      <c r="E37">
        <v>9.5</v>
      </c>
      <c r="F37">
        <v>3.25</v>
      </c>
      <c r="G37">
        <v>71.27</v>
      </c>
    </row>
    <row r="38" spans="1:7" x14ac:dyDescent="0.3">
      <c r="A38">
        <v>146009</v>
      </c>
      <c r="C38">
        <v>1</v>
      </c>
      <c r="D38">
        <v>37436</v>
      </c>
      <c r="E38">
        <v>9.0299999999999994</v>
      </c>
      <c r="F38">
        <v>3.25</v>
      </c>
      <c r="G38">
        <v>73.069999999999993</v>
      </c>
    </row>
    <row r="39" spans="1:7" x14ac:dyDescent="0.3">
      <c r="A39">
        <v>154335</v>
      </c>
      <c r="C39">
        <v>1</v>
      </c>
      <c r="D39">
        <v>37692</v>
      </c>
      <c r="E39">
        <v>9.07</v>
      </c>
      <c r="F39">
        <v>3.25</v>
      </c>
      <c r="G39">
        <v>71.87</v>
      </c>
    </row>
    <row r="40" spans="1:7" x14ac:dyDescent="0.3">
      <c r="A40">
        <v>154418</v>
      </c>
      <c r="C40">
        <v>1</v>
      </c>
      <c r="D40">
        <v>38017</v>
      </c>
      <c r="E40">
        <v>9</v>
      </c>
      <c r="F40">
        <v>3.25</v>
      </c>
      <c r="G40">
        <v>59.67</v>
      </c>
    </row>
    <row r="41" spans="1:7" x14ac:dyDescent="0.3">
      <c r="A41">
        <v>154026</v>
      </c>
      <c r="C41">
        <v>1</v>
      </c>
      <c r="D41">
        <v>38097</v>
      </c>
      <c r="E41">
        <v>8.6300000000000008</v>
      </c>
      <c r="F41">
        <v>3.25</v>
      </c>
      <c r="G41">
        <v>64.8</v>
      </c>
    </row>
    <row r="42" spans="1:7" x14ac:dyDescent="0.3">
      <c r="A42">
        <v>160743</v>
      </c>
      <c r="C42">
        <v>1</v>
      </c>
      <c r="D42">
        <v>38880</v>
      </c>
      <c r="E42">
        <v>8.27</v>
      </c>
      <c r="F42">
        <v>3.25</v>
      </c>
      <c r="G42">
        <v>75.5</v>
      </c>
    </row>
    <row r="43" spans="1:7" x14ac:dyDescent="0.3">
      <c r="A43">
        <v>172000</v>
      </c>
      <c r="C43">
        <v>1</v>
      </c>
      <c r="D43">
        <v>39234</v>
      </c>
      <c r="E43">
        <v>8.1999999999999993</v>
      </c>
      <c r="F43">
        <v>3.25</v>
      </c>
      <c r="G43">
        <v>76.3</v>
      </c>
    </row>
    <row r="44" spans="1:7" x14ac:dyDescent="0.3">
      <c r="A44">
        <v>172584</v>
      </c>
      <c r="C44">
        <v>1</v>
      </c>
      <c r="D44">
        <v>39266</v>
      </c>
      <c r="E44">
        <v>8.0299999999999994</v>
      </c>
      <c r="F44">
        <v>3.25</v>
      </c>
      <c r="G44">
        <v>74.97</v>
      </c>
    </row>
    <row r="45" spans="1:7" x14ac:dyDescent="0.3">
      <c r="A45">
        <v>167223</v>
      </c>
      <c r="C45">
        <v>1</v>
      </c>
      <c r="D45">
        <v>40436</v>
      </c>
      <c r="E45">
        <v>7.8</v>
      </c>
      <c r="F45">
        <v>3.25</v>
      </c>
      <c r="G45">
        <v>79.400000000000006</v>
      </c>
    </row>
    <row r="46" spans="1:7" x14ac:dyDescent="0.3">
      <c r="A46">
        <v>171221</v>
      </c>
      <c r="C46">
        <v>1</v>
      </c>
      <c r="D46">
        <v>38828</v>
      </c>
      <c r="E46">
        <v>7.73</v>
      </c>
      <c r="F46">
        <v>3.25</v>
      </c>
      <c r="G46">
        <v>76.67</v>
      </c>
    </row>
    <row r="47" spans="1:7" x14ac:dyDescent="0.3">
      <c r="A47">
        <v>189832</v>
      </c>
      <c r="C47">
        <v>1</v>
      </c>
      <c r="D47">
        <v>39010</v>
      </c>
      <c r="E47">
        <v>7.53</v>
      </c>
      <c r="F47">
        <v>3.25</v>
      </c>
      <c r="G47">
        <v>81.67</v>
      </c>
    </row>
    <row r="48" spans="1:7" x14ac:dyDescent="0.3">
      <c r="A48">
        <v>192517</v>
      </c>
      <c r="C48">
        <v>1</v>
      </c>
      <c r="D48">
        <v>39306</v>
      </c>
      <c r="E48">
        <v>7.27</v>
      </c>
      <c r="F48">
        <v>3.25</v>
      </c>
      <c r="G48">
        <v>81.569999999999993</v>
      </c>
    </row>
    <row r="49" spans="1:7" x14ac:dyDescent="0.3">
      <c r="A49">
        <v>181804</v>
      </c>
      <c r="C49">
        <v>1</v>
      </c>
      <c r="D49">
        <v>39481</v>
      </c>
      <c r="E49">
        <v>6.93</v>
      </c>
      <c r="F49">
        <v>3.25</v>
      </c>
      <c r="G49">
        <v>76.930000000000007</v>
      </c>
    </row>
    <row r="50" spans="1:7" x14ac:dyDescent="0.3">
      <c r="A50">
        <v>179902</v>
      </c>
      <c r="C50">
        <v>1</v>
      </c>
      <c r="D50">
        <v>40049</v>
      </c>
      <c r="E50">
        <v>6.67</v>
      </c>
      <c r="F50">
        <v>3.25</v>
      </c>
      <c r="G50">
        <v>80.930000000000007</v>
      </c>
    </row>
    <row r="51" spans="1:7" x14ac:dyDescent="0.3">
      <c r="A51">
        <v>203914</v>
      </c>
      <c r="C51">
        <v>1</v>
      </c>
      <c r="D51">
        <v>40693</v>
      </c>
      <c r="E51">
        <v>6.2</v>
      </c>
      <c r="F51">
        <v>3.25</v>
      </c>
      <c r="G51">
        <v>82.83</v>
      </c>
    </row>
    <row r="52" spans="1:7" x14ac:dyDescent="0.3">
      <c r="A52">
        <v>205791</v>
      </c>
      <c r="C52">
        <v>1</v>
      </c>
      <c r="D52">
        <v>41128</v>
      </c>
      <c r="E52">
        <v>6.1</v>
      </c>
      <c r="F52">
        <v>3.25</v>
      </c>
      <c r="G52">
        <v>82.97</v>
      </c>
    </row>
    <row r="53" spans="1:7" x14ac:dyDescent="0.3">
      <c r="A53">
        <v>195535</v>
      </c>
      <c r="C53">
        <v>1</v>
      </c>
      <c r="D53">
        <v>41478</v>
      </c>
      <c r="E53">
        <v>5.7</v>
      </c>
      <c r="F53">
        <v>3.25</v>
      </c>
      <c r="G53">
        <v>89.77</v>
      </c>
    </row>
    <row r="54" spans="1:7" x14ac:dyDescent="0.3">
      <c r="A54">
        <v>194135</v>
      </c>
      <c r="C54">
        <v>1</v>
      </c>
      <c r="D54">
        <v>41447</v>
      </c>
      <c r="E54">
        <v>5.53</v>
      </c>
      <c r="F54">
        <v>3.25</v>
      </c>
      <c r="G54">
        <v>95.5</v>
      </c>
    </row>
    <row r="55" spans="1:7" x14ac:dyDescent="0.3">
      <c r="A55">
        <v>216311</v>
      </c>
      <c r="C55">
        <v>1</v>
      </c>
      <c r="D55">
        <v>41966</v>
      </c>
      <c r="E55">
        <v>5.4</v>
      </c>
      <c r="F55">
        <v>3.25</v>
      </c>
      <c r="G55">
        <v>94.23</v>
      </c>
    </row>
    <row r="56" spans="1:7" x14ac:dyDescent="0.3">
      <c r="A56">
        <v>221493</v>
      </c>
      <c r="C56">
        <v>1</v>
      </c>
      <c r="D56">
        <v>42343</v>
      </c>
      <c r="E56">
        <v>5.0999999999999996</v>
      </c>
      <c r="F56">
        <v>3.25</v>
      </c>
      <c r="G56">
        <v>90.73</v>
      </c>
    </row>
    <row r="57" spans="1:7" x14ac:dyDescent="0.3">
      <c r="A57">
        <v>210181</v>
      </c>
      <c r="C57">
        <v>1</v>
      </c>
      <c r="D57">
        <v>42621</v>
      </c>
      <c r="E57">
        <v>5</v>
      </c>
      <c r="F57">
        <v>3.29</v>
      </c>
      <c r="G57">
        <v>91.3</v>
      </c>
    </row>
    <row r="58" spans="1:7" x14ac:dyDescent="0.3">
      <c r="A58">
        <v>204681</v>
      </c>
      <c r="C58">
        <v>1</v>
      </c>
      <c r="D58">
        <v>42807</v>
      </c>
      <c r="E58">
        <v>4.93</v>
      </c>
      <c r="F58">
        <v>3.5</v>
      </c>
      <c r="G58">
        <v>91.57</v>
      </c>
    </row>
    <row r="59" spans="1:7" x14ac:dyDescent="0.3">
      <c r="A59">
        <v>221073</v>
      </c>
      <c r="C59">
        <v>1</v>
      </c>
      <c r="D59">
        <v>43265</v>
      </c>
      <c r="E59">
        <v>4.87</v>
      </c>
      <c r="F59">
        <v>3.5</v>
      </c>
      <c r="G59">
        <v>92.4</v>
      </c>
    </row>
    <row r="60" spans="1:7" x14ac:dyDescent="0.3">
      <c r="A60">
        <v>229123</v>
      </c>
      <c r="C60">
        <v>1</v>
      </c>
      <c r="D60">
        <v>43651</v>
      </c>
      <c r="E60">
        <v>4.9000000000000004</v>
      </c>
      <c r="F60">
        <v>3.5</v>
      </c>
      <c r="G60">
        <v>90.33</v>
      </c>
    </row>
    <row r="61" spans="1:7" x14ac:dyDescent="0.3">
      <c r="A61">
        <v>221392</v>
      </c>
      <c r="C61">
        <v>1</v>
      </c>
      <c r="D61">
        <v>43759</v>
      </c>
      <c r="E61">
        <v>4.7</v>
      </c>
      <c r="F61">
        <v>3.55</v>
      </c>
      <c r="G61">
        <v>93.07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F846F99B6B8D428F9F7C242A6AB43C" ma:contentTypeVersion="3" ma:contentTypeDescription="Create a new document." ma:contentTypeScope="" ma:versionID="b73aa369982c0e65af77f8cfa86d2807">
  <xsd:schema xmlns:xsd="http://www.w3.org/2001/XMLSchema" xmlns:xs="http://www.w3.org/2001/XMLSchema" xmlns:p="http://schemas.microsoft.com/office/2006/metadata/properties" xmlns:ns2="b943f129-a7cc-4119-8885-bafc764d2a65" targetNamespace="http://schemas.microsoft.com/office/2006/metadata/properties" ma:root="true" ma:fieldsID="4651074ac392566ed8a2bce3b6e12e1d" ns2:_="">
    <xsd:import namespace="b943f129-a7cc-4119-8885-bafc764d2a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43f129-a7cc-4119-8885-bafc764d2a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28F8094-5227-44B2-BC03-A0EF799D0EF4}"/>
</file>

<file path=customXml/itemProps2.xml><?xml version="1.0" encoding="utf-8"?>
<ds:datastoreItem xmlns:ds="http://schemas.openxmlformats.org/officeDocument/2006/customXml" ds:itemID="{449406AB-07CB-464D-A39B-176695AEE3B9}"/>
</file>

<file path=customXml/itemProps3.xml><?xml version="1.0" encoding="utf-8"?>
<ds:datastoreItem xmlns:ds="http://schemas.openxmlformats.org/officeDocument/2006/customXml" ds:itemID="{20D555D9-A1EB-4C0E-937C-7973C8640C4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JewelryData</vt:lpstr>
      <vt:lpstr>NewCarSales</vt:lpstr>
      <vt:lpstr>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2023-02-22T03:44:05Z</dcterms:created>
  <dcterms:modified xsi:type="dcterms:W3CDTF">2023-03-01T09:13:45Z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0x010100C4F846F99B6B8D428F9F7C242A6AB43C</vt:lpwstr>
  </property>
</Properties>
</file>