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0FDC3D3E-8FEE-45DC-90F0-B80DDB59295B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ACF" sheetId="1" r:id="rId1"/>
    <sheet name="c7t2" sheetId="4" r:id="rId2"/>
    <sheet name="simAR1MA1" sheetId="12" r:id="rId3"/>
    <sheet name="MA1" sheetId="7" r:id="rId4"/>
    <sheet name="AR1" sheetId="8" r:id="rId5"/>
    <sheet name="AR1Forecast" sheetId="6" r:id="rId6"/>
    <sheet name="WHLoc" sheetId="13" r:id="rId7"/>
    <sheet name="AR1SSE" sheetId="11" r:id="rId8"/>
    <sheet name="AR1Loglikelihood" sheetId="9" r:id="rId9"/>
    <sheet name="c7p9" sheetId="5" r:id="rId10"/>
  </sheets>
  <definedNames>
    <definedName name="solver_adj" localSheetId="8" hidden="1">AR1Loglikelihood!$V$2:$V$3</definedName>
    <definedName name="solver_adj" localSheetId="7" hidden="1">AR1SSE!$U$2:$U$3</definedName>
    <definedName name="solver_adj" localSheetId="6" hidden="1">WHLoc!$D$7:$D$7</definedName>
    <definedName name="solver_cvg" localSheetId="8" hidden="1">0.0001</definedName>
    <definedName name="solver_cvg" localSheetId="7" hidden="1">0.0001</definedName>
    <definedName name="solver_cvg" localSheetId="6" hidden="1">0.0001</definedName>
    <definedName name="solver_drv" localSheetId="8" hidden="1">1</definedName>
    <definedName name="solver_drv" localSheetId="7" hidden="1">1</definedName>
    <definedName name="solver_drv" localSheetId="6" hidden="1">1</definedName>
    <definedName name="solver_eng" localSheetId="8" hidden="1">1</definedName>
    <definedName name="solver_eng" localSheetId="7" hidden="1">1</definedName>
    <definedName name="solver_eng" localSheetId="6" hidden="1">1</definedName>
    <definedName name="solver_est" localSheetId="8" hidden="1">1</definedName>
    <definedName name="solver_est" localSheetId="7" hidden="1">1</definedName>
    <definedName name="solver_est" localSheetId="6" hidden="1">1</definedName>
    <definedName name="solver_itr" localSheetId="8" hidden="1">2147483647</definedName>
    <definedName name="solver_itr" localSheetId="7" hidden="1">2147483647</definedName>
    <definedName name="solver_itr" localSheetId="6" hidden="1">2147483647</definedName>
    <definedName name="solver_mip" localSheetId="8" hidden="1">2147483647</definedName>
    <definedName name="solver_mip" localSheetId="7" hidden="1">2147483647</definedName>
    <definedName name="solver_mip" localSheetId="6" hidden="1">2147483647</definedName>
    <definedName name="solver_mni" localSheetId="8" hidden="1">30</definedName>
    <definedName name="solver_mni" localSheetId="7" hidden="1">30</definedName>
    <definedName name="solver_mni" localSheetId="6" hidden="1">30</definedName>
    <definedName name="solver_mrt" localSheetId="8" hidden="1">0.075</definedName>
    <definedName name="solver_mrt" localSheetId="7" hidden="1">0.075</definedName>
    <definedName name="solver_mrt" localSheetId="6" hidden="1">0.075</definedName>
    <definedName name="solver_msl" localSheetId="8" hidden="1">2</definedName>
    <definedName name="solver_msl" localSheetId="7" hidden="1">2</definedName>
    <definedName name="solver_msl" localSheetId="6" hidden="1">2</definedName>
    <definedName name="solver_neg" localSheetId="8" hidden="1">2</definedName>
    <definedName name="solver_neg" localSheetId="7" hidden="1">2</definedName>
    <definedName name="solver_neg" localSheetId="6" hidden="1">2</definedName>
    <definedName name="solver_nod" localSheetId="8" hidden="1">2147483647</definedName>
    <definedName name="solver_nod" localSheetId="7" hidden="1">2147483647</definedName>
    <definedName name="solver_nod" localSheetId="6" hidden="1">2147483647</definedName>
    <definedName name="solver_num" localSheetId="8" hidden="1">0</definedName>
    <definedName name="solver_num" localSheetId="7" hidden="1">0</definedName>
    <definedName name="solver_num" localSheetId="6" hidden="1">0</definedName>
    <definedName name="solver_nwt" localSheetId="8" hidden="1">1</definedName>
    <definedName name="solver_nwt" localSheetId="7" hidden="1">1</definedName>
    <definedName name="solver_nwt" localSheetId="6" hidden="1">1</definedName>
    <definedName name="solver_opt" localSheetId="8" hidden="1">AR1Loglikelihood!$V$10</definedName>
    <definedName name="solver_opt" localSheetId="7" hidden="1">AR1SSE!$U$4</definedName>
    <definedName name="solver_opt" localSheetId="6" hidden="1">WHLoc!$G$8</definedName>
    <definedName name="solver_pre" localSheetId="8" hidden="1">0.000001</definedName>
    <definedName name="solver_pre" localSheetId="7" hidden="1">0.000001</definedName>
    <definedName name="solver_pre" localSheetId="6" hidden="1">0.000001</definedName>
    <definedName name="solver_rbv" localSheetId="8" hidden="1">1</definedName>
    <definedName name="solver_rbv" localSheetId="7" hidden="1">1</definedName>
    <definedName name="solver_rbv" localSheetId="6" hidden="1">1</definedName>
    <definedName name="solver_rlx" localSheetId="8" hidden="1">2</definedName>
    <definedName name="solver_rlx" localSheetId="7" hidden="1">2</definedName>
    <definedName name="solver_rlx" localSheetId="6" hidden="1">2</definedName>
    <definedName name="solver_rsd" localSheetId="8" hidden="1">0</definedName>
    <definedName name="solver_rsd" localSheetId="7" hidden="1">0</definedName>
    <definedName name="solver_rsd" localSheetId="6" hidden="1">0</definedName>
    <definedName name="solver_scl" localSheetId="8" hidden="1">1</definedName>
    <definedName name="solver_scl" localSheetId="7" hidden="1">1</definedName>
    <definedName name="solver_scl" localSheetId="6" hidden="1">1</definedName>
    <definedName name="solver_sho" localSheetId="8" hidden="1">2</definedName>
    <definedName name="solver_sho" localSheetId="7" hidden="1">2</definedName>
    <definedName name="solver_sho" localSheetId="6" hidden="1">2</definedName>
    <definedName name="solver_ssz" localSheetId="8" hidden="1">100</definedName>
    <definedName name="solver_ssz" localSheetId="7" hidden="1">100</definedName>
    <definedName name="solver_ssz" localSheetId="6" hidden="1">100</definedName>
    <definedName name="solver_tim" localSheetId="8" hidden="1">2147483647</definedName>
    <definedName name="solver_tim" localSheetId="7" hidden="1">2147483647</definedName>
    <definedName name="solver_tim" localSheetId="6" hidden="1">2147483647</definedName>
    <definedName name="solver_tol" localSheetId="8" hidden="1">0.01</definedName>
    <definedName name="solver_tol" localSheetId="7" hidden="1">0.01</definedName>
    <definedName name="solver_tol" localSheetId="6" hidden="1">0.01</definedName>
    <definedName name="solver_typ" localSheetId="8" hidden="1">1</definedName>
    <definedName name="solver_typ" localSheetId="7" hidden="1">2</definedName>
    <definedName name="solver_typ" localSheetId="6" hidden="1">2</definedName>
    <definedName name="solver_val" localSheetId="8" hidden="1">0</definedName>
    <definedName name="solver_val" localSheetId="7" hidden="1">0</definedName>
    <definedName name="solver_val" localSheetId="6" hidden="1">0</definedName>
    <definedName name="solver_ver" localSheetId="8" hidden="1">3</definedName>
    <definedName name="solver_ver" localSheetId="7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G5" i="13"/>
  <c r="G6" i="13"/>
  <c r="G3" i="13"/>
  <c r="E6" i="13"/>
  <c r="E5" i="13"/>
  <c r="E4" i="13"/>
  <c r="E3" i="13"/>
  <c r="X9" i="9"/>
  <c r="P2" i="9"/>
  <c r="Q2" i="9" s="1"/>
  <c r="R6" i="12"/>
  <c r="R7" i="12"/>
  <c r="R8" i="12"/>
  <c r="R9" i="12"/>
  <c r="R10" i="12"/>
  <c r="R11" i="12"/>
  <c r="R12" i="12"/>
  <c r="R13" i="12"/>
  <c r="R14" i="12"/>
  <c r="R5" i="12"/>
  <c r="G8" i="13" l="1"/>
  <c r="B5" i="12"/>
  <c r="B6" i="12" l="1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4" i="12"/>
  <c r="C4" i="12" s="1"/>
  <c r="C5" i="12" s="1"/>
  <c r="E5" i="12" l="1"/>
  <c r="D4" i="12"/>
  <c r="E93" i="12"/>
  <c r="E81" i="12"/>
  <c r="E69" i="12"/>
  <c r="E57" i="12"/>
  <c r="E33" i="12"/>
  <c r="E21" i="12"/>
  <c r="E9" i="12"/>
  <c r="E103" i="12"/>
  <c r="E91" i="12"/>
  <c r="E79" i="12"/>
  <c r="E67" i="12"/>
  <c r="E55" i="12"/>
  <c r="E43" i="12"/>
  <c r="E31" i="12"/>
  <c r="E19" i="12"/>
  <c r="E7" i="12"/>
  <c r="E45" i="12"/>
  <c r="E98" i="12"/>
  <c r="E86" i="12"/>
  <c r="E74" i="12"/>
  <c r="E96" i="12"/>
  <c r="E84" i="12"/>
  <c r="E72" i="12"/>
  <c r="E60" i="12"/>
  <c r="E48" i="12"/>
  <c r="E36" i="12"/>
  <c r="E24" i="12"/>
  <c r="E12" i="12"/>
  <c r="E102" i="12"/>
  <c r="E90" i="12"/>
  <c r="E78" i="12"/>
  <c r="E66" i="12"/>
  <c r="E54" i="12"/>
  <c r="E42" i="12"/>
  <c r="E30" i="12"/>
  <c r="E18" i="12"/>
  <c r="E6" i="12"/>
  <c r="E62" i="12"/>
  <c r="E50" i="12"/>
  <c r="E38" i="12"/>
  <c r="E26" i="12"/>
  <c r="E14" i="12"/>
  <c r="E88" i="12"/>
  <c r="E76" i="12"/>
  <c r="E52" i="12"/>
  <c r="E28" i="12"/>
  <c r="E16" i="12"/>
  <c r="E94" i="12"/>
  <c r="E82" i="12"/>
  <c r="E70" i="12"/>
  <c r="E58" i="12"/>
  <c r="E46" i="12"/>
  <c r="E34" i="12"/>
  <c r="E22" i="12"/>
  <c r="E10" i="12"/>
  <c r="E104" i="12"/>
  <c r="E80" i="12"/>
  <c r="E68" i="12"/>
  <c r="E44" i="12"/>
  <c r="E32" i="12"/>
  <c r="E8" i="12"/>
  <c r="E101" i="12"/>
  <c r="E64" i="12"/>
  <c r="E41" i="12"/>
  <c r="E99" i="12"/>
  <c r="E87" i="12"/>
  <c r="E75" i="12"/>
  <c r="E63" i="12"/>
  <c r="E51" i="12"/>
  <c r="E39" i="12"/>
  <c r="E27" i="12"/>
  <c r="E15" i="12"/>
  <c r="E97" i="12"/>
  <c r="E85" i="12"/>
  <c r="E73" i="12"/>
  <c r="E61" i="12"/>
  <c r="E49" i="12"/>
  <c r="E37" i="12"/>
  <c r="E25" i="12"/>
  <c r="E13" i="12"/>
  <c r="E92" i="12"/>
  <c r="E56" i="12"/>
  <c r="E20" i="12"/>
  <c r="E95" i="12"/>
  <c r="E83" i="12"/>
  <c r="E71" i="12"/>
  <c r="E59" i="12"/>
  <c r="E47" i="12"/>
  <c r="E35" i="12"/>
  <c r="E23" i="12"/>
  <c r="E11" i="12"/>
  <c r="E89" i="12"/>
  <c r="E65" i="12"/>
  <c r="E53" i="12"/>
  <c r="E29" i="12"/>
  <c r="E100" i="12"/>
  <c r="E40" i="12"/>
  <c r="E77" i="12"/>
  <c r="E17" i="12"/>
  <c r="E4" i="12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P201" i="11"/>
  <c r="Q201" i="11" s="1"/>
  <c r="P200" i="11"/>
  <c r="Q200" i="11" s="1"/>
  <c r="P199" i="11"/>
  <c r="Q199" i="11" s="1"/>
  <c r="P198" i="11"/>
  <c r="Q198" i="11" s="1"/>
  <c r="P197" i="11"/>
  <c r="Q197" i="11" s="1"/>
  <c r="P196" i="11"/>
  <c r="Q196" i="11" s="1"/>
  <c r="P195" i="11"/>
  <c r="Q195" i="11" s="1"/>
  <c r="P194" i="11"/>
  <c r="Q194" i="11" s="1"/>
  <c r="P193" i="11"/>
  <c r="Q193" i="11" s="1"/>
  <c r="P192" i="11"/>
  <c r="Q192" i="11" s="1"/>
  <c r="P191" i="11"/>
  <c r="Q191" i="11" s="1"/>
  <c r="P190" i="11"/>
  <c r="Q190" i="11" s="1"/>
  <c r="P189" i="11"/>
  <c r="Q189" i="11" s="1"/>
  <c r="P188" i="11"/>
  <c r="Q188" i="11" s="1"/>
  <c r="P187" i="11"/>
  <c r="Q187" i="11" s="1"/>
  <c r="P186" i="11"/>
  <c r="Q186" i="11" s="1"/>
  <c r="P185" i="11"/>
  <c r="Q185" i="11" s="1"/>
  <c r="P184" i="11"/>
  <c r="Q184" i="11" s="1"/>
  <c r="P183" i="11"/>
  <c r="Q183" i="11" s="1"/>
  <c r="P182" i="11"/>
  <c r="Q182" i="11" s="1"/>
  <c r="P181" i="11"/>
  <c r="Q181" i="11" s="1"/>
  <c r="P180" i="11"/>
  <c r="Q180" i="11" s="1"/>
  <c r="P179" i="11"/>
  <c r="Q179" i="11" s="1"/>
  <c r="P178" i="11"/>
  <c r="Q178" i="11" s="1"/>
  <c r="P177" i="11"/>
  <c r="Q177" i="11" s="1"/>
  <c r="P176" i="11"/>
  <c r="Q176" i="11" s="1"/>
  <c r="P175" i="11"/>
  <c r="Q175" i="11" s="1"/>
  <c r="P174" i="11"/>
  <c r="Q174" i="11" s="1"/>
  <c r="P173" i="11"/>
  <c r="Q173" i="11" s="1"/>
  <c r="P172" i="11"/>
  <c r="Q172" i="11" s="1"/>
  <c r="P171" i="11"/>
  <c r="Q171" i="11" s="1"/>
  <c r="P170" i="11"/>
  <c r="Q170" i="11" s="1"/>
  <c r="P169" i="11"/>
  <c r="Q169" i="11" s="1"/>
  <c r="P168" i="11"/>
  <c r="Q168" i="11" s="1"/>
  <c r="P167" i="11"/>
  <c r="Q167" i="11" s="1"/>
  <c r="P166" i="11"/>
  <c r="Q166" i="11" s="1"/>
  <c r="P165" i="11"/>
  <c r="Q165" i="11" s="1"/>
  <c r="P164" i="11"/>
  <c r="Q164" i="11" s="1"/>
  <c r="P163" i="11"/>
  <c r="Q163" i="11" s="1"/>
  <c r="P162" i="11"/>
  <c r="Q162" i="11" s="1"/>
  <c r="P161" i="11"/>
  <c r="Q161" i="11" s="1"/>
  <c r="P160" i="11"/>
  <c r="Q160" i="11" s="1"/>
  <c r="P159" i="11"/>
  <c r="Q159" i="11" s="1"/>
  <c r="P158" i="11"/>
  <c r="Q158" i="11" s="1"/>
  <c r="P157" i="11"/>
  <c r="Q157" i="11" s="1"/>
  <c r="P156" i="11"/>
  <c r="Q156" i="11" s="1"/>
  <c r="P155" i="11"/>
  <c r="Q155" i="11" s="1"/>
  <c r="P154" i="11"/>
  <c r="Q154" i="11" s="1"/>
  <c r="P153" i="11"/>
  <c r="Q153" i="11" s="1"/>
  <c r="P152" i="11"/>
  <c r="Q152" i="11" s="1"/>
  <c r="P151" i="11"/>
  <c r="Q151" i="11" s="1"/>
  <c r="P150" i="11"/>
  <c r="Q150" i="11" s="1"/>
  <c r="P149" i="11"/>
  <c r="Q149" i="11" s="1"/>
  <c r="P148" i="11"/>
  <c r="Q148" i="11" s="1"/>
  <c r="P147" i="11"/>
  <c r="Q147" i="11" s="1"/>
  <c r="P146" i="11"/>
  <c r="Q146" i="11" s="1"/>
  <c r="P145" i="11"/>
  <c r="Q145" i="11" s="1"/>
  <c r="P144" i="11"/>
  <c r="Q144" i="11" s="1"/>
  <c r="P143" i="11"/>
  <c r="Q143" i="11" s="1"/>
  <c r="P142" i="11"/>
  <c r="Q142" i="11" s="1"/>
  <c r="P141" i="11"/>
  <c r="Q141" i="11" s="1"/>
  <c r="P140" i="11"/>
  <c r="Q140" i="11" s="1"/>
  <c r="P139" i="11"/>
  <c r="Q139" i="11" s="1"/>
  <c r="P138" i="11"/>
  <c r="Q138" i="11" s="1"/>
  <c r="P137" i="11"/>
  <c r="Q137" i="11" s="1"/>
  <c r="P136" i="11"/>
  <c r="Q136" i="11" s="1"/>
  <c r="P135" i="11"/>
  <c r="Q135" i="11" s="1"/>
  <c r="P134" i="11"/>
  <c r="Q134" i="11" s="1"/>
  <c r="P133" i="11"/>
  <c r="Q133" i="11" s="1"/>
  <c r="P132" i="11"/>
  <c r="Q132" i="11" s="1"/>
  <c r="P131" i="11"/>
  <c r="Q131" i="11" s="1"/>
  <c r="P130" i="11"/>
  <c r="Q130" i="11" s="1"/>
  <c r="P129" i="11"/>
  <c r="Q129" i="11" s="1"/>
  <c r="P128" i="11"/>
  <c r="Q128" i="11" s="1"/>
  <c r="P127" i="11"/>
  <c r="Q127" i="11" s="1"/>
  <c r="P126" i="11"/>
  <c r="Q126" i="11" s="1"/>
  <c r="P125" i="11"/>
  <c r="Q125" i="11" s="1"/>
  <c r="P124" i="11"/>
  <c r="Q124" i="11" s="1"/>
  <c r="P123" i="11"/>
  <c r="Q123" i="11" s="1"/>
  <c r="P122" i="11"/>
  <c r="Q122" i="11" s="1"/>
  <c r="P121" i="11"/>
  <c r="Q121" i="11" s="1"/>
  <c r="P120" i="11"/>
  <c r="Q120" i="11" s="1"/>
  <c r="P119" i="11"/>
  <c r="Q119" i="11" s="1"/>
  <c r="P118" i="11"/>
  <c r="Q118" i="11" s="1"/>
  <c r="P117" i="11"/>
  <c r="Q117" i="11" s="1"/>
  <c r="P116" i="11"/>
  <c r="Q116" i="11" s="1"/>
  <c r="P115" i="11"/>
  <c r="Q115" i="11" s="1"/>
  <c r="P114" i="11"/>
  <c r="Q114" i="11" s="1"/>
  <c r="P113" i="11"/>
  <c r="Q113" i="11" s="1"/>
  <c r="P112" i="11"/>
  <c r="Q112" i="11" s="1"/>
  <c r="P111" i="11"/>
  <c r="Q111" i="11" s="1"/>
  <c r="P110" i="11"/>
  <c r="Q110" i="11" s="1"/>
  <c r="P109" i="11"/>
  <c r="Q109" i="11" s="1"/>
  <c r="P108" i="11"/>
  <c r="Q108" i="11" s="1"/>
  <c r="P107" i="11"/>
  <c r="Q107" i="11" s="1"/>
  <c r="P106" i="11"/>
  <c r="Q106" i="11" s="1"/>
  <c r="P105" i="11"/>
  <c r="Q105" i="11" s="1"/>
  <c r="P104" i="11"/>
  <c r="Q104" i="11" s="1"/>
  <c r="P103" i="11"/>
  <c r="Q103" i="11" s="1"/>
  <c r="P102" i="11"/>
  <c r="Q102" i="11" s="1"/>
  <c r="P101" i="11"/>
  <c r="Q101" i="11" s="1"/>
  <c r="P100" i="11"/>
  <c r="Q100" i="11" s="1"/>
  <c r="P99" i="11"/>
  <c r="Q99" i="11" s="1"/>
  <c r="P98" i="11"/>
  <c r="Q98" i="11" s="1"/>
  <c r="P97" i="11"/>
  <c r="Q97" i="11" s="1"/>
  <c r="P96" i="11"/>
  <c r="Q96" i="11" s="1"/>
  <c r="P95" i="11"/>
  <c r="Q95" i="11" s="1"/>
  <c r="P94" i="11"/>
  <c r="Q94" i="11" s="1"/>
  <c r="P93" i="11"/>
  <c r="Q93" i="11" s="1"/>
  <c r="P92" i="11"/>
  <c r="Q92" i="11" s="1"/>
  <c r="P91" i="11"/>
  <c r="Q91" i="11" s="1"/>
  <c r="P90" i="11"/>
  <c r="Q90" i="11" s="1"/>
  <c r="P89" i="11"/>
  <c r="Q89" i="11" s="1"/>
  <c r="P88" i="11"/>
  <c r="Q88" i="11" s="1"/>
  <c r="P87" i="11"/>
  <c r="Q87" i="11" s="1"/>
  <c r="P86" i="11"/>
  <c r="Q86" i="11" s="1"/>
  <c r="P85" i="11"/>
  <c r="Q85" i="11" s="1"/>
  <c r="P84" i="11"/>
  <c r="Q84" i="11" s="1"/>
  <c r="P83" i="11"/>
  <c r="Q83" i="11" s="1"/>
  <c r="P82" i="11"/>
  <c r="Q82" i="11" s="1"/>
  <c r="P81" i="11"/>
  <c r="Q81" i="11" s="1"/>
  <c r="P80" i="11"/>
  <c r="Q80" i="11" s="1"/>
  <c r="P79" i="11"/>
  <c r="Q79" i="11" s="1"/>
  <c r="P78" i="11"/>
  <c r="Q78" i="11" s="1"/>
  <c r="P77" i="11"/>
  <c r="Q77" i="11" s="1"/>
  <c r="P76" i="11"/>
  <c r="Q76" i="11" s="1"/>
  <c r="P75" i="11"/>
  <c r="Q75" i="11" s="1"/>
  <c r="P74" i="11"/>
  <c r="Q74" i="11" s="1"/>
  <c r="P73" i="11"/>
  <c r="Q73" i="11" s="1"/>
  <c r="P72" i="11"/>
  <c r="Q72" i="11" s="1"/>
  <c r="P71" i="11"/>
  <c r="Q71" i="11" s="1"/>
  <c r="P70" i="11"/>
  <c r="Q70" i="11" s="1"/>
  <c r="P69" i="11"/>
  <c r="Q69" i="11" s="1"/>
  <c r="P68" i="11"/>
  <c r="Q68" i="11" s="1"/>
  <c r="P67" i="11"/>
  <c r="Q67" i="11" s="1"/>
  <c r="P66" i="11"/>
  <c r="Q66" i="11" s="1"/>
  <c r="P65" i="11"/>
  <c r="Q65" i="11" s="1"/>
  <c r="P64" i="11"/>
  <c r="Q64" i="11" s="1"/>
  <c r="P63" i="11"/>
  <c r="Q63" i="11" s="1"/>
  <c r="P62" i="11"/>
  <c r="Q62" i="11" s="1"/>
  <c r="P61" i="11"/>
  <c r="Q61" i="11" s="1"/>
  <c r="P60" i="11"/>
  <c r="Q60" i="11" s="1"/>
  <c r="P59" i="11"/>
  <c r="Q59" i="11" s="1"/>
  <c r="P58" i="11"/>
  <c r="Q58" i="11" s="1"/>
  <c r="P57" i="11"/>
  <c r="Q57" i="11" s="1"/>
  <c r="P56" i="11"/>
  <c r="Q56" i="11" s="1"/>
  <c r="P55" i="11"/>
  <c r="Q55" i="11" s="1"/>
  <c r="P54" i="11"/>
  <c r="Q54" i="11" s="1"/>
  <c r="P53" i="11"/>
  <c r="Q53" i="11" s="1"/>
  <c r="P52" i="11"/>
  <c r="Q52" i="11" s="1"/>
  <c r="P51" i="11"/>
  <c r="Q51" i="11" s="1"/>
  <c r="P50" i="11"/>
  <c r="Q50" i="11" s="1"/>
  <c r="P49" i="11"/>
  <c r="Q49" i="11" s="1"/>
  <c r="P48" i="11"/>
  <c r="Q48" i="11" s="1"/>
  <c r="P47" i="11"/>
  <c r="Q47" i="11" s="1"/>
  <c r="P46" i="11"/>
  <c r="Q46" i="11" s="1"/>
  <c r="P45" i="11"/>
  <c r="Q45" i="11" s="1"/>
  <c r="P44" i="11"/>
  <c r="Q44" i="11" s="1"/>
  <c r="P43" i="11"/>
  <c r="Q43" i="11" s="1"/>
  <c r="P42" i="11"/>
  <c r="Q42" i="11" s="1"/>
  <c r="P41" i="11"/>
  <c r="Q41" i="11" s="1"/>
  <c r="P40" i="11"/>
  <c r="Q40" i="11" s="1"/>
  <c r="P39" i="11"/>
  <c r="Q39" i="11" s="1"/>
  <c r="P38" i="11"/>
  <c r="Q38" i="11" s="1"/>
  <c r="P37" i="11"/>
  <c r="Q37" i="11" s="1"/>
  <c r="P36" i="11"/>
  <c r="Q36" i="11" s="1"/>
  <c r="P35" i="11"/>
  <c r="Q35" i="11" s="1"/>
  <c r="P34" i="11"/>
  <c r="Q34" i="11" s="1"/>
  <c r="P33" i="11"/>
  <c r="Q33" i="11" s="1"/>
  <c r="P32" i="11"/>
  <c r="Q32" i="11" s="1"/>
  <c r="P31" i="11"/>
  <c r="Q31" i="11" s="1"/>
  <c r="P30" i="11"/>
  <c r="Q30" i="11" s="1"/>
  <c r="P29" i="11"/>
  <c r="Q29" i="11" s="1"/>
  <c r="P28" i="11"/>
  <c r="Q28" i="11" s="1"/>
  <c r="P27" i="11"/>
  <c r="Q27" i="11" s="1"/>
  <c r="P26" i="11"/>
  <c r="Q26" i="11" s="1"/>
  <c r="P25" i="11"/>
  <c r="Q25" i="11" s="1"/>
  <c r="P24" i="11"/>
  <c r="Q24" i="11" s="1"/>
  <c r="P23" i="11"/>
  <c r="Q23" i="11" s="1"/>
  <c r="P22" i="11"/>
  <c r="Q22" i="11" s="1"/>
  <c r="P21" i="11"/>
  <c r="Q21" i="11" s="1"/>
  <c r="P20" i="11"/>
  <c r="Q20" i="11" s="1"/>
  <c r="P19" i="11"/>
  <c r="Q19" i="11" s="1"/>
  <c r="P18" i="11"/>
  <c r="Q18" i="11" s="1"/>
  <c r="P17" i="11"/>
  <c r="Q17" i="11" s="1"/>
  <c r="P16" i="11"/>
  <c r="Q16" i="11" s="1"/>
  <c r="P15" i="11"/>
  <c r="Q15" i="11" s="1"/>
  <c r="P14" i="11"/>
  <c r="Q14" i="11" s="1"/>
  <c r="P13" i="11"/>
  <c r="Q13" i="11" s="1"/>
  <c r="P12" i="11"/>
  <c r="Q12" i="11" s="1"/>
  <c r="P11" i="11"/>
  <c r="Q11" i="11" s="1"/>
  <c r="P10" i="11"/>
  <c r="Q10" i="11" s="1"/>
  <c r="P9" i="11"/>
  <c r="Q9" i="11" s="1"/>
  <c r="P8" i="11"/>
  <c r="Q8" i="11" s="1"/>
  <c r="P7" i="11"/>
  <c r="Q7" i="11" s="1"/>
  <c r="P6" i="11"/>
  <c r="Q6" i="11" s="1"/>
  <c r="P5" i="11"/>
  <c r="Q5" i="11" s="1"/>
  <c r="P4" i="11"/>
  <c r="Q4" i="11" s="1"/>
  <c r="E4" i="11"/>
  <c r="P3" i="11"/>
  <c r="Q3" i="11" s="1"/>
  <c r="E3" i="11"/>
  <c r="D5" i="12" l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U4" i="11" a="1"/>
  <c r="U4" i="11" s="1"/>
  <c r="P201" i="9"/>
  <c r="Q201" i="9" s="1"/>
  <c r="P200" i="9"/>
  <c r="Q200" i="9" s="1"/>
  <c r="P199" i="9"/>
  <c r="Q199" i="9" s="1"/>
  <c r="P198" i="9"/>
  <c r="Q198" i="9" s="1"/>
  <c r="P197" i="9"/>
  <c r="Q197" i="9" s="1"/>
  <c r="P196" i="9"/>
  <c r="Q196" i="9" s="1"/>
  <c r="P195" i="9"/>
  <c r="Q195" i="9" s="1"/>
  <c r="P194" i="9"/>
  <c r="Q194" i="9" s="1"/>
  <c r="P193" i="9"/>
  <c r="Q193" i="9" s="1"/>
  <c r="P192" i="9"/>
  <c r="Q192" i="9" s="1"/>
  <c r="P191" i="9"/>
  <c r="Q191" i="9" s="1"/>
  <c r="P190" i="9"/>
  <c r="Q190" i="9" s="1"/>
  <c r="P189" i="9"/>
  <c r="Q189" i="9" s="1"/>
  <c r="P188" i="9"/>
  <c r="Q188" i="9" s="1"/>
  <c r="P187" i="9"/>
  <c r="Q187" i="9" s="1"/>
  <c r="P186" i="9"/>
  <c r="Q186" i="9" s="1"/>
  <c r="P185" i="9"/>
  <c r="Q185" i="9" s="1"/>
  <c r="P184" i="9"/>
  <c r="Q184" i="9" s="1"/>
  <c r="P183" i="9"/>
  <c r="Q183" i="9" s="1"/>
  <c r="P182" i="9"/>
  <c r="Q182" i="9" s="1"/>
  <c r="P181" i="9"/>
  <c r="Q181" i="9" s="1"/>
  <c r="P180" i="9"/>
  <c r="Q180" i="9" s="1"/>
  <c r="P179" i="9"/>
  <c r="Q179" i="9" s="1"/>
  <c r="P178" i="9"/>
  <c r="Q178" i="9" s="1"/>
  <c r="P177" i="9"/>
  <c r="Q177" i="9" s="1"/>
  <c r="P176" i="9"/>
  <c r="Q176" i="9" s="1"/>
  <c r="P175" i="9"/>
  <c r="Q175" i="9" s="1"/>
  <c r="P174" i="9"/>
  <c r="Q174" i="9" s="1"/>
  <c r="P173" i="9"/>
  <c r="Q173" i="9" s="1"/>
  <c r="P172" i="9"/>
  <c r="Q172" i="9" s="1"/>
  <c r="P171" i="9"/>
  <c r="Q171" i="9" s="1"/>
  <c r="P170" i="9"/>
  <c r="Q170" i="9" s="1"/>
  <c r="P169" i="9"/>
  <c r="Q169" i="9" s="1"/>
  <c r="P168" i="9"/>
  <c r="Q168" i="9" s="1"/>
  <c r="P167" i="9"/>
  <c r="Q167" i="9" s="1"/>
  <c r="P166" i="9"/>
  <c r="Q166" i="9" s="1"/>
  <c r="P165" i="9"/>
  <c r="Q165" i="9" s="1"/>
  <c r="P164" i="9"/>
  <c r="Q164" i="9" s="1"/>
  <c r="P163" i="9"/>
  <c r="Q163" i="9" s="1"/>
  <c r="P162" i="9"/>
  <c r="Q162" i="9" s="1"/>
  <c r="P161" i="9"/>
  <c r="Q161" i="9" s="1"/>
  <c r="P160" i="9"/>
  <c r="Q160" i="9" s="1"/>
  <c r="P159" i="9"/>
  <c r="Q159" i="9" s="1"/>
  <c r="P158" i="9"/>
  <c r="Q158" i="9" s="1"/>
  <c r="P157" i="9"/>
  <c r="Q157" i="9" s="1"/>
  <c r="P156" i="9"/>
  <c r="Q156" i="9" s="1"/>
  <c r="P155" i="9"/>
  <c r="Q155" i="9" s="1"/>
  <c r="P154" i="9"/>
  <c r="Q154" i="9" s="1"/>
  <c r="P153" i="9"/>
  <c r="Q153" i="9" s="1"/>
  <c r="P152" i="9"/>
  <c r="Q152" i="9" s="1"/>
  <c r="P151" i="9"/>
  <c r="Q151" i="9" s="1"/>
  <c r="P150" i="9"/>
  <c r="Q150" i="9" s="1"/>
  <c r="P149" i="9"/>
  <c r="Q149" i="9" s="1"/>
  <c r="P148" i="9"/>
  <c r="Q148" i="9" s="1"/>
  <c r="P147" i="9"/>
  <c r="Q147" i="9" s="1"/>
  <c r="P146" i="9"/>
  <c r="Q146" i="9" s="1"/>
  <c r="P145" i="9"/>
  <c r="Q145" i="9" s="1"/>
  <c r="P144" i="9"/>
  <c r="Q144" i="9" s="1"/>
  <c r="P143" i="9"/>
  <c r="Q143" i="9" s="1"/>
  <c r="P142" i="9"/>
  <c r="Q142" i="9" s="1"/>
  <c r="P141" i="9"/>
  <c r="Q141" i="9" s="1"/>
  <c r="P140" i="9"/>
  <c r="Q140" i="9" s="1"/>
  <c r="P139" i="9"/>
  <c r="Q139" i="9" s="1"/>
  <c r="P138" i="9"/>
  <c r="Q138" i="9" s="1"/>
  <c r="P137" i="9"/>
  <c r="Q137" i="9" s="1"/>
  <c r="P136" i="9"/>
  <c r="Q136" i="9" s="1"/>
  <c r="P135" i="9"/>
  <c r="Q135" i="9" s="1"/>
  <c r="P134" i="9"/>
  <c r="Q134" i="9" s="1"/>
  <c r="P133" i="9"/>
  <c r="Q133" i="9" s="1"/>
  <c r="P132" i="9"/>
  <c r="Q132" i="9" s="1"/>
  <c r="P131" i="9"/>
  <c r="Q131" i="9" s="1"/>
  <c r="P130" i="9"/>
  <c r="Q130" i="9" s="1"/>
  <c r="P129" i="9"/>
  <c r="Q129" i="9" s="1"/>
  <c r="P128" i="9"/>
  <c r="Q128" i="9" s="1"/>
  <c r="P127" i="9"/>
  <c r="Q127" i="9" s="1"/>
  <c r="P126" i="9"/>
  <c r="Q126" i="9" s="1"/>
  <c r="P125" i="9"/>
  <c r="Q125" i="9" s="1"/>
  <c r="P124" i="9"/>
  <c r="Q124" i="9" s="1"/>
  <c r="P123" i="9"/>
  <c r="Q123" i="9" s="1"/>
  <c r="P122" i="9"/>
  <c r="Q122" i="9" s="1"/>
  <c r="P121" i="9"/>
  <c r="Q121" i="9" s="1"/>
  <c r="P120" i="9"/>
  <c r="Q120" i="9" s="1"/>
  <c r="P119" i="9"/>
  <c r="Q119" i="9" s="1"/>
  <c r="P118" i="9"/>
  <c r="Q118" i="9" s="1"/>
  <c r="P117" i="9"/>
  <c r="Q117" i="9" s="1"/>
  <c r="P116" i="9"/>
  <c r="Q116" i="9" s="1"/>
  <c r="P115" i="9"/>
  <c r="Q115" i="9" s="1"/>
  <c r="P114" i="9"/>
  <c r="Q114" i="9" s="1"/>
  <c r="P113" i="9"/>
  <c r="Q113" i="9" s="1"/>
  <c r="P112" i="9"/>
  <c r="Q112" i="9" s="1"/>
  <c r="P111" i="9"/>
  <c r="Q111" i="9" s="1"/>
  <c r="P110" i="9"/>
  <c r="Q110" i="9" s="1"/>
  <c r="P109" i="9"/>
  <c r="Q109" i="9" s="1"/>
  <c r="P108" i="9"/>
  <c r="Q108" i="9" s="1"/>
  <c r="P107" i="9"/>
  <c r="Q107" i="9" s="1"/>
  <c r="P106" i="9"/>
  <c r="Q106" i="9" s="1"/>
  <c r="P105" i="9"/>
  <c r="Q105" i="9" s="1"/>
  <c r="P104" i="9"/>
  <c r="Q104" i="9" s="1"/>
  <c r="P103" i="9"/>
  <c r="Q103" i="9" s="1"/>
  <c r="P102" i="9"/>
  <c r="Q102" i="9" s="1"/>
  <c r="P101" i="9"/>
  <c r="Q101" i="9" s="1"/>
  <c r="P100" i="9"/>
  <c r="Q100" i="9" s="1"/>
  <c r="P99" i="9"/>
  <c r="Q99" i="9" s="1"/>
  <c r="P98" i="9"/>
  <c r="Q98" i="9" s="1"/>
  <c r="P97" i="9"/>
  <c r="Q97" i="9" s="1"/>
  <c r="P96" i="9"/>
  <c r="Q96" i="9" s="1"/>
  <c r="P95" i="9"/>
  <c r="Q95" i="9" s="1"/>
  <c r="P94" i="9"/>
  <c r="Q94" i="9" s="1"/>
  <c r="P93" i="9"/>
  <c r="Q93" i="9" s="1"/>
  <c r="P92" i="9"/>
  <c r="Q92" i="9" s="1"/>
  <c r="P91" i="9"/>
  <c r="Q91" i="9" s="1"/>
  <c r="P90" i="9"/>
  <c r="Q90" i="9" s="1"/>
  <c r="P89" i="9"/>
  <c r="Q89" i="9" s="1"/>
  <c r="P88" i="9"/>
  <c r="Q88" i="9" s="1"/>
  <c r="P87" i="9"/>
  <c r="Q87" i="9" s="1"/>
  <c r="P86" i="9"/>
  <c r="Q86" i="9" s="1"/>
  <c r="P85" i="9"/>
  <c r="Q85" i="9" s="1"/>
  <c r="P84" i="9"/>
  <c r="Q84" i="9" s="1"/>
  <c r="P83" i="9"/>
  <c r="Q83" i="9" s="1"/>
  <c r="P82" i="9"/>
  <c r="Q82" i="9" s="1"/>
  <c r="P81" i="9"/>
  <c r="Q81" i="9" s="1"/>
  <c r="P80" i="9"/>
  <c r="Q80" i="9" s="1"/>
  <c r="P79" i="9"/>
  <c r="Q79" i="9" s="1"/>
  <c r="P78" i="9"/>
  <c r="Q78" i="9" s="1"/>
  <c r="P77" i="9"/>
  <c r="Q77" i="9" s="1"/>
  <c r="P76" i="9"/>
  <c r="Q76" i="9" s="1"/>
  <c r="P75" i="9"/>
  <c r="Q75" i="9" s="1"/>
  <c r="P74" i="9"/>
  <c r="Q74" i="9" s="1"/>
  <c r="P73" i="9"/>
  <c r="Q73" i="9" s="1"/>
  <c r="P72" i="9"/>
  <c r="Q72" i="9" s="1"/>
  <c r="P71" i="9"/>
  <c r="Q71" i="9" s="1"/>
  <c r="P70" i="9"/>
  <c r="Q70" i="9" s="1"/>
  <c r="P69" i="9"/>
  <c r="Q69" i="9" s="1"/>
  <c r="P68" i="9"/>
  <c r="Q68" i="9" s="1"/>
  <c r="P67" i="9"/>
  <c r="Q67" i="9" s="1"/>
  <c r="P66" i="9"/>
  <c r="Q66" i="9" s="1"/>
  <c r="P65" i="9"/>
  <c r="Q65" i="9" s="1"/>
  <c r="P64" i="9"/>
  <c r="Q64" i="9" s="1"/>
  <c r="P63" i="9"/>
  <c r="Q63" i="9" s="1"/>
  <c r="P62" i="9"/>
  <c r="Q62" i="9" s="1"/>
  <c r="P61" i="9"/>
  <c r="Q61" i="9" s="1"/>
  <c r="P60" i="9"/>
  <c r="Q60" i="9" s="1"/>
  <c r="P59" i="9"/>
  <c r="Q59" i="9" s="1"/>
  <c r="P58" i="9"/>
  <c r="Q58" i="9" s="1"/>
  <c r="P57" i="9"/>
  <c r="Q57" i="9" s="1"/>
  <c r="P56" i="9"/>
  <c r="Q56" i="9" s="1"/>
  <c r="P55" i="9"/>
  <c r="Q55" i="9" s="1"/>
  <c r="P54" i="9"/>
  <c r="Q54" i="9" s="1"/>
  <c r="P53" i="9"/>
  <c r="Q53" i="9" s="1"/>
  <c r="P52" i="9"/>
  <c r="Q52" i="9" s="1"/>
  <c r="P51" i="9"/>
  <c r="Q51" i="9" s="1"/>
  <c r="P50" i="9"/>
  <c r="Q50" i="9" s="1"/>
  <c r="P49" i="9"/>
  <c r="Q49" i="9" s="1"/>
  <c r="P48" i="9"/>
  <c r="Q48" i="9" s="1"/>
  <c r="P47" i="9"/>
  <c r="Q47" i="9" s="1"/>
  <c r="P46" i="9"/>
  <c r="Q46" i="9" s="1"/>
  <c r="P45" i="9"/>
  <c r="Q45" i="9" s="1"/>
  <c r="P44" i="9"/>
  <c r="Q44" i="9" s="1"/>
  <c r="P43" i="9"/>
  <c r="Q43" i="9" s="1"/>
  <c r="P42" i="9"/>
  <c r="Q42" i="9" s="1"/>
  <c r="P41" i="9"/>
  <c r="Q41" i="9" s="1"/>
  <c r="P40" i="9"/>
  <c r="Q40" i="9" s="1"/>
  <c r="P39" i="9"/>
  <c r="Q39" i="9" s="1"/>
  <c r="P38" i="9"/>
  <c r="Q38" i="9" s="1"/>
  <c r="P37" i="9"/>
  <c r="Q37" i="9" s="1"/>
  <c r="P36" i="9"/>
  <c r="Q36" i="9" s="1"/>
  <c r="P35" i="9"/>
  <c r="Q35" i="9" s="1"/>
  <c r="P34" i="9"/>
  <c r="Q34" i="9" s="1"/>
  <c r="P33" i="9"/>
  <c r="Q33" i="9" s="1"/>
  <c r="P32" i="9"/>
  <c r="Q32" i="9" s="1"/>
  <c r="P31" i="9"/>
  <c r="Q31" i="9" s="1"/>
  <c r="P30" i="9"/>
  <c r="Q30" i="9" s="1"/>
  <c r="P29" i="9"/>
  <c r="Q29" i="9" s="1"/>
  <c r="P28" i="9"/>
  <c r="Q28" i="9" s="1"/>
  <c r="P27" i="9"/>
  <c r="Q27" i="9" s="1"/>
  <c r="P26" i="9"/>
  <c r="Q26" i="9" s="1"/>
  <c r="P25" i="9"/>
  <c r="Q25" i="9" s="1"/>
  <c r="P24" i="9"/>
  <c r="Q24" i="9" s="1"/>
  <c r="P23" i="9"/>
  <c r="Q23" i="9" s="1"/>
  <c r="P22" i="9"/>
  <c r="Q22" i="9" s="1"/>
  <c r="P21" i="9"/>
  <c r="Q21" i="9" s="1"/>
  <c r="P20" i="9"/>
  <c r="Q20" i="9" s="1"/>
  <c r="P19" i="9"/>
  <c r="Q19" i="9" s="1"/>
  <c r="P18" i="9"/>
  <c r="Q18" i="9" s="1"/>
  <c r="P17" i="9"/>
  <c r="Q17" i="9" s="1"/>
  <c r="P16" i="9"/>
  <c r="Q16" i="9" s="1"/>
  <c r="P15" i="9"/>
  <c r="Q15" i="9" s="1"/>
  <c r="P14" i="9"/>
  <c r="Q14" i="9" s="1"/>
  <c r="P13" i="9"/>
  <c r="Q13" i="9" s="1"/>
  <c r="P12" i="9"/>
  <c r="Q12" i="9" s="1"/>
  <c r="P11" i="9"/>
  <c r="Q11" i="9" s="1"/>
  <c r="P10" i="9"/>
  <c r="Q10" i="9" s="1"/>
  <c r="P9" i="9"/>
  <c r="Q9" i="9" s="1"/>
  <c r="P8" i="9"/>
  <c r="Q8" i="9" s="1"/>
  <c r="P7" i="9"/>
  <c r="Q7" i="9" s="1"/>
  <c r="P6" i="9"/>
  <c r="Q6" i="9" s="1"/>
  <c r="P5" i="9"/>
  <c r="Q5" i="9" s="1"/>
  <c r="P4" i="9"/>
  <c r="Q4" i="9" s="1"/>
  <c r="E4" i="9"/>
  <c r="P3" i="9"/>
  <c r="Q3" i="9" s="1"/>
  <c r="E3" i="9"/>
  <c r="P4" i="8"/>
  <c r="Q4" i="8" s="1"/>
  <c r="P5" i="8"/>
  <c r="Q5" i="8" s="1"/>
  <c r="P6" i="8"/>
  <c r="Q6" i="8" s="1"/>
  <c r="P7" i="8"/>
  <c r="Q7" i="8" s="1"/>
  <c r="P8" i="8"/>
  <c r="Q8" i="8" s="1"/>
  <c r="P9" i="8"/>
  <c r="Q9" i="8" s="1"/>
  <c r="P10" i="8"/>
  <c r="Q10" i="8" s="1"/>
  <c r="P11" i="8"/>
  <c r="Q11" i="8" s="1"/>
  <c r="P12" i="8"/>
  <c r="Q12" i="8" s="1"/>
  <c r="P13" i="8"/>
  <c r="Q13" i="8" s="1"/>
  <c r="P14" i="8"/>
  <c r="Q14" i="8" s="1"/>
  <c r="P15" i="8"/>
  <c r="Q15" i="8" s="1"/>
  <c r="P16" i="8"/>
  <c r="Q16" i="8" s="1"/>
  <c r="P17" i="8"/>
  <c r="Q17" i="8" s="1"/>
  <c r="P18" i="8"/>
  <c r="Q18" i="8" s="1"/>
  <c r="P19" i="8"/>
  <c r="Q19" i="8" s="1"/>
  <c r="P20" i="8"/>
  <c r="Q20" i="8" s="1"/>
  <c r="P21" i="8"/>
  <c r="Q21" i="8" s="1"/>
  <c r="P22" i="8"/>
  <c r="Q22" i="8" s="1"/>
  <c r="P23" i="8"/>
  <c r="Q23" i="8" s="1"/>
  <c r="P24" i="8"/>
  <c r="Q24" i="8" s="1"/>
  <c r="P25" i="8"/>
  <c r="Q25" i="8" s="1"/>
  <c r="P26" i="8"/>
  <c r="Q26" i="8" s="1"/>
  <c r="P27" i="8"/>
  <c r="Q27" i="8" s="1"/>
  <c r="P28" i="8"/>
  <c r="Q28" i="8" s="1"/>
  <c r="P29" i="8"/>
  <c r="Q29" i="8" s="1"/>
  <c r="P30" i="8"/>
  <c r="Q30" i="8" s="1"/>
  <c r="P31" i="8"/>
  <c r="Q31" i="8" s="1"/>
  <c r="P32" i="8"/>
  <c r="Q32" i="8" s="1"/>
  <c r="P33" i="8"/>
  <c r="Q33" i="8" s="1"/>
  <c r="P34" i="8"/>
  <c r="Q34" i="8" s="1"/>
  <c r="P35" i="8"/>
  <c r="Q35" i="8" s="1"/>
  <c r="P36" i="8"/>
  <c r="Q36" i="8" s="1"/>
  <c r="P37" i="8"/>
  <c r="Q37" i="8" s="1"/>
  <c r="P38" i="8"/>
  <c r="Q38" i="8" s="1"/>
  <c r="P39" i="8"/>
  <c r="Q39" i="8" s="1"/>
  <c r="P40" i="8"/>
  <c r="Q40" i="8" s="1"/>
  <c r="P41" i="8"/>
  <c r="Q41" i="8" s="1"/>
  <c r="P42" i="8"/>
  <c r="Q42" i="8" s="1"/>
  <c r="P43" i="8"/>
  <c r="Q43" i="8" s="1"/>
  <c r="P44" i="8"/>
  <c r="Q44" i="8" s="1"/>
  <c r="P45" i="8"/>
  <c r="Q45" i="8" s="1"/>
  <c r="P46" i="8"/>
  <c r="Q46" i="8" s="1"/>
  <c r="P47" i="8"/>
  <c r="Q47" i="8" s="1"/>
  <c r="P48" i="8"/>
  <c r="Q48" i="8" s="1"/>
  <c r="P49" i="8"/>
  <c r="Q49" i="8" s="1"/>
  <c r="P50" i="8"/>
  <c r="Q50" i="8" s="1"/>
  <c r="P51" i="8"/>
  <c r="Q51" i="8" s="1"/>
  <c r="P52" i="8"/>
  <c r="Q52" i="8" s="1"/>
  <c r="P53" i="8"/>
  <c r="Q53" i="8" s="1"/>
  <c r="P54" i="8"/>
  <c r="Q54" i="8" s="1"/>
  <c r="P55" i="8"/>
  <c r="Q55" i="8" s="1"/>
  <c r="P56" i="8"/>
  <c r="Q56" i="8" s="1"/>
  <c r="P57" i="8"/>
  <c r="Q57" i="8" s="1"/>
  <c r="P58" i="8"/>
  <c r="Q58" i="8" s="1"/>
  <c r="P59" i="8"/>
  <c r="Q59" i="8" s="1"/>
  <c r="P60" i="8"/>
  <c r="Q60" i="8" s="1"/>
  <c r="P61" i="8"/>
  <c r="Q61" i="8" s="1"/>
  <c r="P62" i="8"/>
  <c r="Q62" i="8" s="1"/>
  <c r="P63" i="8"/>
  <c r="Q63" i="8" s="1"/>
  <c r="P64" i="8"/>
  <c r="Q64" i="8" s="1"/>
  <c r="P65" i="8"/>
  <c r="Q65" i="8" s="1"/>
  <c r="P66" i="8"/>
  <c r="Q66" i="8" s="1"/>
  <c r="P67" i="8"/>
  <c r="Q67" i="8" s="1"/>
  <c r="P68" i="8"/>
  <c r="Q68" i="8" s="1"/>
  <c r="P69" i="8"/>
  <c r="Q69" i="8" s="1"/>
  <c r="P70" i="8"/>
  <c r="Q70" i="8" s="1"/>
  <c r="P71" i="8"/>
  <c r="Q71" i="8" s="1"/>
  <c r="P72" i="8"/>
  <c r="Q72" i="8" s="1"/>
  <c r="P73" i="8"/>
  <c r="Q73" i="8" s="1"/>
  <c r="P74" i="8"/>
  <c r="Q74" i="8" s="1"/>
  <c r="P75" i="8"/>
  <c r="Q75" i="8" s="1"/>
  <c r="P76" i="8"/>
  <c r="Q76" i="8" s="1"/>
  <c r="P77" i="8"/>
  <c r="Q77" i="8" s="1"/>
  <c r="P78" i="8"/>
  <c r="Q78" i="8" s="1"/>
  <c r="P79" i="8"/>
  <c r="Q79" i="8" s="1"/>
  <c r="P80" i="8"/>
  <c r="Q80" i="8" s="1"/>
  <c r="P81" i="8"/>
  <c r="Q81" i="8" s="1"/>
  <c r="P82" i="8"/>
  <c r="Q82" i="8" s="1"/>
  <c r="P83" i="8"/>
  <c r="Q83" i="8" s="1"/>
  <c r="P84" i="8"/>
  <c r="Q84" i="8" s="1"/>
  <c r="P85" i="8"/>
  <c r="Q85" i="8" s="1"/>
  <c r="P86" i="8"/>
  <c r="Q86" i="8" s="1"/>
  <c r="P87" i="8"/>
  <c r="Q87" i="8" s="1"/>
  <c r="P88" i="8"/>
  <c r="Q88" i="8" s="1"/>
  <c r="P89" i="8"/>
  <c r="Q89" i="8" s="1"/>
  <c r="P90" i="8"/>
  <c r="Q90" i="8" s="1"/>
  <c r="P91" i="8"/>
  <c r="Q91" i="8" s="1"/>
  <c r="P92" i="8"/>
  <c r="Q92" i="8" s="1"/>
  <c r="P93" i="8"/>
  <c r="Q93" i="8" s="1"/>
  <c r="P94" i="8"/>
  <c r="Q94" i="8" s="1"/>
  <c r="P95" i="8"/>
  <c r="Q95" i="8" s="1"/>
  <c r="P96" i="8"/>
  <c r="Q96" i="8" s="1"/>
  <c r="P97" i="8"/>
  <c r="Q97" i="8" s="1"/>
  <c r="P98" i="8"/>
  <c r="Q98" i="8" s="1"/>
  <c r="P99" i="8"/>
  <c r="Q99" i="8" s="1"/>
  <c r="P100" i="8"/>
  <c r="Q100" i="8" s="1"/>
  <c r="P101" i="8"/>
  <c r="Q101" i="8" s="1"/>
  <c r="P102" i="8"/>
  <c r="Q102" i="8" s="1"/>
  <c r="P103" i="8"/>
  <c r="Q103" i="8" s="1"/>
  <c r="P104" i="8"/>
  <c r="Q104" i="8" s="1"/>
  <c r="P105" i="8"/>
  <c r="Q105" i="8" s="1"/>
  <c r="P106" i="8"/>
  <c r="Q106" i="8" s="1"/>
  <c r="P107" i="8"/>
  <c r="Q107" i="8" s="1"/>
  <c r="P108" i="8"/>
  <c r="Q108" i="8" s="1"/>
  <c r="P109" i="8"/>
  <c r="Q109" i="8" s="1"/>
  <c r="P110" i="8"/>
  <c r="Q110" i="8" s="1"/>
  <c r="P111" i="8"/>
  <c r="Q111" i="8" s="1"/>
  <c r="P112" i="8"/>
  <c r="Q112" i="8" s="1"/>
  <c r="P113" i="8"/>
  <c r="Q113" i="8" s="1"/>
  <c r="P114" i="8"/>
  <c r="Q114" i="8" s="1"/>
  <c r="P115" i="8"/>
  <c r="Q115" i="8" s="1"/>
  <c r="P116" i="8"/>
  <c r="Q116" i="8" s="1"/>
  <c r="P117" i="8"/>
  <c r="Q117" i="8" s="1"/>
  <c r="P118" i="8"/>
  <c r="Q118" i="8" s="1"/>
  <c r="P119" i="8"/>
  <c r="Q119" i="8" s="1"/>
  <c r="P120" i="8"/>
  <c r="Q120" i="8" s="1"/>
  <c r="P121" i="8"/>
  <c r="Q121" i="8" s="1"/>
  <c r="P122" i="8"/>
  <c r="Q122" i="8" s="1"/>
  <c r="P123" i="8"/>
  <c r="Q123" i="8" s="1"/>
  <c r="P124" i="8"/>
  <c r="Q124" i="8" s="1"/>
  <c r="P125" i="8"/>
  <c r="Q125" i="8" s="1"/>
  <c r="P126" i="8"/>
  <c r="Q126" i="8" s="1"/>
  <c r="P127" i="8"/>
  <c r="Q127" i="8" s="1"/>
  <c r="P128" i="8"/>
  <c r="Q128" i="8" s="1"/>
  <c r="P129" i="8"/>
  <c r="Q129" i="8" s="1"/>
  <c r="P130" i="8"/>
  <c r="Q130" i="8" s="1"/>
  <c r="P131" i="8"/>
  <c r="Q131" i="8" s="1"/>
  <c r="P132" i="8"/>
  <c r="Q132" i="8" s="1"/>
  <c r="P133" i="8"/>
  <c r="Q133" i="8" s="1"/>
  <c r="P134" i="8"/>
  <c r="Q134" i="8" s="1"/>
  <c r="P135" i="8"/>
  <c r="Q135" i="8" s="1"/>
  <c r="P136" i="8"/>
  <c r="Q136" i="8" s="1"/>
  <c r="P137" i="8"/>
  <c r="Q137" i="8" s="1"/>
  <c r="P138" i="8"/>
  <c r="Q138" i="8" s="1"/>
  <c r="P139" i="8"/>
  <c r="Q139" i="8" s="1"/>
  <c r="P140" i="8"/>
  <c r="Q140" i="8" s="1"/>
  <c r="P141" i="8"/>
  <c r="Q141" i="8" s="1"/>
  <c r="P142" i="8"/>
  <c r="Q142" i="8" s="1"/>
  <c r="P143" i="8"/>
  <c r="Q143" i="8" s="1"/>
  <c r="P144" i="8"/>
  <c r="Q144" i="8" s="1"/>
  <c r="P145" i="8"/>
  <c r="Q145" i="8" s="1"/>
  <c r="P146" i="8"/>
  <c r="Q146" i="8" s="1"/>
  <c r="P147" i="8"/>
  <c r="Q147" i="8" s="1"/>
  <c r="P148" i="8"/>
  <c r="Q148" i="8" s="1"/>
  <c r="P149" i="8"/>
  <c r="Q149" i="8" s="1"/>
  <c r="P150" i="8"/>
  <c r="Q150" i="8" s="1"/>
  <c r="P151" i="8"/>
  <c r="Q151" i="8" s="1"/>
  <c r="P152" i="8"/>
  <c r="Q152" i="8" s="1"/>
  <c r="P153" i="8"/>
  <c r="Q153" i="8" s="1"/>
  <c r="P154" i="8"/>
  <c r="Q154" i="8" s="1"/>
  <c r="P155" i="8"/>
  <c r="Q155" i="8" s="1"/>
  <c r="P156" i="8"/>
  <c r="Q156" i="8" s="1"/>
  <c r="P157" i="8"/>
  <c r="Q157" i="8" s="1"/>
  <c r="P158" i="8"/>
  <c r="Q158" i="8" s="1"/>
  <c r="P159" i="8"/>
  <c r="Q159" i="8" s="1"/>
  <c r="P160" i="8"/>
  <c r="Q160" i="8" s="1"/>
  <c r="P161" i="8"/>
  <c r="Q161" i="8" s="1"/>
  <c r="P162" i="8"/>
  <c r="Q162" i="8" s="1"/>
  <c r="P163" i="8"/>
  <c r="Q163" i="8" s="1"/>
  <c r="P164" i="8"/>
  <c r="Q164" i="8" s="1"/>
  <c r="P165" i="8"/>
  <c r="Q165" i="8" s="1"/>
  <c r="P166" i="8"/>
  <c r="Q166" i="8" s="1"/>
  <c r="P167" i="8"/>
  <c r="Q167" i="8" s="1"/>
  <c r="P168" i="8"/>
  <c r="Q168" i="8" s="1"/>
  <c r="P169" i="8"/>
  <c r="Q169" i="8" s="1"/>
  <c r="P170" i="8"/>
  <c r="Q170" i="8" s="1"/>
  <c r="P171" i="8"/>
  <c r="Q171" i="8" s="1"/>
  <c r="P172" i="8"/>
  <c r="Q172" i="8" s="1"/>
  <c r="P173" i="8"/>
  <c r="Q173" i="8" s="1"/>
  <c r="P174" i="8"/>
  <c r="Q174" i="8" s="1"/>
  <c r="P175" i="8"/>
  <c r="Q175" i="8" s="1"/>
  <c r="P176" i="8"/>
  <c r="Q176" i="8" s="1"/>
  <c r="P177" i="8"/>
  <c r="Q177" i="8" s="1"/>
  <c r="P178" i="8"/>
  <c r="Q178" i="8" s="1"/>
  <c r="P179" i="8"/>
  <c r="Q179" i="8" s="1"/>
  <c r="P180" i="8"/>
  <c r="Q180" i="8" s="1"/>
  <c r="P181" i="8"/>
  <c r="Q181" i="8" s="1"/>
  <c r="P182" i="8"/>
  <c r="Q182" i="8" s="1"/>
  <c r="P183" i="8"/>
  <c r="Q183" i="8" s="1"/>
  <c r="P184" i="8"/>
  <c r="Q184" i="8" s="1"/>
  <c r="P185" i="8"/>
  <c r="Q185" i="8" s="1"/>
  <c r="P186" i="8"/>
  <c r="Q186" i="8" s="1"/>
  <c r="P187" i="8"/>
  <c r="Q187" i="8" s="1"/>
  <c r="P188" i="8"/>
  <c r="Q188" i="8" s="1"/>
  <c r="P189" i="8"/>
  <c r="Q189" i="8" s="1"/>
  <c r="P190" i="8"/>
  <c r="Q190" i="8" s="1"/>
  <c r="P191" i="8"/>
  <c r="Q191" i="8" s="1"/>
  <c r="P192" i="8"/>
  <c r="Q192" i="8" s="1"/>
  <c r="P193" i="8"/>
  <c r="Q193" i="8" s="1"/>
  <c r="P194" i="8"/>
  <c r="Q194" i="8" s="1"/>
  <c r="P195" i="8"/>
  <c r="Q195" i="8" s="1"/>
  <c r="P196" i="8"/>
  <c r="Q196" i="8" s="1"/>
  <c r="P197" i="8"/>
  <c r="Q197" i="8" s="1"/>
  <c r="P198" i="8"/>
  <c r="Q198" i="8" s="1"/>
  <c r="P199" i="8"/>
  <c r="Q199" i="8" s="1"/>
  <c r="P200" i="8"/>
  <c r="Q200" i="8" s="1"/>
  <c r="P201" i="8"/>
  <c r="Q201" i="8" s="1"/>
  <c r="P3" i="8"/>
  <c r="Q3" i="8" s="1"/>
  <c r="E4" i="8"/>
  <c r="E3" i="8"/>
  <c r="E4" i="7"/>
  <c r="E3" i="7"/>
  <c r="T4" i="8" l="1" a="1"/>
  <c r="T4" i="8" s="1"/>
  <c r="V4" i="9" a="1"/>
  <c r="V4" i="9"/>
  <c r="W8" i="11"/>
  <c r="R133" i="11" s="1"/>
  <c r="M199" i="6"/>
  <c r="M201" i="6" s="1"/>
  <c r="H206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" i="6"/>
  <c r="R2" i="9" l="1"/>
  <c r="S2" i="9" s="1"/>
  <c r="R15" i="11"/>
  <c r="R79" i="11"/>
  <c r="R70" i="11"/>
  <c r="R183" i="11"/>
  <c r="R93" i="11"/>
  <c r="R71" i="11"/>
  <c r="R182" i="11"/>
  <c r="R173" i="11"/>
  <c r="R176" i="11"/>
  <c r="R117" i="11"/>
  <c r="R187" i="11"/>
  <c r="R57" i="11"/>
  <c r="R92" i="11"/>
  <c r="R7" i="11"/>
  <c r="R146" i="11"/>
  <c r="R123" i="11"/>
  <c r="R134" i="11"/>
  <c r="R164" i="11"/>
  <c r="R64" i="11"/>
  <c r="R8" i="11"/>
  <c r="R18" i="11"/>
  <c r="R87" i="11"/>
  <c r="R109" i="11"/>
  <c r="R165" i="11"/>
  <c r="R54" i="11"/>
  <c r="R172" i="11"/>
  <c r="R155" i="11"/>
  <c r="R175" i="11"/>
  <c r="R9" i="11"/>
  <c r="R42" i="11"/>
  <c r="R90" i="11"/>
  <c r="R75" i="11"/>
  <c r="R21" i="11"/>
  <c r="R81" i="11"/>
  <c r="R168" i="11"/>
  <c r="R6" i="11"/>
  <c r="R67" i="11"/>
  <c r="R110" i="11"/>
  <c r="R195" i="11"/>
  <c r="R26" i="11"/>
  <c r="R193" i="11"/>
  <c r="R84" i="11"/>
  <c r="R27" i="11"/>
  <c r="R48" i="11"/>
  <c r="R153" i="11"/>
  <c r="R201" i="11"/>
  <c r="R97" i="11"/>
  <c r="R120" i="11"/>
  <c r="R194" i="11"/>
  <c r="R197" i="11"/>
  <c r="R20" i="11"/>
  <c r="R144" i="11"/>
  <c r="R3" i="11"/>
  <c r="R69" i="11"/>
  <c r="R37" i="11"/>
  <c r="R100" i="11"/>
  <c r="R94" i="11"/>
  <c r="R154" i="11"/>
  <c r="R199" i="11"/>
  <c r="R51" i="11"/>
  <c r="R60" i="11"/>
  <c r="R128" i="11"/>
  <c r="R158" i="11"/>
  <c r="R145" i="11"/>
  <c r="R82" i="11"/>
  <c r="R39" i="11"/>
  <c r="R102" i="11"/>
  <c r="R200" i="11"/>
  <c r="R169" i="11"/>
  <c r="R147" i="11"/>
  <c r="R43" i="11"/>
  <c r="R61" i="11"/>
  <c r="R141" i="11"/>
  <c r="R34" i="11"/>
  <c r="R11" i="11"/>
  <c r="R150" i="11"/>
  <c r="R198" i="11"/>
  <c r="R131" i="11"/>
  <c r="R66" i="11"/>
  <c r="R157" i="11"/>
  <c r="R179" i="11"/>
  <c r="R99" i="11"/>
  <c r="R86" i="11"/>
  <c r="R160" i="11"/>
  <c r="R103" i="11"/>
  <c r="R25" i="11"/>
  <c r="R163" i="11"/>
  <c r="R83" i="11"/>
  <c r="R129" i="11"/>
  <c r="R148" i="11"/>
  <c r="R114" i="11"/>
  <c r="R162" i="11"/>
  <c r="R31" i="11"/>
  <c r="R98" i="11"/>
  <c r="R22" i="11"/>
  <c r="R72" i="11"/>
  <c r="R36" i="11"/>
  <c r="R46" i="11"/>
  <c r="R12" i="11"/>
  <c r="R49" i="11"/>
  <c r="R88" i="11"/>
  <c r="R91" i="11"/>
  <c r="R121" i="11"/>
  <c r="R68" i="11"/>
  <c r="R101" i="11"/>
  <c r="R118" i="11"/>
  <c r="R166" i="11"/>
  <c r="R189" i="11"/>
  <c r="R140" i="11"/>
  <c r="R180" i="11"/>
  <c r="R152" i="11"/>
  <c r="R23" i="11"/>
  <c r="R191" i="11"/>
  <c r="R181" i="11"/>
  <c r="R28" i="11"/>
  <c r="R89" i="11"/>
  <c r="R24" i="11"/>
  <c r="R159" i="11"/>
  <c r="R65" i="11"/>
  <c r="R13" i="11"/>
  <c r="R78" i="11"/>
  <c r="R111" i="11"/>
  <c r="R116" i="11"/>
  <c r="R4" i="11"/>
  <c r="R122" i="11"/>
  <c r="R170" i="11"/>
  <c r="R135" i="11"/>
  <c r="R38" i="11"/>
  <c r="R105" i="11"/>
  <c r="R29" i="11"/>
  <c r="R52" i="11"/>
  <c r="R55" i="11"/>
  <c r="R74" i="11"/>
  <c r="R44" i="11"/>
  <c r="R77" i="11"/>
  <c r="R47" i="11"/>
  <c r="R161" i="11"/>
  <c r="R50" i="11"/>
  <c r="R171" i="11"/>
  <c r="R136" i="11"/>
  <c r="R126" i="11"/>
  <c r="R174" i="11"/>
  <c r="R19" i="11"/>
  <c r="R196" i="11"/>
  <c r="R167" i="11"/>
  <c r="R107" i="11"/>
  <c r="R139" i="11"/>
  <c r="R80" i="11"/>
  <c r="R119" i="11"/>
  <c r="R35" i="11"/>
  <c r="R32" i="11"/>
  <c r="R113" i="11"/>
  <c r="R16" i="11"/>
  <c r="R137" i="11"/>
  <c r="R127" i="11"/>
  <c r="R132" i="11"/>
  <c r="R124" i="11"/>
  <c r="R95" i="11"/>
  <c r="R130" i="11"/>
  <c r="R178" i="11"/>
  <c r="R177" i="11"/>
  <c r="R149" i="11"/>
  <c r="R45" i="11"/>
  <c r="R112" i="11"/>
  <c r="R40" i="11"/>
  <c r="R63" i="11"/>
  <c r="R96" i="11"/>
  <c r="R53" i="11"/>
  <c r="R10" i="11"/>
  <c r="R56" i="11"/>
  <c r="R73" i="11"/>
  <c r="R14" i="11"/>
  <c r="R5" i="11"/>
  <c r="R185" i="11"/>
  <c r="R138" i="11"/>
  <c r="R186" i="11"/>
  <c r="R41" i="11"/>
  <c r="R184" i="11"/>
  <c r="R156" i="11"/>
  <c r="R104" i="11"/>
  <c r="R108" i="11"/>
  <c r="R30" i="11"/>
  <c r="R58" i="11"/>
  <c r="R188" i="11"/>
  <c r="R62" i="11"/>
  <c r="R76" i="11"/>
  <c r="R106" i="11"/>
  <c r="R192" i="11"/>
  <c r="R59" i="11"/>
  <c r="R115" i="11"/>
  <c r="R85" i="11"/>
  <c r="R125" i="11"/>
  <c r="R151" i="11"/>
  <c r="R142" i="11"/>
  <c r="R190" i="11"/>
  <c r="R17" i="11"/>
  <c r="R143" i="11"/>
  <c r="R33" i="11"/>
  <c r="S10" i="8"/>
  <c r="E202" i="6"/>
  <c r="B5" i="1"/>
  <c r="D3" i="1"/>
  <c r="E3" i="1"/>
  <c r="F3" i="1"/>
  <c r="G3" i="1"/>
  <c r="H3" i="1"/>
  <c r="C3" i="1"/>
  <c r="I2" i="1"/>
  <c r="B7" i="1" l="1" a="1"/>
  <c r="B7" i="1" s="1"/>
  <c r="B6" i="1" a="1"/>
  <c r="B6" i="1" s="1"/>
  <c r="E203" i="6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M202" i="6"/>
  <c r="L202" i="6"/>
  <c r="U9" i="11"/>
  <c r="U10" i="11" s="1"/>
  <c r="R24" i="9"/>
  <c r="S24" i="9" s="1"/>
  <c r="R21" i="9"/>
  <c r="S21" i="9" s="1"/>
  <c r="R17" i="9"/>
  <c r="S17" i="9" s="1"/>
  <c r="R13" i="9"/>
  <c r="S13" i="9" s="1"/>
  <c r="R16" i="9"/>
  <c r="S16" i="9" s="1"/>
  <c r="R106" i="9"/>
  <c r="S106" i="9" s="1"/>
  <c r="R91" i="9"/>
  <c r="S91" i="9" s="1"/>
  <c r="R187" i="9"/>
  <c r="S187" i="9" s="1"/>
  <c r="R20" i="9"/>
  <c r="S20" i="9" s="1"/>
  <c r="R42" i="9"/>
  <c r="S42" i="9" s="1"/>
  <c r="R68" i="9"/>
  <c r="S68" i="9" s="1"/>
  <c r="R164" i="9"/>
  <c r="S164" i="9" s="1"/>
  <c r="R29" i="9"/>
  <c r="S29" i="9" s="1"/>
  <c r="R125" i="9"/>
  <c r="S125" i="9" s="1"/>
  <c r="R114" i="9"/>
  <c r="S114" i="9" s="1"/>
  <c r="R102" i="9"/>
  <c r="S102" i="9" s="1"/>
  <c r="R198" i="9"/>
  <c r="S198" i="9" s="1"/>
  <c r="R48" i="9"/>
  <c r="S48" i="9" s="1"/>
  <c r="R144" i="9"/>
  <c r="S144" i="9" s="1"/>
  <c r="R33" i="9"/>
  <c r="S33" i="9" s="1"/>
  <c r="R129" i="9"/>
  <c r="S129" i="9" s="1"/>
  <c r="R175" i="9"/>
  <c r="S175" i="9" s="1"/>
  <c r="R92" i="9"/>
  <c r="S92" i="9" s="1"/>
  <c r="R149" i="9"/>
  <c r="S149" i="9" s="1"/>
  <c r="R72" i="9"/>
  <c r="S72" i="9" s="1"/>
  <c r="R153" i="9"/>
  <c r="S153" i="9" s="1"/>
  <c r="R169" i="9"/>
  <c r="S169" i="9" s="1"/>
  <c r="R71" i="9"/>
  <c r="S71" i="9" s="1"/>
  <c r="R151" i="9"/>
  <c r="S151" i="9" s="1"/>
  <c r="R150" i="9"/>
  <c r="S150" i="9" s="1"/>
  <c r="R81" i="9"/>
  <c r="S81" i="9" s="1"/>
  <c r="R98" i="9"/>
  <c r="S98" i="9" s="1"/>
  <c r="R181" i="9"/>
  <c r="S181" i="9" s="1"/>
  <c r="R104" i="9"/>
  <c r="S104" i="9" s="1"/>
  <c r="R146" i="9"/>
  <c r="S146" i="9" s="1"/>
  <c r="R122" i="9"/>
  <c r="S122" i="9" s="1"/>
  <c r="R166" i="9"/>
  <c r="S166" i="9" s="1"/>
  <c r="R97" i="9"/>
  <c r="S97" i="9" s="1"/>
  <c r="R170" i="9"/>
  <c r="S170" i="9" s="1"/>
  <c r="R7" i="9"/>
  <c r="S7" i="9" s="1"/>
  <c r="R174" i="9"/>
  <c r="S174" i="9" s="1"/>
  <c r="R105" i="9"/>
  <c r="S105" i="9" s="1"/>
  <c r="R171" i="9"/>
  <c r="S171" i="9" s="1"/>
  <c r="R15" i="9"/>
  <c r="S15" i="9" s="1"/>
  <c r="R32" i="9"/>
  <c r="S32" i="9" s="1"/>
  <c r="R113" i="9"/>
  <c r="S113" i="9" s="1"/>
  <c r="R179" i="9"/>
  <c r="S179" i="9" s="1"/>
  <c r="R156" i="9"/>
  <c r="S156" i="9" s="1"/>
  <c r="R94" i="9"/>
  <c r="S94" i="9" s="1"/>
  <c r="R136" i="9"/>
  <c r="S136" i="9" s="1"/>
  <c r="R138" i="9"/>
  <c r="S138" i="9" s="1"/>
  <c r="R99" i="9"/>
  <c r="S99" i="9" s="1"/>
  <c r="R195" i="9"/>
  <c r="S195" i="9" s="1"/>
  <c r="R51" i="9"/>
  <c r="S51" i="9" s="1"/>
  <c r="R66" i="9"/>
  <c r="S66" i="9" s="1"/>
  <c r="R76" i="9"/>
  <c r="S76" i="9" s="1"/>
  <c r="R172" i="9"/>
  <c r="S172" i="9" s="1"/>
  <c r="R37" i="9"/>
  <c r="S37" i="9" s="1"/>
  <c r="R133" i="9"/>
  <c r="S133" i="9" s="1"/>
  <c r="R8" i="9"/>
  <c r="S8" i="9" s="1"/>
  <c r="R110" i="9"/>
  <c r="S110" i="9" s="1"/>
  <c r="R31" i="9"/>
  <c r="S31" i="9" s="1"/>
  <c r="R56" i="9"/>
  <c r="S56" i="9" s="1"/>
  <c r="R152" i="9"/>
  <c r="S152" i="9" s="1"/>
  <c r="R41" i="9"/>
  <c r="S41" i="9" s="1"/>
  <c r="R137" i="9"/>
  <c r="S137" i="9" s="1"/>
  <c r="R115" i="9"/>
  <c r="S115" i="9" s="1"/>
  <c r="R130" i="9"/>
  <c r="S130" i="9" s="1"/>
  <c r="R53" i="9"/>
  <c r="S53" i="9" s="1"/>
  <c r="R126" i="9"/>
  <c r="S126" i="9" s="1"/>
  <c r="R168" i="9"/>
  <c r="S168" i="9" s="1"/>
  <c r="R73" i="9"/>
  <c r="S73" i="9" s="1"/>
  <c r="R74" i="9"/>
  <c r="S74" i="9" s="1"/>
  <c r="R173" i="9"/>
  <c r="S173" i="9" s="1"/>
  <c r="R96" i="9"/>
  <c r="S96" i="9" s="1"/>
  <c r="R147" i="9"/>
  <c r="S147" i="9" s="1"/>
  <c r="R124" i="9"/>
  <c r="S124" i="9" s="1"/>
  <c r="R62" i="9"/>
  <c r="S62" i="9" s="1"/>
  <c r="R200" i="9"/>
  <c r="S200" i="9" s="1"/>
  <c r="R155" i="9"/>
  <c r="S155" i="9" s="1"/>
  <c r="R132" i="9"/>
  <c r="S132" i="9" s="1"/>
  <c r="R70" i="9"/>
  <c r="S70" i="9" s="1"/>
  <c r="R3" i="9"/>
  <c r="S3" i="9" s="1"/>
  <c r="R163" i="9"/>
  <c r="S163" i="9" s="1"/>
  <c r="R140" i="9"/>
  <c r="S140" i="9" s="1"/>
  <c r="R78" i="9"/>
  <c r="S78" i="9" s="1"/>
  <c r="R162" i="9"/>
  <c r="S162" i="9" s="1"/>
  <c r="R107" i="9"/>
  <c r="S107" i="9" s="1"/>
  <c r="R87" i="9"/>
  <c r="S87" i="9" s="1"/>
  <c r="R5" i="9"/>
  <c r="S5" i="9" s="1"/>
  <c r="R90" i="9"/>
  <c r="S90" i="9" s="1"/>
  <c r="R84" i="9"/>
  <c r="S84" i="9" s="1"/>
  <c r="R180" i="9"/>
  <c r="S180" i="9" s="1"/>
  <c r="R45" i="9"/>
  <c r="S45" i="9" s="1"/>
  <c r="R141" i="9"/>
  <c r="S141" i="9" s="1"/>
  <c r="R23" i="9"/>
  <c r="S23" i="9" s="1"/>
  <c r="R118" i="9"/>
  <c r="S118" i="9" s="1"/>
  <c r="R63" i="9"/>
  <c r="S63" i="9" s="1"/>
  <c r="R64" i="9"/>
  <c r="S64" i="9" s="1"/>
  <c r="R160" i="9"/>
  <c r="S160" i="9" s="1"/>
  <c r="R49" i="9"/>
  <c r="S49" i="9" s="1"/>
  <c r="R145" i="9"/>
  <c r="S145" i="9" s="1"/>
  <c r="R194" i="9"/>
  <c r="S194" i="9" s="1"/>
  <c r="R14" i="9"/>
  <c r="S14" i="9" s="1"/>
  <c r="R188" i="9"/>
  <c r="S188" i="9" s="1"/>
  <c r="R30" i="9"/>
  <c r="S30" i="9" s="1"/>
  <c r="R95" i="9"/>
  <c r="S95" i="9" s="1"/>
  <c r="R57" i="9"/>
  <c r="S57" i="9" s="1"/>
  <c r="R184" i="9"/>
  <c r="S184" i="9" s="1"/>
  <c r="R139" i="9"/>
  <c r="S139" i="9" s="1"/>
  <c r="R6" i="9"/>
  <c r="S6" i="9" s="1"/>
  <c r="R77" i="9"/>
  <c r="S77" i="9" s="1"/>
  <c r="R143" i="9"/>
  <c r="S143" i="9" s="1"/>
  <c r="R177" i="9"/>
  <c r="S177" i="9" s="1"/>
  <c r="R9" i="9"/>
  <c r="S9" i="9" s="1"/>
  <c r="R28" i="9"/>
  <c r="S28" i="9" s="1"/>
  <c r="R85" i="9"/>
  <c r="S85" i="9" s="1"/>
  <c r="R199" i="9"/>
  <c r="S199" i="9" s="1"/>
  <c r="R89" i="9"/>
  <c r="S89" i="9" s="1"/>
  <c r="R59" i="9"/>
  <c r="S59" i="9" s="1"/>
  <c r="R119" i="9"/>
  <c r="S119" i="9" s="1"/>
  <c r="R93" i="9"/>
  <c r="S93" i="9" s="1"/>
  <c r="R11" i="9"/>
  <c r="S11" i="9" s="1"/>
  <c r="R183" i="9"/>
  <c r="S183" i="9" s="1"/>
  <c r="R44" i="9"/>
  <c r="S44" i="9" s="1"/>
  <c r="R197" i="9"/>
  <c r="S197" i="9" s="1"/>
  <c r="R120" i="9"/>
  <c r="S120" i="9" s="1"/>
  <c r="R201" i="9"/>
  <c r="S201" i="9" s="1"/>
  <c r="R75" i="9"/>
  <c r="S75" i="9" s="1"/>
  <c r="R186" i="9"/>
  <c r="S186" i="9" s="1"/>
  <c r="R52" i="9"/>
  <c r="S52" i="9" s="1"/>
  <c r="R109" i="9"/>
  <c r="S109" i="9" s="1"/>
  <c r="R86" i="9"/>
  <c r="S86" i="9" s="1"/>
  <c r="R128" i="9"/>
  <c r="S128" i="9" s="1"/>
  <c r="R82" i="9"/>
  <c r="S82" i="9" s="1"/>
  <c r="R191" i="9"/>
  <c r="S191" i="9" s="1"/>
  <c r="R22" i="9"/>
  <c r="S22" i="9" s="1"/>
  <c r="R167" i="9"/>
  <c r="S167" i="9" s="1"/>
  <c r="R40" i="9"/>
  <c r="S40" i="9" s="1"/>
  <c r="R121" i="9"/>
  <c r="S121" i="9" s="1"/>
  <c r="R4" i="9"/>
  <c r="S4" i="9" s="1"/>
  <c r="R123" i="9"/>
  <c r="S123" i="9" s="1"/>
  <c r="R26" i="9"/>
  <c r="S26" i="9" s="1"/>
  <c r="R10" i="9"/>
  <c r="S10" i="9" s="1"/>
  <c r="R154" i="9"/>
  <c r="S154" i="9" s="1"/>
  <c r="R100" i="9"/>
  <c r="S100" i="9" s="1"/>
  <c r="R196" i="9"/>
  <c r="S196" i="9" s="1"/>
  <c r="R61" i="9"/>
  <c r="S61" i="9" s="1"/>
  <c r="R157" i="9"/>
  <c r="S157" i="9" s="1"/>
  <c r="R38" i="9"/>
  <c r="S38" i="9" s="1"/>
  <c r="R134" i="9"/>
  <c r="S134" i="9" s="1"/>
  <c r="R111" i="9"/>
  <c r="S111" i="9" s="1"/>
  <c r="R80" i="9"/>
  <c r="S80" i="9" s="1"/>
  <c r="R176" i="9"/>
  <c r="S176" i="9" s="1"/>
  <c r="R65" i="9"/>
  <c r="S65" i="9" s="1"/>
  <c r="R161" i="9"/>
  <c r="S161" i="9" s="1"/>
  <c r="R27" i="9"/>
  <c r="S27" i="9" s="1"/>
  <c r="R131" i="9"/>
  <c r="S131" i="9" s="1"/>
  <c r="R58" i="9"/>
  <c r="S58" i="9" s="1"/>
  <c r="R47" i="9"/>
  <c r="S47" i="9" s="1"/>
  <c r="R178" i="9"/>
  <c r="S178" i="9" s="1"/>
  <c r="R108" i="9"/>
  <c r="S108" i="9" s="1"/>
  <c r="R39" i="9"/>
  <c r="S39" i="9" s="1"/>
  <c r="R69" i="9"/>
  <c r="S69" i="9" s="1"/>
  <c r="R165" i="9"/>
  <c r="S165" i="9" s="1"/>
  <c r="R46" i="9"/>
  <c r="S46" i="9" s="1"/>
  <c r="R142" i="9"/>
  <c r="S142" i="9" s="1"/>
  <c r="R127" i="9"/>
  <c r="S127" i="9" s="1"/>
  <c r="R88" i="9"/>
  <c r="S88" i="9" s="1"/>
  <c r="R35" i="9"/>
  <c r="S35" i="9" s="1"/>
  <c r="R116" i="9"/>
  <c r="S116" i="9" s="1"/>
  <c r="R54" i="9"/>
  <c r="S54" i="9" s="1"/>
  <c r="R192" i="9"/>
  <c r="S192" i="9" s="1"/>
  <c r="R43" i="9"/>
  <c r="S43" i="9" s="1"/>
  <c r="R103" i="9"/>
  <c r="S103" i="9" s="1"/>
  <c r="R34" i="9"/>
  <c r="S34" i="9" s="1"/>
  <c r="R158" i="9"/>
  <c r="S158" i="9" s="1"/>
  <c r="R185" i="9"/>
  <c r="S185" i="9" s="1"/>
  <c r="R79" i="9"/>
  <c r="S79" i="9" s="1"/>
  <c r="R36" i="9"/>
  <c r="S36" i="9" s="1"/>
  <c r="R189" i="9"/>
  <c r="S189" i="9" s="1"/>
  <c r="R112" i="9"/>
  <c r="S112" i="9" s="1"/>
  <c r="R193" i="9"/>
  <c r="S193" i="9" s="1"/>
  <c r="R67" i="9"/>
  <c r="S67" i="9" s="1"/>
  <c r="R135" i="9"/>
  <c r="S135" i="9" s="1"/>
  <c r="R101" i="9"/>
  <c r="S101" i="9" s="1"/>
  <c r="R25" i="9"/>
  <c r="S25" i="9" s="1"/>
  <c r="R50" i="9"/>
  <c r="S50" i="9" s="1"/>
  <c r="R159" i="9"/>
  <c r="S159" i="9" s="1"/>
  <c r="R148" i="9"/>
  <c r="S148" i="9" s="1"/>
  <c r="R55" i="9"/>
  <c r="S55" i="9" s="1"/>
  <c r="R182" i="9"/>
  <c r="S182" i="9" s="1"/>
  <c r="R12" i="9"/>
  <c r="S12" i="9" s="1"/>
  <c r="R83" i="9"/>
  <c r="S83" i="9" s="1"/>
  <c r="R19" i="9"/>
  <c r="S19" i="9" s="1"/>
  <c r="R60" i="9"/>
  <c r="S60" i="9" s="1"/>
  <c r="R117" i="9"/>
  <c r="S117" i="9" s="1"/>
  <c r="R190" i="9"/>
  <c r="S190" i="9" s="1"/>
  <c r="R18" i="9"/>
  <c r="S18" i="9" s="1"/>
  <c r="B8" i="1" l="1"/>
  <c r="V11" i="9"/>
  <c r="V10" i="9"/>
  <c r="U1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Keating</author>
  </authors>
  <commentList>
    <comment ref="B1" authorId="0" shapeId="0" xr:uid="{00000000-0006-0000-0800-000001000000}">
      <text>
        <r>
          <rPr>
            <sz val="8"/>
            <color indexed="81"/>
            <rFont val="Tahoma"/>
            <family val="2"/>
          </rPr>
          <t>New York City 
average MW per hour used</t>
        </r>
      </text>
    </comment>
  </commentList>
</comments>
</file>

<file path=xl/sharedStrings.xml><?xml version="1.0" encoding="utf-8"?>
<sst xmlns="http://schemas.openxmlformats.org/spreadsheetml/2006/main" count="114" uniqueCount="70">
  <si>
    <t>Week</t>
  </si>
  <si>
    <t>Sum</t>
  </si>
  <si>
    <r>
      <t>Sales (000s) y</t>
    </r>
    <r>
      <rPr>
        <vertAlign val="subscript"/>
        <sz val="11"/>
        <color theme="1"/>
        <rFont val="Calibri"/>
        <family val="2"/>
        <scheme val="minor"/>
      </rPr>
      <t>t</t>
    </r>
  </si>
  <si>
    <t>First-order sample autocorrelation</t>
  </si>
  <si>
    <t>Sample mean</t>
  </si>
  <si>
    <t>Denominator (squared dev from mean)</t>
  </si>
  <si>
    <t>Numerator</t>
  </si>
  <si>
    <r>
      <t>First-order lagged values y</t>
    </r>
    <r>
      <rPr>
        <vertAlign val="subscript"/>
        <sz val="11"/>
        <color theme="1"/>
        <rFont val="Calibri"/>
        <family val="2"/>
        <scheme val="minor"/>
      </rPr>
      <t>t-1</t>
    </r>
  </si>
  <si>
    <t>Whitenoise</t>
  </si>
  <si>
    <t>MA1</t>
  </si>
  <si>
    <t>AR1</t>
  </si>
  <si>
    <t>AR2</t>
  </si>
  <si>
    <t>ARIMA111</t>
  </si>
  <si>
    <t>Month</t>
  </si>
  <si>
    <t>Mean Usage</t>
  </si>
  <si>
    <t>t</t>
  </si>
  <si>
    <t>Residuals</t>
  </si>
  <si>
    <t>R output</t>
  </si>
  <si>
    <t>ar1</t>
  </si>
  <si>
    <t>intercept</t>
  </si>
  <si>
    <t>Our notation</t>
  </si>
  <si>
    <r>
      <t xml:space="preserve">AR1 coef
</t>
    </r>
    <r>
      <rPr>
        <sz val="11"/>
        <color theme="1"/>
        <rFont val="Symbol"/>
        <family val="1"/>
        <charset val="2"/>
      </rPr>
      <t>j</t>
    </r>
    <r>
      <rPr>
        <vertAlign val="subscript"/>
        <sz val="11"/>
        <color theme="1"/>
        <rFont val="Symbol"/>
        <family val="1"/>
        <charset val="2"/>
      </rPr>
      <t>1</t>
    </r>
  </si>
  <si>
    <t>Forecasts</t>
  </si>
  <si>
    <t>Fitted 
values</t>
  </si>
  <si>
    <r>
      <t xml:space="preserve">Constant
</t>
    </r>
    <r>
      <rPr>
        <i/>
        <sz val="11"/>
        <color theme="1"/>
        <rFont val="Calibri"/>
        <family val="2"/>
        <scheme val="minor"/>
      </rPr>
      <t>c</t>
    </r>
  </si>
  <si>
    <t>sigma hat</t>
  </si>
  <si>
    <t>sigma^2</t>
  </si>
  <si>
    <t>LB 95</t>
  </si>
  <si>
    <t>UB 95</t>
  </si>
  <si>
    <t>half width</t>
  </si>
  <si>
    <t>y2 = e2 + theta1*e1</t>
  </si>
  <si>
    <t>theta1</t>
  </si>
  <si>
    <t>y3 = e3 + theta1*e2</t>
  </si>
  <si>
    <t>phi1</t>
  </si>
  <si>
    <t>y2 = phi1*y1+e2</t>
  </si>
  <si>
    <t>y3 = phi1*y2+e3</t>
  </si>
  <si>
    <t>constant</t>
  </si>
  <si>
    <t>Observed</t>
  </si>
  <si>
    <t>SSE</t>
  </si>
  <si>
    <t>constant\phi1</t>
  </si>
  <si>
    <t>Residual</t>
  </si>
  <si>
    <t>estimated standard deviation of white noise</t>
  </si>
  <si>
    <t>likelihood</t>
  </si>
  <si>
    <t>log likelihood</t>
  </si>
  <si>
    <t>AR1
1-step FC</t>
  </si>
  <si>
    <t>AR(1)</t>
  </si>
  <si>
    <t>yt = 18-0.8y_(t-1) + et</t>
  </si>
  <si>
    <t>AR(2)</t>
  </si>
  <si>
    <t>MA(1)</t>
  </si>
  <si>
    <t>yt = 20+et + 0.8e_(t-1)</t>
  </si>
  <si>
    <t>white noise
et</t>
  </si>
  <si>
    <t>yt = 8 + 1.3*y_(t-1) -0.7y_(t-2) + et</t>
  </si>
  <si>
    <t>k</t>
  </si>
  <si>
    <t>p^k = phi_1^k</t>
  </si>
  <si>
    <t>phi</t>
  </si>
  <si>
    <t>Log likelihood</t>
  </si>
  <si>
    <t>Customer</t>
  </si>
  <si>
    <t>Lat</t>
  </si>
  <si>
    <t>Long</t>
  </si>
  <si>
    <t>Distance</t>
  </si>
  <si>
    <t>WH location</t>
  </si>
  <si>
    <t>Total yearly distance from WH to customers</t>
  </si>
  <si>
    <t>Lao PDR</t>
  </si>
  <si>
    <t>Myanmar</t>
  </si>
  <si>
    <t>Thailand</t>
  </si>
  <si>
    <t>Vietnam</t>
  </si>
  <si>
    <t>Country</t>
  </si>
  <si>
    <t>PopFC2018</t>
  </si>
  <si>
    <t>Multiplier</t>
  </si>
  <si>
    <t>Annual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</si>
</sst>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.0000_);_(* \(#,##0.0000\);_(* &quot;-&quot;??_);_(@_)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/>
      <name val="Cambria Math"/>
      <family val="1"/>
    </font>
    <font>
      <sz val="8"/>
      <color rgb="FFBCBCBC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3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righ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center" wrapText="1"/>
    </xf>
    <xf numFmtId="17" fontId="0" fillId="0" borderId="0" xfId="0" applyNumberFormat="1"/>
    <xf numFmtId="0" fontId="0" fillId="0" borderId="0" xfId="0" applyAlignment="1">
      <alignment horizontal="left"/>
    </xf>
    <xf numFmtId="165" fontId="4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0" borderId="0" xfId="0" applyAlignment="1">
      <alignment wrapText="1"/>
    </xf>
    <xf numFmtId="166" fontId="0" fillId="0" borderId="0" xfId="0" applyNumberFormat="1"/>
    <xf numFmtId="43" fontId="0" fillId="0" borderId="0" xfId="1" applyFont="1"/>
    <xf numFmtId="43" fontId="10" fillId="3" borderId="0" xfId="2" applyNumberFormat="1"/>
    <xf numFmtId="43" fontId="0" fillId="0" borderId="1" xfId="1" applyFont="1" applyBorder="1"/>
    <xf numFmtId="43" fontId="0" fillId="0" borderId="3" xfId="1" applyFont="1" applyBorder="1"/>
    <xf numFmtId="43" fontId="0" fillId="0" borderId="2" xfId="1" applyFont="1" applyBorder="1"/>
    <xf numFmtId="43" fontId="0" fillId="0" borderId="0" xfId="1" applyFont="1" applyBorder="1"/>
    <xf numFmtId="11" fontId="0" fillId="0" borderId="0" xfId="1" applyNumberFormat="1" applyFont="1" applyBorder="1"/>
    <xf numFmtId="0" fontId="11" fillId="0" borderId="0" xfId="0" applyFont="1" applyAlignment="1">
      <alignment horizontal="left" vertical="center" readingOrder="1"/>
    </xf>
    <xf numFmtId="2" fontId="0" fillId="0" borderId="0" xfId="1" applyNumberFormat="1" applyFont="1" applyBorder="1"/>
    <xf numFmtId="2" fontId="0" fillId="0" borderId="0" xfId="0" applyNumberFormat="1"/>
    <xf numFmtId="164" fontId="0" fillId="0" borderId="0" xfId="0" applyNumberFormat="1"/>
    <xf numFmtId="2" fontId="0" fillId="0" borderId="3" xfId="1" applyNumberFormat="1" applyFont="1" applyBorder="1"/>
    <xf numFmtId="2" fontId="0" fillId="0" borderId="0" xfId="1" applyNumberFormat="1" applyFont="1"/>
    <xf numFmtId="2" fontId="10" fillId="3" borderId="0" xfId="2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43" fontId="0" fillId="0" borderId="0" xfId="0" applyNumberFormat="1"/>
    <xf numFmtId="43" fontId="0" fillId="4" borderId="0" xfId="1" applyFont="1" applyFill="1"/>
    <xf numFmtId="0" fontId="12" fillId="0" borderId="0" xfId="0" applyFont="1" applyAlignment="1">
      <alignment vertical="center"/>
    </xf>
    <xf numFmtId="9" fontId="0" fillId="0" borderId="0" xfId="3" applyFont="1"/>
    <xf numFmtId="9" fontId="0" fillId="5" borderId="0" xfId="3" applyFont="1" applyFill="1"/>
    <xf numFmtId="43" fontId="0" fillId="0" borderId="4" xfId="1" applyFont="1" applyBorder="1"/>
    <xf numFmtId="0" fontId="0" fillId="0" borderId="0" xfId="0" applyAlignment="1"/>
  </cellXfs>
  <cellStyles count="4">
    <cellStyle name="Comma" xfId="1" builtinId="3"/>
    <cellStyle name="Good" xfId="2" builtinId="2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ACF!$C$2:$H$2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16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</c:numCache>
            </c:numRef>
          </c:xVal>
          <c:yVal>
            <c:numRef>
              <c:f>ACF!$C$3:$H$3</c:f>
              <c:numCache>
                <c:formatCode>General</c:formatCode>
                <c:ptCount val="6"/>
                <c:pt idx="0">
                  <c:v>15</c:v>
                </c:pt>
                <c:pt idx="1">
                  <c:v>10</c:v>
                </c:pt>
                <c:pt idx="2">
                  <c:v>12</c:v>
                </c:pt>
                <c:pt idx="3">
                  <c:v>16</c:v>
                </c:pt>
                <c:pt idx="4">
                  <c:v>9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5-4382-9F27-87D8FF293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316320"/>
        <c:axId val="1070311744"/>
      </c:scatterChart>
      <c:valAx>
        <c:axId val="10703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</a:t>
                </a:r>
                <a:r>
                  <a:rPr lang="en-US"/>
                  <a:t>This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11744"/>
        <c:crosses val="autoZero"/>
        <c:crossBetween val="midCat"/>
      </c:valAx>
      <c:valAx>
        <c:axId val="10703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Last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1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'c7t2'!$C$1</c:f>
              <c:strCache>
                <c:ptCount val="1"/>
                <c:pt idx="0">
                  <c:v>MA1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'c7t2'!$A$2:$A$21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'c7t2'!$C$2:$C$21</c:f>
              <c:numCache>
                <c:formatCode>General</c:formatCode>
                <c:ptCount val="20"/>
                <c:pt idx="0">
                  <c:v>0.39986699999999997</c:v>
                </c:pt>
                <c:pt idx="1">
                  <c:v>0.40975800000000001</c:v>
                </c:pt>
                <c:pt idx="2">
                  <c:v>0.83635400000000004</c:v>
                </c:pt>
                <c:pt idx="3">
                  <c:v>0.520146</c:v>
                </c:pt>
                <c:pt idx="4">
                  <c:v>0.75008900000000001</c:v>
                </c:pt>
                <c:pt idx="5">
                  <c:v>1.35639</c:v>
                </c:pt>
                <c:pt idx="6">
                  <c:v>1.15621</c:v>
                </c:pt>
                <c:pt idx="7">
                  <c:v>0.42962</c:v>
                </c:pt>
                <c:pt idx="8">
                  <c:v>0.21193799999999999</c:v>
                </c:pt>
                <c:pt idx="9">
                  <c:v>0.14603099999999999</c:v>
                </c:pt>
                <c:pt idx="10">
                  <c:v>0.60782899999999995</c:v>
                </c:pt>
                <c:pt idx="11">
                  <c:v>0.65292099999999997</c:v>
                </c:pt>
                <c:pt idx="12">
                  <c:v>0.23741899999999999</c:v>
                </c:pt>
                <c:pt idx="13">
                  <c:v>0.90963099999999997</c:v>
                </c:pt>
                <c:pt idx="14">
                  <c:v>1.4320999999999999</c:v>
                </c:pt>
                <c:pt idx="15">
                  <c:v>0.79752699999999999</c:v>
                </c:pt>
                <c:pt idx="16">
                  <c:v>0.37415599999999999</c:v>
                </c:pt>
                <c:pt idx="17">
                  <c:v>0.410271</c:v>
                </c:pt>
                <c:pt idx="18">
                  <c:v>0.94195399999999996</c:v>
                </c:pt>
                <c:pt idx="19">
                  <c:v>0.82126500000000002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3-4F4B-B473-A37EA3EAC601}"/>
            </c:ext>
          </c:extLst>
        </c:ser>
        <c:ser>
          <c:idx val="2"/>
          <c:order val="1"/>
          <c:tx>
            <c:strRef>
              <c:f>'c7t2'!$D$1</c:f>
              <c:strCache>
                <c:ptCount val="1"/>
                <c:pt idx="0">
                  <c:v>AR1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'c7t2'!$A$2:$A$21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'c7t2'!$D$2:$D$21</c:f>
              <c:numCache>
                <c:formatCode>General</c:formatCode>
                <c:ptCount val="20"/>
                <c:pt idx="0">
                  <c:v>0.24</c:v>
                </c:pt>
                <c:pt idx="1">
                  <c:v>0.35024</c:v>
                </c:pt>
                <c:pt idx="2">
                  <c:v>0.85030600000000001</c:v>
                </c:pt>
                <c:pt idx="3">
                  <c:v>0.47266900000000001</c:v>
                </c:pt>
                <c:pt idx="4">
                  <c:v>0.95316199999999995</c:v>
                </c:pt>
                <c:pt idx="5">
                  <c:v>1.3311999999999999</c:v>
                </c:pt>
                <c:pt idx="6">
                  <c:v>1.2235799999999999</c:v>
                </c:pt>
                <c:pt idx="7">
                  <c:v>0.65082200000000001</c:v>
                </c:pt>
                <c:pt idx="8">
                  <c:v>0.51002700000000001</c:v>
                </c:pt>
                <c:pt idx="9">
                  <c:v>0.271814</c:v>
                </c:pt>
                <c:pt idx="10">
                  <c:v>0.73197599999999996</c:v>
                </c:pt>
                <c:pt idx="11">
                  <c:v>0.60165999999999997</c:v>
                </c:pt>
                <c:pt idx="12">
                  <c:v>0.37327900000000003</c:v>
                </c:pt>
                <c:pt idx="13">
                  <c:v>1.04556</c:v>
                </c:pt>
                <c:pt idx="14">
                  <c:v>1.3536300000000001</c:v>
                </c:pt>
                <c:pt idx="15">
                  <c:v>0.89274399999999998</c:v>
                </c:pt>
                <c:pt idx="16">
                  <c:v>0.66937899999999995</c:v>
                </c:pt>
                <c:pt idx="17">
                  <c:v>0.58885500000000002</c:v>
                </c:pt>
                <c:pt idx="18">
                  <c:v>1.05847</c:v>
                </c:pt>
                <c:pt idx="19">
                  <c:v>0.81567100000000003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3-4F4B-B473-A37EA3EAC601}"/>
            </c:ext>
          </c:extLst>
        </c:ser>
        <c:ser>
          <c:idx val="3"/>
          <c:order val="2"/>
          <c:tx>
            <c:strRef>
              <c:f>'c7t2'!$E$1</c:f>
              <c:strCache>
                <c:ptCount val="1"/>
                <c:pt idx="0">
                  <c:v>AR2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'c7t2'!$A$2:$A$21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'c7t2'!$E$2:$E$21</c:f>
              <c:numCache>
                <c:formatCode>General</c:formatCode>
                <c:ptCount val="20"/>
                <c:pt idx="0">
                  <c:v>0.16</c:v>
                </c:pt>
                <c:pt idx="1">
                  <c:v>0.04</c:v>
                </c:pt>
                <c:pt idx="2">
                  <c:v>0.73518600000000001</c:v>
                </c:pt>
                <c:pt idx="3">
                  <c:v>0.57014600000000004</c:v>
                </c:pt>
                <c:pt idx="4">
                  <c:v>1.2629699999999999</c:v>
                </c:pt>
                <c:pt idx="5">
                  <c:v>1.8527199999999999</c:v>
                </c:pt>
                <c:pt idx="6">
                  <c:v>2.1074799999999998</c:v>
                </c:pt>
                <c:pt idx="7">
                  <c:v>1.8848100000000001</c:v>
                </c:pt>
                <c:pt idx="8">
                  <c:v>1.9254800000000001</c:v>
                </c:pt>
                <c:pt idx="9">
                  <c:v>1.7416</c:v>
                </c:pt>
                <c:pt idx="10">
                  <c:v>2.2002899999999999</c:v>
                </c:pt>
                <c:pt idx="11">
                  <c:v>2.12419</c:v>
                </c:pt>
                <c:pt idx="12">
                  <c:v>1.9994400000000001</c:v>
                </c:pt>
                <c:pt idx="13">
                  <c:v>2.68336</c:v>
                </c:pt>
                <c:pt idx="14">
                  <c:v>3.1091000000000002</c:v>
                </c:pt>
                <c:pt idx="15">
                  <c:v>2.9289700000000001</c:v>
                </c:pt>
                <c:pt idx="16">
                  <c:v>2.8951099999999999</c:v>
                </c:pt>
                <c:pt idx="17">
                  <c:v>2.86653</c:v>
                </c:pt>
                <c:pt idx="18">
                  <c:v>3.3496299999999999</c:v>
                </c:pt>
                <c:pt idx="19">
                  <c:v>3.2044899999999998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3-4F4B-B473-A37EA3EAC601}"/>
            </c:ext>
          </c:extLst>
        </c:ser>
        <c:ser>
          <c:idx val="4"/>
          <c:order val="3"/>
          <c:tx>
            <c:strRef>
              <c:f>'c7t2'!$F$1</c:f>
              <c:strCache>
                <c:ptCount val="1"/>
                <c:pt idx="0">
                  <c:v>ARIMA111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'c7t2'!$A$2:$A$21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'c7t2'!$F$2:$F$21</c:f>
              <c:numCache>
                <c:formatCode>General</c:formatCode>
                <c:ptCount val="20"/>
                <c:pt idx="0">
                  <c:v>0.16</c:v>
                </c:pt>
                <c:pt idx="1">
                  <c:v>0.56975799999999999</c:v>
                </c:pt>
                <c:pt idx="2">
                  <c:v>1.40611</c:v>
                </c:pt>
                <c:pt idx="3">
                  <c:v>1.9262600000000001</c:v>
                </c:pt>
                <c:pt idx="4">
                  <c:v>2.6763499999999998</c:v>
                </c:pt>
                <c:pt idx="5">
                  <c:v>4.0327400000000004</c:v>
                </c:pt>
                <c:pt idx="6">
                  <c:v>5.1889500000000002</c:v>
                </c:pt>
                <c:pt idx="7">
                  <c:v>5.6185700000000001</c:v>
                </c:pt>
                <c:pt idx="8">
                  <c:v>5.8305100000000003</c:v>
                </c:pt>
                <c:pt idx="9">
                  <c:v>5.97654</c:v>
                </c:pt>
                <c:pt idx="10">
                  <c:v>6.5843699999999998</c:v>
                </c:pt>
                <c:pt idx="11">
                  <c:v>7.2372899999999998</c:v>
                </c:pt>
                <c:pt idx="12">
                  <c:v>7.47471</c:v>
                </c:pt>
                <c:pt idx="13">
                  <c:v>8.3843399999999999</c:v>
                </c:pt>
                <c:pt idx="14">
                  <c:v>9.8164400000000001</c:v>
                </c:pt>
                <c:pt idx="15">
                  <c:v>10.614000000000001</c:v>
                </c:pt>
                <c:pt idx="16">
                  <c:v>10.988099999999999</c:v>
                </c:pt>
                <c:pt idx="17">
                  <c:v>11.398400000000001</c:v>
                </c:pt>
                <c:pt idx="18">
                  <c:v>12.340299999999999</c:v>
                </c:pt>
                <c:pt idx="19">
                  <c:v>13.1616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3-4F4B-B473-A37EA3EA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812559"/>
        <c:axId val="1265800911"/>
      </c:scatterChart>
      <c:valAx>
        <c:axId val="126581255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00911"/>
        <c:crosses val="autoZero"/>
        <c:crossBetween val="midCat"/>
      </c:valAx>
      <c:valAx>
        <c:axId val="126580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1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simAR1MA1!$C$3</c:f>
              <c:strCache>
                <c:ptCount val="1"/>
                <c:pt idx="0">
                  <c:v>AR(1)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simAR1MA1!$C$4:$C$104</c:f>
              <c:numCache>
                <c:formatCode>0.000</c:formatCode>
                <c:ptCount val="101"/>
                <c:pt idx="0">
                  <c:v>18.419759409834366</c:v>
                </c:pt>
                <c:pt idx="1">
                  <c:v>3.3302562944970919</c:v>
                </c:pt>
                <c:pt idx="2">
                  <c:v>16.04083633654087</c:v>
                </c:pt>
                <c:pt idx="3">
                  <c:v>6.5958417759224925</c:v>
                </c:pt>
                <c:pt idx="4">
                  <c:v>13.6775895589744</c:v>
                </c:pt>
                <c:pt idx="5">
                  <c:v>6.7411564291204398</c:v>
                </c:pt>
                <c:pt idx="6">
                  <c:v>12.899107924569078</c:v>
                </c:pt>
                <c:pt idx="7">
                  <c:v>5.7945644671639451</c:v>
                </c:pt>
                <c:pt idx="8">
                  <c:v>14.46300117107986</c:v>
                </c:pt>
                <c:pt idx="9">
                  <c:v>6.9397198697921176</c:v>
                </c:pt>
                <c:pt idx="10">
                  <c:v>11.989828595776032</c:v>
                </c:pt>
                <c:pt idx="11">
                  <c:v>7.7487063606350581</c:v>
                </c:pt>
                <c:pt idx="12">
                  <c:v>11.4465966744513</c:v>
                </c:pt>
                <c:pt idx="13">
                  <c:v>8.9859792677395198</c:v>
                </c:pt>
                <c:pt idx="14">
                  <c:v>11.815234561117583</c:v>
                </c:pt>
                <c:pt idx="15">
                  <c:v>7.6216989378405984</c:v>
                </c:pt>
                <c:pt idx="16">
                  <c:v>11.581770952454788</c:v>
                </c:pt>
                <c:pt idx="17">
                  <c:v>9.9409274428853411</c:v>
                </c:pt>
                <c:pt idx="18">
                  <c:v>11.339448589712704</c:v>
                </c:pt>
                <c:pt idx="19">
                  <c:v>9.4752200681049601</c:v>
                </c:pt>
                <c:pt idx="20">
                  <c:v>9.8421847604460773</c:v>
                </c:pt>
                <c:pt idx="21">
                  <c:v>9.501737819302372</c:v>
                </c:pt>
                <c:pt idx="22">
                  <c:v>9.349713149091329</c:v>
                </c:pt>
                <c:pt idx="23">
                  <c:v>11.098278490188534</c:v>
                </c:pt>
                <c:pt idx="24">
                  <c:v>9.1256031526251302</c:v>
                </c:pt>
                <c:pt idx="25">
                  <c:v>11.0726805949809</c:v>
                </c:pt>
                <c:pt idx="26">
                  <c:v>9.5806402082210784</c:v>
                </c:pt>
                <c:pt idx="27">
                  <c:v>10.43528594175651</c:v>
                </c:pt>
                <c:pt idx="28">
                  <c:v>10.050676228277275</c:v>
                </c:pt>
                <c:pt idx="29">
                  <c:v>10.005303267280706</c:v>
                </c:pt>
                <c:pt idx="30">
                  <c:v>9.2306148880779215</c:v>
                </c:pt>
                <c:pt idx="31">
                  <c:v>10.681003570795683</c:v>
                </c:pt>
                <c:pt idx="32">
                  <c:v>10.894539008228735</c:v>
                </c:pt>
                <c:pt idx="33">
                  <c:v>10.288987903596613</c:v>
                </c:pt>
                <c:pt idx="34">
                  <c:v>9.074614811593138</c:v>
                </c:pt>
                <c:pt idx="35">
                  <c:v>10.453931127740294</c:v>
                </c:pt>
                <c:pt idx="36">
                  <c:v>9.7713429594880115</c:v>
                </c:pt>
                <c:pt idx="37">
                  <c:v>10.830566740532419</c:v>
                </c:pt>
                <c:pt idx="38">
                  <c:v>8.8582695094293236</c:v>
                </c:pt>
                <c:pt idx="39">
                  <c:v>10.812961437380508</c:v>
                </c:pt>
                <c:pt idx="40">
                  <c:v>8.9428975005624558</c:v>
                </c:pt>
                <c:pt idx="41">
                  <c:v>9.949543340331072</c:v>
                </c:pt>
                <c:pt idx="42">
                  <c:v>8.7835668001657243</c:v>
                </c:pt>
                <c:pt idx="43">
                  <c:v>9.7268870159219354</c:v>
                </c:pt>
                <c:pt idx="44">
                  <c:v>11.309574715414422</c:v>
                </c:pt>
                <c:pt idx="45">
                  <c:v>9.8229165563168728</c:v>
                </c:pt>
                <c:pt idx="46">
                  <c:v>11.813914504599712</c:v>
                </c:pt>
                <c:pt idx="47">
                  <c:v>7.1349886378795997</c:v>
                </c:pt>
                <c:pt idx="48">
                  <c:v>12.265429730077582</c:v>
                </c:pt>
                <c:pt idx="49">
                  <c:v>6.0127476109356959</c:v>
                </c:pt>
                <c:pt idx="50">
                  <c:v>12.210816164315297</c:v>
                </c:pt>
                <c:pt idx="51">
                  <c:v>7.2569766269707268</c:v>
                </c:pt>
                <c:pt idx="52">
                  <c:v>12.756895182022033</c:v>
                </c:pt>
                <c:pt idx="53">
                  <c:v>8.6837343392182831</c:v>
                </c:pt>
                <c:pt idx="54">
                  <c:v>11.985357998398799</c:v>
                </c:pt>
                <c:pt idx="55">
                  <c:v>10.821860989116381</c:v>
                </c:pt>
                <c:pt idx="56">
                  <c:v>9.3467889661118004</c:v>
                </c:pt>
                <c:pt idx="57">
                  <c:v>10.043879674756115</c:v>
                </c:pt>
                <c:pt idx="58">
                  <c:v>9.8258016107533166</c:v>
                </c:pt>
                <c:pt idx="59">
                  <c:v>9.5125595037528612</c:v>
                </c:pt>
                <c:pt idx="60">
                  <c:v>9.8782098934372904</c:v>
                </c:pt>
                <c:pt idx="61">
                  <c:v>9.6258433196844173</c:v>
                </c:pt>
                <c:pt idx="62">
                  <c:v>11.787569440030252</c:v>
                </c:pt>
                <c:pt idx="63">
                  <c:v>7.7987794977908669</c:v>
                </c:pt>
                <c:pt idx="64">
                  <c:v>12.786352329528043</c:v>
                </c:pt>
                <c:pt idx="65">
                  <c:v>7.7651837122459018</c:v>
                </c:pt>
                <c:pt idx="66">
                  <c:v>11.012910426424579</c:v>
                </c:pt>
                <c:pt idx="67">
                  <c:v>7.8257359900458106</c:v>
                </c:pt>
                <c:pt idx="68">
                  <c:v>11.315976990836186</c:v>
                </c:pt>
                <c:pt idx="69">
                  <c:v>9.0583945148138429</c:v>
                </c:pt>
                <c:pt idx="70">
                  <c:v>12.390129251339806</c:v>
                </c:pt>
                <c:pt idx="71">
                  <c:v>7.8174705379993146</c:v>
                </c:pt>
                <c:pt idx="72">
                  <c:v>11.127467151382955</c:v>
                </c:pt>
                <c:pt idx="73">
                  <c:v>11.580562234520688</c:v>
                </c:pt>
                <c:pt idx="74">
                  <c:v>8.7323636158495557</c:v>
                </c:pt>
                <c:pt idx="75">
                  <c:v>11.592161267098508</c:v>
                </c:pt>
                <c:pt idx="76">
                  <c:v>7.3430240604232395</c:v>
                </c:pt>
                <c:pt idx="77">
                  <c:v>13.525639592298388</c:v>
                </c:pt>
                <c:pt idx="78">
                  <c:v>10.148492156026053</c:v>
                </c:pt>
                <c:pt idx="79">
                  <c:v>9.2493691205049053</c:v>
                </c:pt>
                <c:pt idx="80">
                  <c:v>10.420850964769306</c:v>
                </c:pt>
                <c:pt idx="81">
                  <c:v>10.966841460368252</c:v>
                </c:pt>
                <c:pt idx="82">
                  <c:v>9.5025636066614698</c:v>
                </c:pt>
                <c:pt idx="83">
                  <c:v>10.771370441160784</c:v>
                </c:pt>
                <c:pt idx="84">
                  <c:v>9.4828921055650515</c:v>
                </c:pt>
                <c:pt idx="85">
                  <c:v>11.184544888369205</c:v>
                </c:pt>
                <c:pt idx="86">
                  <c:v>6.6813557779532555</c:v>
                </c:pt>
                <c:pt idx="87">
                  <c:v>13.645782229340814</c:v>
                </c:pt>
                <c:pt idx="88">
                  <c:v>7.7329036535312987</c:v>
                </c:pt>
                <c:pt idx="89">
                  <c:v>11.760233843840908</c:v>
                </c:pt>
                <c:pt idx="90">
                  <c:v>7.9785581958911358</c:v>
                </c:pt>
                <c:pt idx="91">
                  <c:v>8.6205871831235843</c:v>
                </c:pt>
                <c:pt idx="92">
                  <c:v>11.99429215558469</c:v>
                </c:pt>
                <c:pt idx="93">
                  <c:v>8.966524546927932</c:v>
                </c:pt>
                <c:pt idx="94">
                  <c:v>11.424134938379975</c:v>
                </c:pt>
                <c:pt idx="95">
                  <c:v>8.5498654726536323</c:v>
                </c:pt>
                <c:pt idx="96">
                  <c:v>10.930341838407966</c:v>
                </c:pt>
                <c:pt idx="97">
                  <c:v>8.577293226447285</c:v>
                </c:pt>
                <c:pt idx="98">
                  <c:v>12.276405955382705</c:v>
                </c:pt>
                <c:pt idx="99">
                  <c:v>7.6250087253371355</c:v>
                </c:pt>
                <c:pt idx="100">
                  <c:v>12.697456339422152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A-4A94-9999-941235168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781696"/>
        <c:axId val="2042782528"/>
      </c:scatterChart>
      <c:valAx>
        <c:axId val="20427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82528"/>
        <c:crosses val="autoZero"/>
        <c:crossBetween val="midCat"/>
      </c:valAx>
      <c:valAx>
        <c:axId val="20427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8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simAR1MA1!$E$3</c:f>
              <c:strCache>
                <c:ptCount val="1"/>
                <c:pt idx="0">
                  <c:v>MA(1)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simAR1MA1!$E$4:$E$104</c:f>
              <c:numCache>
                <c:formatCode>0.000</c:formatCode>
                <c:ptCount val="101"/>
                <c:pt idx="0">
                  <c:v>20.419759409834366</c:v>
                </c:pt>
                <c:pt idx="1">
                  <c:v>20.359895409248644</c:v>
                </c:pt>
                <c:pt idx="2">
                  <c:v>20.751286047793755</c:v>
                </c:pt>
                <c:pt idx="3">
                  <c:v>21.922039805652172</c:v>
                </c:pt>
                <c:pt idx="4">
                  <c:v>21.954220571321027</c:v>
                </c:pt>
                <c:pt idx="5">
                  <c:v>20.351212162098637</c:v>
                </c:pt>
                <c:pt idx="6">
                  <c:v>20.070292721275404</c:v>
                </c:pt>
                <c:pt idx="7">
                  <c:v>18.318273954325011</c:v>
                </c:pt>
                <c:pt idx="8">
                  <c:v>19.778348309584462</c:v>
                </c:pt>
                <c:pt idx="9">
                  <c:v>21.279177728023718</c:v>
                </c:pt>
                <c:pt idx="10">
                  <c:v>19.898689056268932</c:v>
                </c:pt>
                <c:pt idx="11">
                  <c:v>19.019692381382693</c:v>
                </c:pt>
                <c:pt idx="12">
                  <c:v>19.183960229038465</c:v>
                </c:pt>
                <c:pt idx="13">
                  <c:v>19.895149841372099</c:v>
                </c:pt>
                <c:pt idx="14">
                  <c:v>21.104297600419592</c:v>
                </c:pt>
                <c:pt idx="15">
                  <c:v>19.776699169451103</c:v>
                </c:pt>
                <c:pt idx="16">
                  <c:v>19.030850713441531</c:v>
                </c:pt>
                <c:pt idx="17">
                  <c:v>20.981735276758261</c:v>
                </c:pt>
                <c:pt idx="18">
                  <c:v>22.1366314874154</c:v>
                </c:pt>
                <c:pt idx="19">
                  <c:v>21.451312320689809</c:v>
                </c:pt>
                <c:pt idx="20">
                  <c:v>19.80510607284263</c:v>
                </c:pt>
                <c:pt idx="21">
                  <c:v>18.971138198110264</c:v>
                </c:pt>
                <c:pt idx="22">
                  <c:v>18.513943343894692</c:v>
                </c:pt>
                <c:pt idx="23">
                  <c:v>19.843821392634858</c:v>
                </c:pt>
                <c:pt idx="24">
                  <c:v>20.408860251399076</c:v>
                </c:pt>
                <c:pt idx="25">
                  <c:v>20.376121278424176</c:v>
                </c:pt>
                <c:pt idx="26">
                  <c:v>20.699998866162503</c:v>
                </c:pt>
                <c:pt idx="27">
                  <c:v>20.40694738727743</c:v>
                </c:pt>
                <c:pt idx="28">
                  <c:v>20.468763657515844</c:v>
                </c:pt>
                <c:pt idx="29">
                  <c:v>20.325077737080264</c:v>
                </c:pt>
                <c:pt idx="30">
                  <c:v>19.266948476834255</c:v>
                </c:pt>
                <c:pt idx="31">
                  <c:v>19.529895732589761</c:v>
                </c:pt>
                <c:pt idx="32">
                  <c:v>21.485188701745894</c:v>
                </c:pt>
                <c:pt idx="33">
                  <c:v>22.012158415585301</c:v>
                </c:pt>
                <c:pt idx="34">
                  <c:v>20.009038511596152</c:v>
                </c:pt>
                <c:pt idx="35">
                  <c:v>19.227686571144105</c:v>
                </c:pt>
                <c:pt idx="36">
                  <c:v>19.934023945590614</c:v>
                </c:pt>
                <c:pt idx="37">
                  <c:v>20.741782611299005</c:v>
                </c:pt>
                <c:pt idx="38">
                  <c:v>19.976071677541238</c:v>
                </c:pt>
                <c:pt idx="39">
                  <c:v>19.565483076222652</c:v>
                </c:pt>
                <c:pt idx="40">
                  <c:v>19.52297058191364</c:v>
                </c:pt>
                <c:pt idx="41">
                  <c:v>18.819147996107841</c:v>
                </c:pt>
                <c:pt idx="42">
                  <c:v>18.115904410977311</c:v>
                </c:pt>
                <c:pt idx="43">
                  <c:v>17.873981486755923</c:v>
                </c:pt>
                <c:pt idx="44">
                  <c:v>20.218702647390128</c:v>
                </c:pt>
                <c:pt idx="45">
                  <c:v>21.634335358354789</c:v>
                </c:pt>
                <c:pt idx="46">
                  <c:v>22.281651179707097</c:v>
                </c:pt>
                <c:pt idx="47">
                  <c:v>19.756693666316618</c:v>
                </c:pt>
                <c:pt idx="48">
                  <c:v>18.983704809472819</c:v>
                </c:pt>
                <c:pt idx="49">
                  <c:v>17.806485843264642</c:v>
                </c:pt>
                <c:pt idx="50">
                  <c:v>17.498578229562288</c:v>
                </c:pt>
                <c:pt idx="51">
                  <c:v>18.340339535567661</c:v>
                </c:pt>
                <c:pt idx="52">
                  <c:v>19.880417174494688</c:v>
                </c:pt>
                <c:pt idx="53">
                  <c:v>21.282984023354942</c:v>
                </c:pt>
                <c:pt idx="54">
                  <c:v>21.55482080915856</c:v>
                </c:pt>
                <c:pt idx="55">
                  <c:v>23.062789216676819</c:v>
                </c:pt>
                <c:pt idx="56">
                  <c:v>21.6913809288897</c:v>
                </c:pt>
                <c:pt idx="57">
                  <c:v>19.52430527782899</c:v>
                </c:pt>
                <c:pt idx="58">
                  <c:v>19.525822943910097</c:v>
                </c:pt>
                <c:pt idx="59">
                  <c:v>19.27583453774626</c:v>
                </c:pt>
                <c:pt idx="60">
                  <c:v>19.049498051088442</c:v>
                </c:pt>
                <c:pt idx="61">
                  <c:v>19.170191481941956</c:v>
                </c:pt>
                <c:pt idx="62">
                  <c:v>21.158131959881761</c:v>
                </c:pt>
                <c:pt idx="63">
                  <c:v>20.270605916859516</c:v>
                </c:pt>
                <c:pt idx="64">
                  <c:v>20.485560462631287</c:v>
                </c:pt>
                <c:pt idx="65">
                  <c:v>20.712028725300854</c:v>
                </c:pt>
                <c:pt idx="66">
                  <c:v>19.221043299329139</c:v>
                </c:pt>
                <c:pt idx="67">
                  <c:v>18.093604508540384</c:v>
                </c:pt>
                <c:pt idx="68">
                  <c:v>18.621810814702666</c:v>
                </c:pt>
                <c:pt idx="69">
                  <c:v>19.814772155493774</c:v>
                </c:pt>
                <c:pt idx="70">
                  <c:v>21.714668138428834</c:v>
                </c:pt>
                <c:pt idx="71">
                  <c:v>20.875365343304779</c:v>
                </c:pt>
                <c:pt idx="72">
                  <c:v>19.192145339132217</c:v>
                </c:pt>
                <c:pt idx="73">
                  <c:v>22.049546462874737</c:v>
                </c:pt>
                <c:pt idx="74">
                  <c:v>21.734588572405045</c:v>
                </c:pt>
                <c:pt idx="75">
                  <c:v>20.575821542204427</c:v>
                </c:pt>
                <c:pt idx="76">
                  <c:v>19.021389585946753</c:v>
                </c:pt>
                <c:pt idx="77">
                  <c:v>20.431785992508413</c:v>
                </c:pt>
                <c:pt idx="78">
                  <c:v>23.949045018310649</c:v>
                </c:pt>
                <c:pt idx="79">
                  <c:v>21.446465526231083</c:v>
                </c:pt>
                <c:pt idx="80">
                  <c:v>19.378060252901253</c:v>
                </c:pt>
                <c:pt idx="81">
                  <c:v>21.177764615004961</c:v>
                </c:pt>
                <c:pt idx="82">
                  <c:v>21.18850233748466</c:v>
                </c:pt>
                <c:pt idx="83">
                  <c:v>20.56664706895921</c:v>
                </c:pt>
                <c:pt idx="84">
                  <c:v>20.361383387036653</c:v>
                </c:pt>
                <c:pt idx="85">
                  <c:v>20.840850493766819</c:v>
                </c:pt>
                <c:pt idx="86">
                  <c:v>18.168592689623491</c:v>
                </c:pt>
                <c:pt idx="87">
                  <c:v>19.331161033757454</c:v>
                </c:pt>
                <c:pt idx="88">
                  <c:v>21.343136233196343</c:v>
                </c:pt>
                <c:pt idx="89">
                  <c:v>20.401227372568712</c:v>
                </c:pt>
                <c:pt idx="90">
                  <c:v>19.349335007630025</c:v>
                </c:pt>
                <c:pt idx="91">
                  <c:v>16.574155429511194</c:v>
                </c:pt>
                <c:pt idx="92">
                  <c:v>18.793165519969104</c:v>
                </c:pt>
                <c:pt idx="93">
                  <c:v>21.185491602854174</c:v>
                </c:pt>
                <c:pt idx="94">
                  <c:v>20.990725365899301</c:v>
                </c:pt>
                <c:pt idx="95">
                  <c:v>20.107321626503236</c:v>
                </c:pt>
                <c:pt idx="96">
                  <c:v>19.552655612881203</c:v>
                </c:pt>
                <c:pt idx="97">
                  <c:v>19.160730648745268</c:v>
                </c:pt>
                <c:pt idx="98">
                  <c:v>20.663337224562092</c:v>
                </c:pt>
                <c:pt idx="99">
                  <c:v>20.242901865221672</c:v>
                </c:pt>
                <c:pt idx="100">
                  <c:v>20.409756762442168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3-4A99-ACFB-15966C3E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351664"/>
        <c:axId val="2050348336"/>
      </c:scatterChart>
      <c:valAx>
        <c:axId val="20503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48336"/>
        <c:crosses val="autoZero"/>
        <c:crossBetween val="midCat"/>
      </c:valAx>
      <c:valAx>
        <c:axId val="205034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5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simAR1MA1!$D$3</c:f>
              <c:strCache>
                <c:ptCount val="1"/>
                <c:pt idx="0">
                  <c:v>AR(2)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simAR1MA1!$D$4:$D$104</c:f>
              <c:numCache>
                <c:formatCode>0.000</c:formatCode>
                <c:ptCount val="101"/>
                <c:pt idx="0">
                  <c:v>8.4197594098343682</c:v>
                </c:pt>
                <c:pt idx="1">
                  <c:v>19.011751055149265</c:v>
                </c:pt>
                <c:pt idx="2">
                  <c:v>27.526486156948533</c:v>
                </c:pt>
                <c:pt idx="3">
                  <c:v>31.9047171105838</c:v>
                </c:pt>
                <c:pt idx="4">
                  <c:v>31.16185491360736</c:v>
                </c:pt>
                <c:pt idx="5">
                  <c:v>25.860337486580875</c:v>
                </c:pt>
                <c:pt idx="6">
                  <c:v>20.097173360895422</c:v>
                </c:pt>
                <c:pt idx="7">
                  <c:v>14.137939935376647</c:v>
                </c:pt>
                <c:pt idx="8">
                  <c:v>13.409953308173865</c:v>
                </c:pt>
                <c:pt idx="9">
                  <c:v>16.046502152518379</c:v>
                </c:pt>
                <c:pt idx="10">
                  <c:v>19.015089974161917</c:v>
                </c:pt>
                <c:pt idx="11">
                  <c:v>20.827634696903512</c:v>
                </c:pt>
                <c:pt idx="12">
                  <c:v>21.410923887020566</c:v>
                </c:pt>
                <c:pt idx="13">
                  <c:v>21.398113372594835</c:v>
                </c:pt>
                <c:pt idx="14">
                  <c:v>21.83391863876809</c:v>
                </c:pt>
                <c:pt idx="15">
                  <c:v>20.479301456316794</c:v>
                </c:pt>
                <c:pt idx="16">
                  <c:v>19.018478948801441</c:v>
                </c:pt>
                <c:pt idx="17">
                  <c:v>19.594855818869295</c:v>
                </c:pt>
                <c:pt idx="18">
                  <c:v>21.452567844390057</c:v>
                </c:pt>
                <c:pt idx="19">
                  <c:v>22.718718064373689</c:v>
                </c:pt>
                <c:pt idx="20">
                  <c:v>21.939896807542805</c:v>
                </c:pt>
                <c:pt idx="21">
                  <c:v>19.994248832403304</c:v>
                </c:pt>
                <c:pt idx="22">
                  <c:v>17.585699121377566</c:v>
                </c:pt>
                <c:pt idx="23">
                  <c:v>17.443483684570122</c:v>
                </c:pt>
                <c:pt idx="24">
                  <c:v>18.370765349752819</c:v>
                </c:pt>
                <c:pt idx="25">
                  <c:v>20.044719492560588</c:v>
                </c:pt>
                <c:pt idx="26">
                  <c:v>21.637384279707589</c:v>
                </c:pt>
                <c:pt idx="27">
                  <c:v>22.197094027160833</c:v>
                </c:pt>
                <c:pt idx="28">
                  <c:v>22.108958221196254</c:v>
                </c:pt>
                <c:pt idx="29">
                  <c:v>21.249524118445077</c:v>
                </c:pt>
                <c:pt idx="30">
                  <c:v>19.382968101043716</c:v>
                </c:pt>
                <c:pt idx="31">
                  <c:v>18.388687129703296</c:v>
                </c:pt>
                <c:pt idx="32">
                  <c:v>19.776557462748965</c:v>
                </c:pt>
                <c:pt idx="33">
                  <c:v>21.842062820960955</c:v>
                </c:pt>
                <c:pt idx="34">
                  <c:v>21.8568965777954</c:v>
                </c:pt>
                <c:pt idx="35">
                  <c:v>20.838144553476159</c:v>
                </c:pt>
                <c:pt idx="36">
                  <c:v>19.924248176742474</c:v>
                </c:pt>
                <c:pt idx="37">
                  <c:v>19.962462550454738</c:v>
                </c:pt>
                <c:pt idx="38">
                  <c:v>19.526950493726691</c:v>
                </c:pt>
                <c:pt idx="39">
                  <c:v>19.310888901450348</c:v>
                </c:pt>
                <c:pt idx="40">
                  <c:v>19.028556876743636</c:v>
                </c:pt>
                <c:pt idx="41">
                  <c:v>18.323363049532528</c:v>
                </c:pt>
                <c:pt idx="42">
                  <c:v>17.243583623102325</c:v>
                </c:pt>
                <c:pt idx="43">
                  <c:v>16.344045031414769</c:v>
                </c:pt>
                <c:pt idx="44">
                  <c:v>18.267834332819543</c:v>
                </c:pt>
                <c:pt idx="45">
                  <c:v>21.177929439323478</c:v>
                </c:pt>
                <c:pt idx="46">
                  <c:v>24.416071987800052</c:v>
                </c:pt>
                <c:pt idx="47">
                  <c:v>23.502463218173006</c:v>
                </c:pt>
                <c:pt idx="48">
                  <c:v>21.435372432546128</c:v>
                </c:pt>
                <c:pt idx="49">
                  <c:v>17.239351304586627</c:v>
                </c:pt>
                <c:pt idx="50">
                  <c:v>14.427410246244182</c:v>
                </c:pt>
                <c:pt idx="51">
                  <c:v>13.713716965329761</c:v>
                </c:pt>
                <c:pt idx="52">
                  <c:v>16.291121366156375</c:v>
                </c:pt>
                <c:pt idx="53">
                  <c:v>20.468106385108371</c:v>
                </c:pt>
                <c:pt idx="54">
                  <c:v>24.137098814104853</c:v>
                </c:pt>
                <c:pt idx="55">
                  <c:v>27.460701376595871</c:v>
                </c:pt>
                <c:pt idx="56">
                  <c:v>26.807220377106137</c:v>
                </c:pt>
                <c:pt idx="57">
                  <c:v>23.148206374266429</c:v>
                </c:pt>
                <c:pt idx="58">
                  <c:v>19.188519373130269</c:v>
                </c:pt>
                <c:pt idx="59">
                  <c:v>16.114531515438365</c:v>
                </c:pt>
                <c:pt idx="60">
                  <c:v>15.005184905318268</c:v>
                </c:pt>
                <c:pt idx="61">
                  <c:v>15.754979550541146</c:v>
                </c:pt>
                <c:pt idx="62">
                  <c:v>19.466088077758492</c:v>
                </c:pt>
                <c:pt idx="63">
                  <c:v>21.506263865522303</c:v>
                </c:pt>
                <c:pt idx="64">
                  <c:v>23.357257298508792</c:v>
                </c:pt>
                <c:pt idx="65">
                  <c:v>23.304315358064159</c:v>
                </c:pt>
                <c:pt idx="66">
                  <c:v>21.170587252748557</c:v>
                </c:pt>
                <c:pt idx="67">
                  <c:v>17.844807009113687</c:v>
                </c:pt>
                <c:pt idx="68">
                  <c:v>15.955403817796638</c:v>
                </c:pt>
                <c:pt idx="69">
                  <c:v>16.361836164238841</c:v>
                </c:pt>
                <c:pt idx="70">
                  <c:v>19.738449204243729</c:v>
                </c:pt>
                <c:pt idx="71">
                  <c:v>21.936272589620817</c:v>
                </c:pt>
                <c:pt idx="72">
                  <c:v>22.08168350531886</c:v>
                </c:pt>
                <c:pt idx="73">
                  <c:v>23.833333699807003</c:v>
                </c:pt>
                <c:pt idx="74">
                  <c:v>23.522968759492009</c:v>
                </c:pt>
                <c:pt idx="75">
                  <c:v>22.474577957252862</c:v>
                </c:pt>
                <c:pt idx="76">
                  <c:v>19.367626286886363</c:v>
                </c:pt>
                <c:pt idx="77">
                  <c:v>18.845768443512249</c:v>
                </c:pt>
                <c:pt idx="78">
                  <c:v>21.911164405610233</c:v>
                </c:pt>
                <c:pt idx="79">
                  <c:v>22.66063866216048</c:v>
                </c:pt>
                <c:pt idx="80">
                  <c:v>21.941361438054692</c:v>
                </c:pt>
                <c:pt idx="81">
                  <c:v>21.96484503814246</c:v>
                </c:pt>
                <c:pt idx="82">
                  <c:v>21.471382317902989</c:v>
                </c:pt>
                <c:pt idx="83">
                  <c:v>20.910826813064126</c:v>
                </c:pt>
                <c:pt idx="84">
                  <c:v>20.254095692944954</c:v>
                </c:pt>
                <c:pt idx="85">
                  <c:v>20.463604204504801</c:v>
                </c:pt>
                <c:pt idx="86">
                  <c:v>18.053810169443391</c:v>
                </c:pt>
                <c:pt idx="87">
                  <c:v>18.136297128826467</c:v>
                </c:pt>
                <c:pt idx="88">
                  <c:v>19.589048585867982</c:v>
                </c:pt>
                <c:pt idx="89">
                  <c:v>20.716911938115796</c:v>
                </c:pt>
                <c:pt idx="90">
                  <c:v>20.606396780406815</c:v>
                </c:pt>
                <c:pt idx="91">
                  <c:v>17.289911197684294</c:v>
                </c:pt>
                <c:pt idx="92">
                  <c:v>16.943168712788371</c:v>
                </c:pt>
                <c:pt idx="93">
                  <c:v>18.485139759641566</c:v>
                </c:pt>
                <c:pt idx="94">
                  <c:v>20.767818164504504</c:v>
                </c:pt>
                <c:pt idx="95">
                  <c:v>21.747739205464367</c:v>
                </c:pt>
                <c:pt idx="96">
                  <c:v>21.5048224684814</c:v>
                </c:pt>
                <c:pt idx="97">
                  <c:v>20.054418462374421</c:v>
                </c:pt>
                <c:pt idx="98">
                  <c:v>20.155608809690303</c:v>
                </c:pt>
                <c:pt idx="99">
                  <c:v>19.6103320185786</c:v>
                </c:pt>
                <c:pt idx="100">
                  <c:v>20.181968777060824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D-40B1-80D3-9B0BA6E51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627584"/>
        <c:axId val="2056625504"/>
      </c:scatterChart>
      <c:valAx>
        <c:axId val="205662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25504"/>
        <c:crosses val="autoZero"/>
        <c:crossBetween val="midCat"/>
      </c:valAx>
      <c:valAx>
        <c:axId val="20566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2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'MA1'!$C$1</c:f>
              <c:strCache>
                <c:ptCount val="1"/>
                <c:pt idx="0">
                  <c:v>MA1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'MA1'!$C$2:$C$203</c:f>
              <c:numCache>
                <c:formatCode>General</c:formatCode>
                <c:ptCount val="202"/>
                <c:pt idx="0">
                  <c:v>0.39986699999999997</c:v>
                </c:pt>
                <c:pt idx="1">
                  <c:v>0.40975800000000001</c:v>
                </c:pt>
                <c:pt idx="2">
                  <c:v>0.83635400000000004</c:v>
                </c:pt>
                <c:pt idx="3">
                  <c:v>0.520146</c:v>
                </c:pt>
                <c:pt idx="4">
                  <c:v>0.75008900000000001</c:v>
                </c:pt>
                <c:pt idx="5">
                  <c:v>1.35639</c:v>
                </c:pt>
                <c:pt idx="6">
                  <c:v>1.15621</c:v>
                </c:pt>
                <c:pt idx="7">
                  <c:v>0.42962</c:v>
                </c:pt>
                <c:pt idx="8">
                  <c:v>0.21193799999999999</c:v>
                </c:pt>
                <c:pt idx="9">
                  <c:v>0.14603099999999999</c:v>
                </c:pt>
                <c:pt idx="10">
                  <c:v>0.60782899999999995</c:v>
                </c:pt>
                <c:pt idx="11">
                  <c:v>0.65292099999999997</c:v>
                </c:pt>
                <c:pt idx="12">
                  <c:v>0.23741899999999999</c:v>
                </c:pt>
                <c:pt idx="13">
                  <c:v>0.90963099999999997</c:v>
                </c:pt>
                <c:pt idx="14">
                  <c:v>1.4320999999999999</c:v>
                </c:pt>
                <c:pt idx="15">
                  <c:v>0.79752699999999999</c:v>
                </c:pt>
                <c:pt idx="16">
                  <c:v>0.37415599999999999</c:v>
                </c:pt>
                <c:pt idx="17">
                  <c:v>0.410271</c:v>
                </c:pt>
                <c:pt idx="18">
                  <c:v>0.94195399999999996</c:v>
                </c:pt>
                <c:pt idx="19">
                  <c:v>0.82126500000000002</c:v>
                </c:pt>
                <c:pt idx="20">
                  <c:v>0.380911</c:v>
                </c:pt>
                <c:pt idx="21">
                  <c:v>0.29451100000000002</c:v>
                </c:pt>
                <c:pt idx="22">
                  <c:v>0.70438400000000001</c:v>
                </c:pt>
                <c:pt idx="23">
                  <c:v>0.95368200000000003</c:v>
                </c:pt>
                <c:pt idx="24">
                  <c:v>0.57678700000000005</c:v>
                </c:pt>
                <c:pt idx="25">
                  <c:v>0.53983499999999995</c:v>
                </c:pt>
                <c:pt idx="26">
                  <c:v>0.78706200000000004</c:v>
                </c:pt>
                <c:pt idx="27">
                  <c:v>0.97042399999999995</c:v>
                </c:pt>
                <c:pt idx="28">
                  <c:v>0.89850200000000002</c:v>
                </c:pt>
                <c:pt idx="29">
                  <c:v>0.94023100000000004</c:v>
                </c:pt>
                <c:pt idx="30">
                  <c:v>0.82233100000000003</c:v>
                </c:pt>
                <c:pt idx="31">
                  <c:v>0.98042399999999996</c:v>
                </c:pt>
                <c:pt idx="32">
                  <c:v>0.55343900000000001</c:v>
                </c:pt>
                <c:pt idx="33">
                  <c:v>0.35896899999999998</c:v>
                </c:pt>
                <c:pt idx="34">
                  <c:v>1.1532100000000001</c:v>
                </c:pt>
                <c:pt idx="35">
                  <c:v>1.2309399999999999</c:v>
                </c:pt>
                <c:pt idx="36">
                  <c:v>0.70596499999999995</c:v>
                </c:pt>
                <c:pt idx="37">
                  <c:v>0.26919999999999999</c:v>
                </c:pt>
                <c:pt idx="38">
                  <c:v>0.35418899999999998</c:v>
                </c:pt>
                <c:pt idx="39">
                  <c:v>0.63668100000000005</c:v>
                </c:pt>
                <c:pt idx="40">
                  <c:v>1.2624899999999999</c:v>
                </c:pt>
                <c:pt idx="41">
                  <c:v>0.886903</c:v>
                </c:pt>
                <c:pt idx="42">
                  <c:v>0.28143600000000002</c:v>
                </c:pt>
                <c:pt idx="43">
                  <c:v>1.0591900000000001</c:v>
                </c:pt>
                <c:pt idx="44">
                  <c:v>1.63544</c:v>
                </c:pt>
                <c:pt idx="45">
                  <c:v>1.44346</c:v>
                </c:pt>
                <c:pt idx="46">
                  <c:v>0.94614100000000001</c:v>
                </c:pt>
                <c:pt idx="47">
                  <c:v>0.36767899999999998</c:v>
                </c:pt>
                <c:pt idx="48">
                  <c:v>0.21840999999999999</c:v>
                </c:pt>
                <c:pt idx="49">
                  <c:v>0.44106400000000001</c:v>
                </c:pt>
                <c:pt idx="50">
                  <c:v>0.73112299999999997</c:v>
                </c:pt>
                <c:pt idx="51">
                  <c:v>0.66507700000000003</c:v>
                </c:pt>
                <c:pt idx="52">
                  <c:v>0.61276699999999995</c:v>
                </c:pt>
                <c:pt idx="53">
                  <c:v>0.42218600000000001</c:v>
                </c:pt>
                <c:pt idx="54">
                  <c:v>0.49797400000000003</c:v>
                </c:pt>
                <c:pt idx="55">
                  <c:v>0.384326</c:v>
                </c:pt>
                <c:pt idx="56">
                  <c:v>0.27715800000000002</c:v>
                </c:pt>
                <c:pt idx="57">
                  <c:v>0.54230299999999998</c:v>
                </c:pt>
                <c:pt idx="58">
                  <c:v>1.2118899999999999</c:v>
                </c:pt>
                <c:pt idx="59">
                  <c:v>1.22363</c:v>
                </c:pt>
                <c:pt idx="60">
                  <c:v>1.07283</c:v>
                </c:pt>
                <c:pt idx="61">
                  <c:v>0.67696800000000001</c:v>
                </c:pt>
                <c:pt idx="62">
                  <c:v>0.99940200000000001</c:v>
                </c:pt>
                <c:pt idx="63">
                  <c:v>0.66995099999999996</c:v>
                </c:pt>
                <c:pt idx="64">
                  <c:v>0.33869899999999997</c:v>
                </c:pt>
                <c:pt idx="65">
                  <c:v>0.83010399999999995</c:v>
                </c:pt>
                <c:pt idx="66">
                  <c:v>0.46281299999999997</c:v>
                </c:pt>
                <c:pt idx="67">
                  <c:v>0.15174399999999999</c:v>
                </c:pt>
                <c:pt idx="68">
                  <c:v>0.43377700000000002</c:v>
                </c:pt>
                <c:pt idx="69">
                  <c:v>0.84694499999999995</c:v>
                </c:pt>
                <c:pt idx="70">
                  <c:v>0.59686099999999997</c:v>
                </c:pt>
                <c:pt idx="71">
                  <c:v>0.68895300000000004</c:v>
                </c:pt>
                <c:pt idx="72">
                  <c:v>0.81535800000000003</c:v>
                </c:pt>
                <c:pt idx="73">
                  <c:v>1.26142</c:v>
                </c:pt>
                <c:pt idx="74">
                  <c:v>1.44154</c:v>
                </c:pt>
                <c:pt idx="75">
                  <c:v>1.4945999999999999</c:v>
                </c:pt>
                <c:pt idx="76">
                  <c:v>0.70366200000000001</c:v>
                </c:pt>
                <c:pt idx="77">
                  <c:v>0.17375599999999999</c:v>
                </c:pt>
                <c:pt idx="78">
                  <c:v>0.40571600000000002</c:v>
                </c:pt>
                <c:pt idx="79">
                  <c:v>0.27210800000000002</c:v>
                </c:pt>
                <c:pt idx="80">
                  <c:v>0.961086</c:v>
                </c:pt>
                <c:pt idx="81">
                  <c:v>1.6147199999999999</c:v>
                </c:pt>
                <c:pt idx="82">
                  <c:v>1.63367</c:v>
                </c:pt>
                <c:pt idx="83">
                  <c:v>0.97028400000000004</c:v>
                </c:pt>
                <c:pt idx="84">
                  <c:v>0.93430899999999995</c:v>
                </c:pt>
                <c:pt idx="85">
                  <c:v>1.38411</c:v>
                </c:pt>
                <c:pt idx="86">
                  <c:v>1.21997</c:v>
                </c:pt>
                <c:pt idx="87">
                  <c:v>0.72376600000000002</c:v>
                </c:pt>
                <c:pt idx="88">
                  <c:v>0.44601099999999999</c:v>
                </c:pt>
                <c:pt idx="89">
                  <c:v>0.89931799999999995</c:v>
                </c:pt>
                <c:pt idx="90">
                  <c:v>0.84377100000000005</c:v>
                </c:pt>
                <c:pt idx="91">
                  <c:v>0.78459800000000002</c:v>
                </c:pt>
                <c:pt idx="92">
                  <c:v>0.45527200000000001</c:v>
                </c:pt>
                <c:pt idx="93">
                  <c:v>1.0000199999999999</c:v>
                </c:pt>
                <c:pt idx="94">
                  <c:v>1.2767299999999999</c:v>
                </c:pt>
                <c:pt idx="95">
                  <c:v>0.55065299999999995</c:v>
                </c:pt>
                <c:pt idx="96">
                  <c:v>0.149307</c:v>
                </c:pt>
                <c:pt idx="97">
                  <c:v>0.66449899999999995</c:v>
                </c:pt>
                <c:pt idx="98">
                  <c:v>1.4228099999999999</c:v>
                </c:pt>
                <c:pt idx="99">
                  <c:v>1.3426199999999999</c:v>
                </c:pt>
                <c:pt idx="100">
                  <c:v>0.83219299999999996</c:v>
                </c:pt>
                <c:pt idx="101">
                  <c:v>0.97998799999999997</c:v>
                </c:pt>
                <c:pt idx="102">
                  <c:v>0.87641100000000005</c:v>
                </c:pt>
                <c:pt idx="103">
                  <c:v>0.70468900000000001</c:v>
                </c:pt>
                <c:pt idx="104">
                  <c:v>0.405746</c:v>
                </c:pt>
                <c:pt idx="105">
                  <c:v>1.0521799999999999</c:v>
                </c:pt>
                <c:pt idx="106">
                  <c:v>0.92023299999999997</c:v>
                </c:pt>
                <c:pt idx="107">
                  <c:v>0.26701799999999998</c:v>
                </c:pt>
                <c:pt idx="108">
                  <c:v>0.92618299999999998</c:v>
                </c:pt>
                <c:pt idx="109">
                  <c:v>0.79320400000000002</c:v>
                </c:pt>
                <c:pt idx="110">
                  <c:v>0.39894099999999999</c:v>
                </c:pt>
                <c:pt idx="111">
                  <c:v>0.23653099999999999</c:v>
                </c:pt>
                <c:pt idx="112">
                  <c:v>0.64103200000000005</c:v>
                </c:pt>
                <c:pt idx="113">
                  <c:v>1.10825</c:v>
                </c:pt>
                <c:pt idx="114">
                  <c:v>0.54161199999999998</c:v>
                </c:pt>
                <c:pt idx="115">
                  <c:v>0.99710799999999999</c:v>
                </c:pt>
                <c:pt idx="116">
                  <c:v>0.92998400000000003</c:v>
                </c:pt>
                <c:pt idx="117">
                  <c:v>0.62515900000000002</c:v>
                </c:pt>
                <c:pt idx="118">
                  <c:v>0.92535599999999996</c:v>
                </c:pt>
                <c:pt idx="119">
                  <c:v>1.27186</c:v>
                </c:pt>
                <c:pt idx="120">
                  <c:v>1.15971</c:v>
                </c:pt>
                <c:pt idx="121">
                  <c:v>1.1043700000000001</c:v>
                </c:pt>
                <c:pt idx="122">
                  <c:v>0.78401900000000002</c:v>
                </c:pt>
                <c:pt idx="123">
                  <c:v>0.76529199999999997</c:v>
                </c:pt>
                <c:pt idx="124">
                  <c:v>1.07545</c:v>
                </c:pt>
                <c:pt idx="125">
                  <c:v>0.84601599999999999</c:v>
                </c:pt>
                <c:pt idx="126">
                  <c:v>0.27657799999999999</c:v>
                </c:pt>
                <c:pt idx="127">
                  <c:v>0.41033199999999997</c:v>
                </c:pt>
                <c:pt idx="128">
                  <c:v>0.87521099999999996</c:v>
                </c:pt>
                <c:pt idx="129">
                  <c:v>0.55352500000000004</c:v>
                </c:pt>
                <c:pt idx="130">
                  <c:v>1.0048699999999999</c:v>
                </c:pt>
                <c:pt idx="131">
                  <c:v>1.2960100000000001</c:v>
                </c:pt>
                <c:pt idx="132">
                  <c:v>0.64053800000000005</c:v>
                </c:pt>
                <c:pt idx="133">
                  <c:v>0.47818300000000002</c:v>
                </c:pt>
                <c:pt idx="134">
                  <c:v>0.62311099999999997</c:v>
                </c:pt>
                <c:pt idx="135">
                  <c:v>1.24718</c:v>
                </c:pt>
                <c:pt idx="136">
                  <c:v>1.2028300000000001</c:v>
                </c:pt>
                <c:pt idx="137">
                  <c:v>0.72135199999999999</c:v>
                </c:pt>
                <c:pt idx="138">
                  <c:v>1.1842699999999999</c:v>
                </c:pt>
                <c:pt idx="139">
                  <c:v>1.4750799999999999</c:v>
                </c:pt>
                <c:pt idx="140">
                  <c:v>1.2551600000000001</c:v>
                </c:pt>
                <c:pt idx="141">
                  <c:v>1.31166</c:v>
                </c:pt>
                <c:pt idx="142">
                  <c:v>1.38215</c:v>
                </c:pt>
                <c:pt idx="143">
                  <c:v>1.1880500000000001</c:v>
                </c:pt>
                <c:pt idx="144">
                  <c:v>1.3826799999999999</c:v>
                </c:pt>
                <c:pt idx="145">
                  <c:v>1.12599</c:v>
                </c:pt>
                <c:pt idx="146">
                  <c:v>0.47717599999999999</c:v>
                </c:pt>
                <c:pt idx="147">
                  <c:v>0.705148</c:v>
                </c:pt>
                <c:pt idx="148">
                  <c:v>1.09806</c:v>
                </c:pt>
                <c:pt idx="149">
                  <c:v>1.1194</c:v>
                </c:pt>
                <c:pt idx="150">
                  <c:v>0.80367699999999997</c:v>
                </c:pt>
                <c:pt idx="151">
                  <c:v>0.41220699999999999</c:v>
                </c:pt>
                <c:pt idx="152">
                  <c:v>0.89334100000000005</c:v>
                </c:pt>
                <c:pt idx="153">
                  <c:v>1.1881200000000001</c:v>
                </c:pt>
                <c:pt idx="154">
                  <c:v>0.62404300000000001</c:v>
                </c:pt>
                <c:pt idx="155">
                  <c:v>1.01302</c:v>
                </c:pt>
                <c:pt idx="156">
                  <c:v>0.72821499999999995</c:v>
                </c:pt>
                <c:pt idx="157">
                  <c:v>0.355406</c:v>
                </c:pt>
                <c:pt idx="158">
                  <c:v>0.90156599999999998</c:v>
                </c:pt>
                <c:pt idx="159">
                  <c:v>0.58854200000000001</c:v>
                </c:pt>
                <c:pt idx="160">
                  <c:v>0.34587400000000001</c:v>
                </c:pt>
                <c:pt idx="161">
                  <c:v>0.91242800000000002</c:v>
                </c:pt>
                <c:pt idx="162">
                  <c:v>0.54882799999999998</c:v>
                </c:pt>
                <c:pt idx="163">
                  <c:v>0.13965900000000001</c:v>
                </c:pt>
                <c:pt idx="164">
                  <c:v>0.87281799999999998</c:v>
                </c:pt>
                <c:pt idx="165">
                  <c:v>0.59576099999999999</c:v>
                </c:pt>
                <c:pt idx="166">
                  <c:v>0.49326500000000001</c:v>
                </c:pt>
                <c:pt idx="167">
                  <c:v>1.0722400000000001</c:v>
                </c:pt>
                <c:pt idx="168">
                  <c:v>0.76841999999999999</c:v>
                </c:pt>
                <c:pt idx="169">
                  <c:v>0.31030000000000002</c:v>
                </c:pt>
                <c:pt idx="170">
                  <c:v>0.882077</c:v>
                </c:pt>
                <c:pt idx="171">
                  <c:v>1.47587</c:v>
                </c:pt>
                <c:pt idx="172">
                  <c:v>0.99357300000000004</c:v>
                </c:pt>
                <c:pt idx="173">
                  <c:v>1.1639999999999999</c:v>
                </c:pt>
                <c:pt idx="174">
                  <c:v>1.25641</c:v>
                </c:pt>
                <c:pt idx="175">
                  <c:v>0.85692100000000004</c:v>
                </c:pt>
                <c:pt idx="176">
                  <c:v>0.48418899999999998</c:v>
                </c:pt>
                <c:pt idx="177">
                  <c:v>0.39235799999999998</c:v>
                </c:pt>
                <c:pt idx="178">
                  <c:v>0.54766700000000001</c:v>
                </c:pt>
                <c:pt idx="179">
                  <c:v>0.76319400000000004</c:v>
                </c:pt>
                <c:pt idx="180">
                  <c:v>0.56352400000000002</c:v>
                </c:pt>
                <c:pt idx="181">
                  <c:v>1.11696</c:v>
                </c:pt>
                <c:pt idx="182">
                  <c:v>1.1765699999999999</c:v>
                </c:pt>
                <c:pt idx="183">
                  <c:v>0.45408599999999999</c:v>
                </c:pt>
                <c:pt idx="184">
                  <c:v>0.21263899999999999</c:v>
                </c:pt>
                <c:pt idx="185">
                  <c:v>0.35559499999999999</c:v>
                </c:pt>
                <c:pt idx="186">
                  <c:v>1.06402</c:v>
                </c:pt>
                <c:pt idx="187">
                  <c:v>1.17021</c:v>
                </c:pt>
                <c:pt idx="188">
                  <c:v>0.50208900000000001</c:v>
                </c:pt>
                <c:pt idx="189">
                  <c:v>0.73591499999999999</c:v>
                </c:pt>
                <c:pt idx="190">
                  <c:v>0.78253799999999996</c:v>
                </c:pt>
                <c:pt idx="191">
                  <c:v>0.38889200000000002</c:v>
                </c:pt>
                <c:pt idx="192">
                  <c:v>0.81548799999999999</c:v>
                </c:pt>
                <c:pt idx="193">
                  <c:v>1.3460700000000001</c:v>
                </c:pt>
                <c:pt idx="194">
                  <c:v>1.07911</c:v>
                </c:pt>
                <c:pt idx="195">
                  <c:v>1.18007</c:v>
                </c:pt>
                <c:pt idx="196">
                  <c:v>0.99903299999999995</c:v>
                </c:pt>
                <c:pt idx="197">
                  <c:v>0.86773100000000003</c:v>
                </c:pt>
                <c:pt idx="198">
                  <c:v>1.38313</c:v>
                </c:pt>
                <c:pt idx="199">
                  <c:v>1.3671199999999999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A-4B27-A896-7CBC03635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316031"/>
        <c:axId val="1072317695"/>
      </c:scatterChart>
      <c:valAx>
        <c:axId val="107231603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17695"/>
        <c:crosses val="autoZero"/>
        <c:crossBetween val="midCat"/>
      </c:valAx>
      <c:valAx>
        <c:axId val="10723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1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'AR1'!$C$1</c:f>
              <c:strCache>
                <c:ptCount val="1"/>
                <c:pt idx="0">
                  <c:v>AR1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'AR1'!$C$2:$C$203</c:f>
              <c:numCache>
                <c:formatCode>General</c:formatCode>
                <c:ptCount val="202"/>
                <c:pt idx="0">
                  <c:v>0.24</c:v>
                </c:pt>
                <c:pt idx="1">
                  <c:v>0.35024</c:v>
                </c:pt>
                <c:pt idx="2">
                  <c:v>0.85030600000000001</c:v>
                </c:pt>
                <c:pt idx="3">
                  <c:v>0.47266900000000001</c:v>
                </c:pt>
                <c:pt idx="4">
                  <c:v>0.95316199999999995</c:v>
                </c:pt>
                <c:pt idx="5">
                  <c:v>1.3311999999999999</c:v>
                </c:pt>
                <c:pt idx="6">
                  <c:v>1.2235799999999999</c:v>
                </c:pt>
                <c:pt idx="7">
                  <c:v>0.65082200000000001</c:v>
                </c:pt>
                <c:pt idx="8">
                  <c:v>0.51002700000000001</c:v>
                </c:pt>
                <c:pt idx="9">
                  <c:v>0.271814</c:v>
                </c:pt>
                <c:pt idx="10">
                  <c:v>0.73197599999999996</c:v>
                </c:pt>
                <c:pt idx="11">
                  <c:v>0.60165999999999997</c:v>
                </c:pt>
                <c:pt idx="12">
                  <c:v>0.37327900000000003</c:v>
                </c:pt>
                <c:pt idx="13">
                  <c:v>1.04556</c:v>
                </c:pt>
                <c:pt idx="14">
                  <c:v>1.3536300000000001</c:v>
                </c:pt>
                <c:pt idx="15">
                  <c:v>0.89274399999999998</c:v>
                </c:pt>
                <c:pt idx="16">
                  <c:v>0.66937899999999995</c:v>
                </c:pt>
                <c:pt idx="17">
                  <c:v>0.58885500000000002</c:v>
                </c:pt>
                <c:pt idx="18">
                  <c:v>1.05847</c:v>
                </c:pt>
                <c:pt idx="19">
                  <c:v>0.81567100000000003</c:v>
                </c:pt>
                <c:pt idx="20">
                  <c:v>0.58823999999999999</c:v>
                </c:pt>
                <c:pt idx="21">
                  <c:v>0.46234799999999998</c:v>
                </c:pt>
                <c:pt idx="22">
                  <c:v>0.81779800000000002</c:v>
                </c:pt>
                <c:pt idx="23">
                  <c:v>0.95194400000000001</c:v>
                </c:pt>
                <c:pt idx="24">
                  <c:v>0.67262699999999997</c:v>
                </c:pt>
                <c:pt idx="25">
                  <c:v>0.73848999999999998</c:v>
                </c:pt>
                <c:pt idx="26">
                  <c:v>0.87478400000000001</c:v>
                </c:pt>
                <c:pt idx="27">
                  <c:v>1.0539400000000001</c:v>
                </c:pt>
                <c:pt idx="28">
                  <c:v>0.99388799999999999</c:v>
                </c:pt>
                <c:pt idx="29">
                  <c:v>1.11033</c:v>
                </c:pt>
                <c:pt idx="30">
                  <c:v>0.94812600000000002</c:v>
                </c:pt>
                <c:pt idx="31">
                  <c:v>1.1794199999999999</c:v>
                </c:pt>
                <c:pt idx="32">
                  <c:v>0.64939999999999998</c:v>
                </c:pt>
                <c:pt idx="33">
                  <c:v>0.64188500000000004</c:v>
                </c:pt>
                <c:pt idx="34">
                  <c:v>1.25213</c:v>
                </c:pt>
                <c:pt idx="35">
                  <c:v>1.2051799999999999</c:v>
                </c:pt>
                <c:pt idx="36">
                  <c:v>0.903173</c:v>
                </c:pt>
                <c:pt idx="37">
                  <c:v>0.510378</c:v>
                </c:pt>
                <c:pt idx="38">
                  <c:v>0.56822300000000003</c:v>
                </c:pt>
                <c:pt idx="39">
                  <c:v>0.70166799999999996</c:v>
                </c:pt>
                <c:pt idx="40">
                  <c:v>1.3210299999999999</c:v>
                </c:pt>
                <c:pt idx="41">
                  <c:v>0.86828099999999997</c:v>
                </c:pt>
                <c:pt idx="42">
                  <c:v>0.57014200000000004</c:v>
                </c:pt>
                <c:pt idx="43">
                  <c:v>1.2490600000000001</c:v>
                </c:pt>
                <c:pt idx="44">
                  <c:v>1.58518</c:v>
                </c:pt>
                <c:pt idx="45">
                  <c:v>1.5636000000000001</c:v>
                </c:pt>
                <c:pt idx="46">
                  <c:v>1.1882299999999999</c:v>
                </c:pt>
                <c:pt idx="47">
                  <c:v>0.67729200000000001</c:v>
                </c:pt>
                <c:pt idx="48">
                  <c:v>0.49883300000000003</c:v>
                </c:pt>
                <c:pt idx="49">
                  <c:v>0.57835000000000003</c:v>
                </c:pt>
                <c:pt idx="50">
                  <c:v>0.790045</c:v>
                </c:pt>
                <c:pt idx="51">
                  <c:v>0.70949099999999998</c:v>
                </c:pt>
                <c:pt idx="52">
                  <c:v>0.74738499999999997</c:v>
                </c:pt>
                <c:pt idx="53">
                  <c:v>0.52103100000000002</c:v>
                </c:pt>
                <c:pt idx="54">
                  <c:v>0.65535200000000005</c:v>
                </c:pt>
                <c:pt idx="55">
                  <c:v>0.43561699999999998</c:v>
                </c:pt>
                <c:pt idx="56">
                  <c:v>0.41940699999999997</c:v>
                </c:pt>
                <c:pt idx="57">
                  <c:v>0.61088799999999999</c:v>
                </c:pt>
                <c:pt idx="58">
                  <c:v>1.2364999999999999</c:v>
                </c:pt>
                <c:pt idx="59">
                  <c:v>1.19014</c:v>
                </c:pt>
                <c:pt idx="60">
                  <c:v>1.2675799999999999</c:v>
                </c:pt>
                <c:pt idx="61">
                  <c:v>0.83999900000000005</c:v>
                </c:pt>
                <c:pt idx="62">
                  <c:v>1.2750600000000001</c:v>
                </c:pt>
                <c:pt idx="63">
                  <c:v>0.70893899999999999</c:v>
                </c:pt>
                <c:pt idx="64">
                  <c:v>0.643181</c:v>
                </c:pt>
                <c:pt idx="65">
                  <c:v>0.94959700000000002</c:v>
                </c:pt>
                <c:pt idx="66">
                  <c:v>0.49800699999999998</c:v>
                </c:pt>
                <c:pt idx="67">
                  <c:v>0.38450200000000001</c:v>
                </c:pt>
                <c:pt idx="68">
                  <c:v>0.53117899999999996</c:v>
                </c:pt>
                <c:pt idx="69">
                  <c:v>0.87528499999999998</c:v>
                </c:pt>
                <c:pt idx="70">
                  <c:v>0.60771699999999995</c:v>
                </c:pt>
                <c:pt idx="71">
                  <c:v>0.87375899999999995</c:v>
                </c:pt>
                <c:pt idx="72">
                  <c:v>0.85330700000000004</c:v>
                </c:pt>
                <c:pt idx="73">
                  <c:v>1.3965799999999999</c:v>
                </c:pt>
                <c:pt idx="74">
                  <c:v>1.46088</c:v>
                </c:pt>
                <c:pt idx="75">
                  <c:v>1.6912199999999999</c:v>
                </c:pt>
                <c:pt idx="76">
                  <c:v>0.87672499999999998</c:v>
                </c:pt>
                <c:pt idx="77">
                  <c:v>0.59033999999999998</c:v>
                </c:pt>
                <c:pt idx="78">
                  <c:v>0.59450199999999997</c:v>
                </c:pt>
                <c:pt idx="79">
                  <c:v>0.35982700000000001</c:v>
                </c:pt>
                <c:pt idx="80">
                  <c:v>1.0972</c:v>
                </c:pt>
                <c:pt idx="81">
                  <c:v>1.52122</c:v>
                </c:pt>
                <c:pt idx="82">
                  <c:v>1.7134499999999999</c:v>
                </c:pt>
                <c:pt idx="83">
                  <c:v>1.1600200000000001</c:v>
                </c:pt>
                <c:pt idx="84">
                  <c:v>1.3020099999999999</c:v>
                </c:pt>
                <c:pt idx="85">
                  <c:v>1.5297099999999999</c:v>
                </c:pt>
                <c:pt idx="86">
                  <c:v>1.3697299999999999</c:v>
                </c:pt>
                <c:pt idx="87">
                  <c:v>0.98521899999999996</c:v>
                </c:pt>
                <c:pt idx="88">
                  <c:v>0.72837300000000005</c:v>
                </c:pt>
                <c:pt idx="89">
                  <c:v>1.0984700000000001</c:v>
                </c:pt>
                <c:pt idx="90">
                  <c:v>0.87900800000000001</c:v>
                </c:pt>
                <c:pt idx="91">
                  <c:v>0.99326099999999995</c:v>
                </c:pt>
                <c:pt idx="92">
                  <c:v>0.56427300000000002</c:v>
                </c:pt>
                <c:pt idx="93">
                  <c:v>1.2347999999999999</c:v>
                </c:pt>
                <c:pt idx="94">
                  <c:v>1.2272700000000001</c:v>
                </c:pt>
                <c:pt idx="95">
                  <c:v>0.73738099999999995</c:v>
                </c:pt>
                <c:pt idx="96">
                  <c:v>0.43137399999999998</c:v>
                </c:pt>
                <c:pt idx="97">
                  <c:v>0.83630800000000005</c:v>
                </c:pt>
                <c:pt idx="98">
                  <c:v>1.4065300000000001</c:v>
                </c:pt>
                <c:pt idx="99">
                  <c:v>1.35402</c:v>
                </c:pt>
                <c:pt idx="100">
                  <c:v>1.0536700000000001</c:v>
                </c:pt>
                <c:pt idx="101">
                  <c:v>1.24316</c:v>
                </c:pt>
                <c:pt idx="102">
                  <c:v>0.99656500000000003</c:v>
                </c:pt>
                <c:pt idx="103">
                  <c:v>0.94048200000000004</c:v>
                </c:pt>
                <c:pt idx="104">
                  <c:v>0.56644799999999995</c:v>
                </c:pt>
                <c:pt idx="105">
                  <c:v>1.26806</c:v>
                </c:pt>
                <c:pt idx="106">
                  <c:v>0.86487899999999995</c:v>
                </c:pt>
                <c:pt idx="107">
                  <c:v>0.53786199999999995</c:v>
                </c:pt>
                <c:pt idx="108">
                  <c:v>1.1213200000000001</c:v>
                </c:pt>
                <c:pt idx="109">
                  <c:v>0.75719199999999998</c:v>
                </c:pt>
                <c:pt idx="110">
                  <c:v>0.63996399999999998</c:v>
                </c:pt>
                <c:pt idx="111">
                  <c:v>0.373556</c:v>
                </c:pt>
                <c:pt idx="112">
                  <c:v>0.79030900000000004</c:v>
                </c:pt>
                <c:pt idx="113">
                  <c:v>1.0809299999999999</c:v>
                </c:pt>
                <c:pt idx="114">
                  <c:v>0.60203399999999996</c:v>
                </c:pt>
                <c:pt idx="115">
                  <c:v>1.2550300000000001</c:v>
                </c:pt>
                <c:pt idx="116">
                  <c:v>0.88968999999999998</c:v>
                </c:pt>
                <c:pt idx="117">
                  <c:v>0.88648000000000005</c:v>
                </c:pt>
                <c:pt idx="118">
                  <c:v>1.05945</c:v>
                </c:pt>
                <c:pt idx="119">
                  <c:v>1.3702399999999999</c:v>
                </c:pt>
                <c:pt idx="120">
                  <c:v>1.25647</c:v>
                </c:pt>
                <c:pt idx="121">
                  <c:v>1.33266</c:v>
                </c:pt>
                <c:pt idx="122">
                  <c:v>0.95725300000000002</c:v>
                </c:pt>
                <c:pt idx="123">
                  <c:v>1.04027</c:v>
                </c:pt>
                <c:pt idx="124">
                  <c:v>1.2024300000000001</c:v>
                </c:pt>
                <c:pt idx="125">
                  <c:v>0.96962499999999996</c:v>
                </c:pt>
                <c:pt idx="126">
                  <c:v>0.50350399999999995</c:v>
                </c:pt>
                <c:pt idx="127">
                  <c:v>0.64899899999999999</c:v>
                </c:pt>
                <c:pt idx="128">
                  <c:v>0.92163700000000004</c:v>
                </c:pt>
                <c:pt idx="129">
                  <c:v>0.59634699999999996</c:v>
                </c:pt>
                <c:pt idx="130">
                  <c:v>1.20818</c:v>
                </c:pt>
                <c:pt idx="131">
                  <c:v>1.2630999999999999</c:v>
                </c:pt>
                <c:pt idx="132">
                  <c:v>0.81077999999999995</c:v>
                </c:pt>
                <c:pt idx="133">
                  <c:v>0.75811200000000001</c:v>
                </c:pt>
                <c:pt idx="134">
                  <c:v>0.75526199999999999</c:v>
                </c:pt>
                <c:pt idx="135">
                  <c:v>1.36147</c:v>
                </c:pt>
                <c:pt idx="136">
                  <c:v>1.1948799999999999</c:v>
                </c:pt>
                <c:pt idx="137">
                  <c:v>0.95889100000000005</c:v>
                </c:pt>
                <c:pt idx="138">
                  <c:v>1.4107000000000001</c:v>
                </c:pt>
                <c:pt idx="139">
                  <c:v>1.5285500000000001</c:v>
                </c:pt>
                <c:pt idx="140">
                  <c:v>1.4432</c:v>
                </c:pt>
                <c:pt idx="141">
                  <c:v>1.5580099999999999</c:v>
                </c:pt>
                <c:pt idx="142">
                  <c:v>1.5756699999999999</c:v>
                </c:pt>
                <c:pt idx="143">
                  <c:v>1.41822</c:v>
                </c:pt>
                <c:pt idx="144">
                  <c:v>1.65052</c:v>
                </c:pt>
                <c:pt idx="145">
                  <c:v>1.29227</c:v>
                </c:pt>
                <c:pt idx="146">
                  <c:v>0.79640299999999997</c:v>
                </c:pt>
                <c:pt idx="147">
                  <c:v>0.99816199999999999</c:v>
                </c:pt>
                <c:pt idx="148">
                  <c:v>1.17717</c:v>
                </c:pt>
                <c:pt idx="149">
                  <c:v>1.23333</c:v>
                </c:pt>
                <c:pt idx="150">
                  <c:v>0.96901999999999999</c:v>
                </c:pt>
                <c:pt idx="151">
                  <c:v>0.65006799999999998</c:v>
                </c:pt>
                <c:pt idx="152">
                  <c:v>1.1024799999999999</c:v>
                </c:pt>
                <c:pt idx="153">
                  <c:v>1.1951499999999999</c:v>
                </c:pt>
                <c:pt idx="154">
                  <c:v>0.77088299999999998</c:v>
                </c:pt>
                <c:pt idx="155">
                  <c:v>1.27715</c:v>
                </c:pt>
                <c:pt idx="156">
                  <c:v>0.74259399999999998</c:v>
                </c:pt>
                <c:pt idx="157">
                  <c:v>0.65388999999999997</c:v>
                </c:pt>
                <c:pt idx="158">
                  <c:v>1.0306999999999999</c:v>
                </c:pt>
                <c:pt idx="159">
                  <c:v>0.61126499999999995</c:v>
                </c:pt>
                <c:pt idx="160">
                  <c:v>0.58436500000000002</c:v>
                </c:pt>
                <c:pt idx="161">
                  <c:v>1.0095000000000001</c:v>
                </c:pt>
                <c:pt idx="162">
                  <c:v>0.55145599999999995</c:v>
                </c:pt>
                <c:pt idx="163">
                  <c:v>0.38269199999999998</c:v>
                </c:pt>
                <c:pt idx="164">
                  <c:v>0.98928899999999997</c:v>
                </c:pt>
                <c:pt idx="165">
                  <c:v>0.53184600000000004</c:v>
                </c:pt>
                <c:pt idx="166">
                  <c:v>0.73314699999999999</c:v>
                </c:pt>
                <c:pt idx="167">
                  <c:v>1.11175</c:v>
                </c:pt>
                <c:pt idx="168">
                  <c:v>0.80267100000000002</c:v>
                </c:pt>
                <c:pt idx="169">
                  <c:v>0.53887799999999997</c:v>
                </c:pt>
                <c:pt idx="170">
                  <c:v>1.05524</c:v>
                </c:pt>
                <c:pt idx="171">
                  <c:v>1.45343</c:v>
                </c:pt>
                <c:pt idx="172">
                  <c:v>1.07222</c:v>
                </c:pt>
                <c:pt idx="173">
                  <c:v>1.4582599999999999</c:v>
                </c:pt>
                <c:pt idx="174">
                  <c:v>1.3400300000000001</c:v>
                </c:pt>
                <c:pt idx="175">
                  <c:v>1.09931</c:v>
                </c:pt>
                <c:pt idx="176">
                  <c:v>0.73333800000000005</c:v>
                </c:pt>
                <c:pt idx="177">
                  <c:v>0.63044800000000001</c:v>
                </c:pt>
                <c:pt idx="178">
                  <c:v>0.67824600000000002</c:v>
                </c:pt>
                <c:pt idx="179">
                  <c:v>0.84820200000000001</c:v>
                </c:pt>
                <c:pt idx="180">
                  <c:v>0.63127</c:v>
                </c:pt>
                <c:pt idx="181">
                  <c:v>1.2875700000000001</c:v>
                </c:pt>
                <c:pt idx="182">
                  <c:v>1.1399999999999999</c:v>
                </c:pt>
                <c:pt idx="183">
                  <c:v>0.67673700000000003</c:v>
                </c:pt>
                <c:pt idx="184">
                  <c:v>0.47629199999999999</c:v>
                </c:pt>
                <c:pt idx="185">
                  <c:v>0.497195</c:v>
                </c:pt>
                <c:pt idx="186">
                  <c:v>1.1312899999999999</c:v>
                </c:pt>
                <c:pt idx="187">
                  <c:v>1.1179699999999999</c:v>
                </c:pt>
                <c:pt idx="188">
                  <c:v>0.67444599999999999</c:v>
                </c:pt>
                <c:pt idx="189">
                  <c:v>0.99231400000000003</c:v>
                </c:pt>
                <c:pt idx="190">
                  <c:v>0.82013100000000005</c:v>
                </c:pt>
                <c:pt idx="191">
                  <c:v>0.57217499999999999</c:v>
                </c:pt>
                <c:pt idx="192">
                  <c:v>0.98809899999999995</c:v>
                </c:pt>
                <c:pt idx="193">
                  <c:v>1.3487100000000001</c:v>
                </c:pt>
                <c:pt idx="194">
                  <c:v>1.1552</c:v>
                </c:pt>
                <c:pt idx="195">
                  <c:v>1.4210799999999999</c:v>
                </c:pt>
                <c:pt idx="196">
                  <c:v>1.11914</c:v>
                </c:pt>
                <c:pt idx="197">
                  <c:v>1.1412800000000001</c:v>
                </c:pt>
                <c:pt idx="198">
                  <c:v>1.5465800000000001</c:v>
                </c:pt>
                <c:pt idx="199">
                  <c:v>1.4572499999999999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1-4465-A222-E63DB0FBE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993247"/>
        <c:axId val="1158987007"/>
      </c:scatterChart>
      <c:valAx>
        <c:axId val="115899324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87007"/>
        <c:crosses val="autoZero"/>
        <c:crossBetween val="midCat"/>
      </c:valAx>
      <c:valAx>
        <c:axId val="11589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9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AR1SSE!$C$1</c:f>
              <c:strCache>
                <c:ptCount val="1"/>
                <c:pt idx="0">
                  <c:v>AR1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AR1SSE!$C$2:$C$203</c:f>
              <c:numCache>
                <c:formatCode>General</c:formatCode>
                <c:ptCount val="202"/>
                <c:pt idx="0">
                  <c:v>0.24</c:v>
                </c:pt>
                <c:pt idx="1">
                  <c:v>0.35024</c:v>
                </c:pt>
                <c:pt idx="2">
                  <c:v>0.85030600000000001</c:v>
                </c:pt>
                <c:pt idx="3">
                  <c:v>0.47266900000000001</c:v>
                </c:pt>
                <c:pt idx="4">
                  <c:v>0.95316199999999995</c:v>
                </c:pt>
                <c:pt idx="5">
                  <c:v>1.3311999999999999</c:v>
                </c:pt>
                <c:pt idx="6">
                  <c:v>1.2235799999999999</c:v>
                </c:pt>
                <c:pt idx="7">
                  <c:v>0.65082200000000001</c:v>
                </c:pt>
                <c:pt idx="8">
                  <c:v>0.51002700000000001</c:v>
                </c:pt>
                <c:pt idx="9">
                  <c:v>0.271814</c:v>
                </c:pt>
                <c:pt idx="10">
                  <c:v>0.73197599999999996</c:v>
                </c:pt>
                <c:pt idx="11">
                  <c:v>0.60165999999999997</c:v>
                </c:pt>
                <c:pt idx="12">
                  <c:v>0.37327900000000003</c:v>
                </c:pt>
                <c:pt idx="13">
                  <c:v>1.04556</c:v>
                </c:pt>
                <c:pt idx="14">
                  <c:v>1.3536300000000001</c:v>
                </c:pt>
                <c:pt idx="15">
                  <c:v>0.89274399999999998</c:v>
                </c:pt>
                <c:pt idx="16">
                  <c:v>0.66937899999999995</c:v>
                </c:pt>
                <c:pt idx="17">
                  <c:v>0.58885500000000002</c:v>
                </c:pt>
                <c:pt idx="18">
                  <c:v>1.05847</c:v>
                </c:pt>
                <c:pt idx="19">
                  <c:v>0.81567100000000003</c:v>
                </c:pt>
                <c:pt idx="20">
                  <c:v>0.58823999999999999</c:v>
                </c:pt>
                <c:pt idx="21">
                  <c:v>0.46234799999999998</c:v>
                </c:pt>
                <c:pt idx="22">
                  <c:v>0.81779800000000002</c:v>
                </c:pt>
                <c:pt idx="23">
                  <c:v>0.95194400000000001</c:v>
                </c:pt>
                <c:pt idx="24">
                  <c:v>0.67262699999999997</c:v>
                </c:pt>
                <c:pt idx="25">
                  <c:v>0.73848999999999998</c:v>
                </c:pt>
                <c:pt idx="26">
                  <c:v>0.87478400000000001</c:v>
                </c:pt>
                <c:pt idx="27">
                  <c:v>1.0539400000000001</c:v>
                </c:pt>
                <c:pt idx="28">
                  <c:v>0.99388799999999999</c:v>
                </c:pt>
                <c:pt idx="29">
                  <c:v>1.11033</c:v>
                </c:pt>
                <c:pt idx="30">
                  <c:v>0.94812600000000002</c:v>
                </c:pt>
                <c:pt idx="31">
                  <c:v>1.1794199999999999</c:v>
                </c:pt>
                <c:pt idx="32">
                  <c:v>0.64939999999999998</c:v>
                </c:pt>
                <c:pt idx="33">
                  <c:v>0.64188500000000004</c:v>
                </c:pt>
                <c:pt idx="34">
                  <c:v>1.25213</c:v>
                </c:pt>
                <c:pt idx="35">
                  <c:v>1.2051799999999999</c:v>
                </c:pt>
                <c:pt idx="36">
                  <c:v>0.903173</c:v>
                </c:pt>
                <c:pt idx="37">
                  <c:v>0.510378</c:v>
                </c:pt>
                <c:pt idx="38">
                  <c:v>0.56822300000000003</c:v>
                </c:pt>
                <c:pt idx="39">
                  <c:v>0.70166799999999996</c:v>
                </c:pt>
                <c:pt idx="40">
                  <c:v>1.3210299999999999</c:v>
                </c:pt>
                <c:pt idx="41">
                  <c:v>0.86828099999999997</c:v>
                </c:pt>
                <c:pt idx="42">
                  <c:v>0.57014200000000004</c:v>
                </c:pt>
                <c:pt idx="43">
                  <c:v>1.2490600000000001</c:v>
                </c:pt>
                <c:pt idx="44">
                  <c:v>1.58518</c:v>
                </c:pt>
                <c:pt idx="45">
                  <c:v>1.5636000000000001</c:v>
                </c:pt>
                <c:pt idx="46">
                  <c:v>1.1882299999999999</c:v>
                </c:pt>
                <c:pt idx="47">
                  <c:v>0.67729200000000001</c:v>
                </c:pt>
                <c:pt idx="48">
                  <c:v>0.49883300000000003</c:v>
                </c:pt>
                <c:pt idx="49">
                  <c:v>0.57835000000000003</c:v>
                </c:pt>
                <c:pt idx="50">
                  <c:v>0.790045</c:v>
                </c:pt>
                <c:pt idx="51">
                  <c:v>0.70949099999999998</c:v>
                </c:pt>
                <c:pt idx="52">
                  <c:v>0.74738499999999997</c:v>
                </c:pt>
                <c:pt idx="53">
                  <c:v>0.52103100000000002</c:v>
                </c:pt>
                <c:pt idx="54">
                  <c:v>0.65535200000000005</c:v>
                </c:pt>
                <c:pt idx="55">
                  <c:v>0.43561699999999998</c:v>
                </c:pt>
                <c:pt idx="56">
                  <c:v>0.41940699999999997</c:v>
                </c:pt>
                <c:pt idx="57">
                  <c:v>0.61088799999999999</c:v>
                </c:pt>
                <c:pt idx="58">
                  <c:v>1.2364999999999999</c:v>
                </c:pt>
                <c:pt idx="59">
                  <c:v>1.19014</c:v>
                </c:pt>
                <c:pt idx="60">
                  <c:v>1.2675799999999999</c:v>
                </c:pt>
                <c:pt idx="61">
                  <c:v>0.83999900000000005</c:v>
                </c:pt>
                <c:pt idx="62">
                  <c:v>1.2750600000000001</c:v>
                </c:pt>
                <c:pt idx="63">
                  <c:v>0.70893899999999999</c:v>
                </c:pt>
                <c:pt idx="64">
                  <c:v>0.643181</c:v>
                </c:pt>
                <c:pt idx="65">
                  <c:v>0.94959700000000002</c:v>
                </c:pt>
                <c:pt idx="66">
                  <c:v>0.49800699999999998</c:v>
                </c:pt>
                <c:pt idx="67">
                  <c:v>0.38450200000000001</c:v>
                </c:pt>
                <c:pt idx="68">
                  <c:v>0.53117899999999996</c:v>
                </c:pt>
                <c:pt idx="69">
                  <c:v>0.87528499999999998</c:v>
                </c:pt>
                <c:pt idx="70">
                  <c:v>0.60771699999999995</c:v>
                </c:pt>
                <c:pt idx="71">
                  <c:v>0.87375899999999995</c:v>
                </c:pt>
                <c:pt idx="72">
                  <c:v>0.85330700000000004</c:v>
                </c:pt>
                <c:pt idx="73">
                  <c:v>1.3965799999999999</c:v>
                </c:pt>
                <c:pt idx="74">
                  <c:v>1.46088</c:v>
                </c:pt>
                <c:pt idx="75">
                  <c:v>1.6912199999999999</c:v>
                </c:pt>
                <c:pt idx="76">
                  <c:v>0.87672499999999998</c:v>
                </c:pt>
                <c:pt idx="77">
                  <c:v>0.59033999999999998</c:v>
                </c:pt>
                <c:pt idx="78">
                  <c:v>0.59450199999999997</c:v>
                </c:pt>
                <c:pt idx="79">
                  <c:v>0.35982700000000001</c:v>
                </c:pt>
                <c:pt idx="80">
                  <c:v>1.0972</c:v>
                </c:pt>
                <c:pt idx="81">
                  <c:v>1.52122</c:v>
                </c:pt>
                <c:pt idx="82">
                  <c:v>1.7134499999999999</c:v>
                </c:pt>
                <c:pt idx="83">
                  <c:v>1.1600200000000001</c:v>
                </c:pt>
                <c:pt idx="84">
                  <c:v>1.3020099999999999</c:v>
                </c:pt>
                <c:pt idx="85">
                  <c:v>1.5297099999999999</c:v>
                </c:pt>
                <c:pt idx="86">
                  <c:v>1.3697299999999999</c:v>
                </c:pt>
                <c:pt idx="87">
                  <c:v>0.98521899999999996</c:v>
                </c:pt>
                <c:pt idx="88">
                  <c:v>0.72837300000000005</c:v>
                </c:pt>
                <c:pt idx="89">
                  <c:v>1.0984700000000001</c:v>
                </c:pt>
                <c:pt idx="90">
                  <c:v>0.87900800000000001</c:v>
                </c:pt>
                <c:pt idx="91">
                  <c:v>0.99326099999999995</c:v>
                </c:pt>
                <c:pt idx="92">
                  <c:v>0.56427300000000002</c:v>
                </c:pt>
                <c:pt idx="93">
                  <c:v>1.2347999999999999</c:v>
                </c:pt>
                <c:pt idx="94">
                  <c:v>1.2272700000000001</c:v>
                </c:pt>
                <c:pt idx="95">
                  <c:v>0.73738099999999995</c:v>
                </c:pt>
                <c:pt idx="96">
                  <c:v>0.43137399999999998</c:v>
                </c:pt>
                <c:pt idx="97">
                  <c:v>0.83630800000000005</c:v>
                </c:pt>
                <c:pt idx="98">
                  <c:v>1.4065300000000001</c:v>
                </c:pt>
                <c:pt idx="99">
                  <c:v>1.35402</c:v>
                </c:pt>
                <c:pt idx="100">
                  <c:v>1.0536700000000001</c:v>
                </c:pt>
                <c:pt idx="101">
                  <c:v>1.24316</c:v>
                </c:pt>
                <c:pt idx="102">
                  <c:v>0.99656500000000003</c:v>
                </c:pt>
                <c:pt idx="103">
                  <c:v>0.94048200000000004</c:v>
                </c:pt>
                <c:pt idx="104">
                  <c:v>0.56644799999999995</c:v>
                </c:pt>
                <c:pt idx="105">
                  <c:v>1.26806</c:v>
                </c:pt>
                <c:pt idx="106">
                  <c:v>0.86487899999999995</c:v>
                </c:pt>
                <c:pt idx="107">
                  <c:v>0.53786199999999995</c:v>
                </c:pt>
                <c:pt idx="108">
                  <c:v>1.1213200000000001</c:v>
                </c:pt>
                <c:pt idx="109">
                  <c:v>0.75719199999999998</c:v>
                </c:pt>
                <c:pt idx="110">
                  <c:v>0.63996399999999998</c:v>
                </c:pt>
                <c:pt idx="111">
                  <c:v>0.373556</c:v>
                </c:pt>
                <c:pt idx="112">
                  <c:v>0.79030900000000004</c:v>
                </c:pt>
                <c:pt idx="113">
                  <c:v>1.0809299999999999</c:v>
                </c:pt>
                <c:pt idx="114">
                  <c:v>0.60203399999999996</c:v>
                </c:pt>
                <c:pt idx="115">
                  <c:v>1.2550300000000001</c:v>
                </c:pt>
                <c:pt idx="116">
                  <c:v>0.88968999999999998</c:v>
                </c:pt>
                <c:pt idx="117">
                  <c:v>0.88648000000000005</c:v>
                </c:pt>
                <c:pt idx="118">
                  <c:v>1.05945</c:v>
                </c:pt>
                <c:pt idx="119">
                  <c:v>1.3702399999999999</c:v>
                </c:pt>
                <c:pt idx="120">
                  <c:v>1.25647</c:v>
                </c:pt>
                <c:pt idx="121">
                  <c:v>1.33266</c:v>
                </c:pt>
                <c:pt idx="122">
                  <c:v>0.95725300000000002</c:v>
                </c:pt>
                <c:pt idx="123">
                  <c:v>1.04027</c:v>
                </c:pt>
                <c:pt idx="124">
                  <c:v>1.2024300000000001</c:v>
                </c:pt>
                <c:pt idx="125">
                  <c:v>0.96962499999999996</c:v>
                </c:pt>
                <c:pt idx="126">
                  <c:v>0.50350399999999995</c:v>
                </c:pt>
                <c:pt idx="127">
                  <c:v>0.64899899999999999</c:v>
                </c:pt>
                <c:pt idx="128">
                  <c:v>0.92163700000000004</c:v>
                </c:pt>
                <c:pt idx="129">
                  <c:v>0.59634699999999996</c:v>
                </c:pt>
                <c:pt idx="130">
                  <c:v>1.20818</c:v>
                </c:pt>
                <c:pt idx="131">
                  <c:v>1.2630999999999999</c:v>
                </c:pt>
                <c:pt idx="132">
                  <c:v>0.81077999999999995</c:v>
                </c:pt>
                <c:pt idx="133">
                  <c:v>0.75811200000000001</c:v>
                </c:pt>
                <c:pt idx="134">
                  <c:v>0.75526199999999999</c:v>
                </c:pt>
                <c:pt idx="135">
                  <c:v>1.36147</c:v>
                </c:pt>
                <c:pt idx="136">
                  <c:v>1.1948799999999999</c:v>
                </c:pt>
                <c:pt idx="137">
                  <c:v>0.95889100000000005</c:v>
                </c:pt>
                <c:pt idx="138">
                  <c:v>1.4107000000000001</c:v>
                </c:pt>
                <c:pt idx="139">
                  <c:v>1.5285500000000001</c:v>
                </c:pt>
                <c:pt idx="140">
                  <c:v>1.4432</c:v>
                </c:pt>
                <c:pt idx="141">
                  <c:v>1.5580099999999999</c:v>
                </c:pt>
                <c:pt idx="142">
                  <c:v>1.5756699999999999</c:v>
                </c:pt>
                <c:pt idx="143">
                  <c:v>1.41822</c:v>
                </c:pt>
                <c:pt idx="144">
                  <c:v>1.65052</c:v>
                </c:pt>
                <c:pt idx="145">
                  <c:v>1.29227</c:v>
                </c:pt>
                <c:pt idx="146">
                  <c:v>0.79640299999999997</c:v>
                </c:pt>
                <c:pt idx="147">
                  <c:v>0.99816199999999999</c:v>
                </c:pt>
                <c:pt idx="148">
                  <c:v>1.17717</c:v>
                </c:pt>
                <c:pt idx="149">
                  <c:v>1.23333</c:v>
                </c:pt>
                <c:pt idx="150">
                  <c:v>0.96901999999999999</c:v>
                </c:pt>
                <c:pt idx="151">
                  <c:v>0.65006799999999998</c:v>
                </c:pt>
                <c:pt idx="152">
                  <c:v>1.1024799999999999</c:v>
                </c:pt>
                <c:pt idx="153">
                  <c:v>1.1951499999999999</c:v>
                </c:pt>
                <c:pt idx="154">
                  <c:v>0.77088299999999998</c:v>
                </c:pt>
                <c:pt idx="155">
                  <c:v>1.27715</c:v>
                </c:pt>
                <c:pt idx="156">
                  <c:v>0.74259399999999998</c:v>
                </c:pt>
                <c:pt idx="157">
                  <c:v>0.65388999999999997</c:v>
                </c:pt>
                <c:pt idx="158">
                  <c:v>1.0306999999999999</c:v>
                </c:pt>
                <c:pt idx="159">
                  <c:v>0.61126499999999995</c:v>
                </c:pt>
                <c:pt idx="160">
                  <c:v>0.58436500000000002</c:v>
                </c:pt>
                <c:pt idx="161">
                  <c:v>1.0095000000000001</c:v>
                </c:pt>
                <c:pt idx="162">
                  <c:v>0.55145599999999995</c:v>
                </c:pt>
                <c:pt idx="163">
                  <c:v>0.38269199999999998</c:v>
                </c:pt>
                <c:pt idx="164">
                  <c:v>0.98928899999999997</c:v>
                </c:pt>
                <c:pt idx="165">
                  <c:v>0.53184600000000004</c:v>
                </c:pt>
                <c:pt idx="166">
                  <c:v>0.73314699999999999</c:v>
                </c:pt>
                <c:pt idx="167">
                  <c:v>1.11175</c:v>
                </c:pt>
                <c:pt idx="168">
                  <c:v>0.80267100000000002</c:v>
                </c:pt>
                <c:pt idx="169">
                  <c:v>0.53887799999999997</c:v>
                </c:pt>
                <c:pt idx="170">
                  <c:v>1.05524</c:v>
                </c:pt>
                <c:pt idx="171">
                  <c:v>1.45343</c:v>
                </c:pt>
                <c:pt idx="172">
                  <c:v>1.07222</c:v>
                </c:pt>
                <c:pt idx="173">
                  <c:v>1.4582599999999999</c:v>
                </c:pt>
                <c:pt idx="174">
                  <c:v>1.3400300000000001</c:v>
                </c:pt>
                <c:pt idx="175">
                  <c:v>1.09931</c:v>
                </c:pt>
                <c:pt idx="176">
                  <c:v>0.73333800000000005</c:v>
                </c:pt>
                <c:pt idx="177">
                  <c:v>0.63044800000000001</c:v>
                </c:pt>
                <c:pt idx="178">
                  <c:v>0.67824600000000002</c:v>
                </c:pt>
                <c:pt idx="179">
                  <c:v>0.84820200000000001</c:v>
                </c:pt>
                <c:pt idx="180">
                  <c:v>0.63127</c:v>
                </c:pt>
                <c:pt idx="181">
                  <c:v>1.2875700000000001</c:v>
                </c:pt>
                <c:pt idx="182">
                  <c:v>1.1399999999999999</c:v>
                </c:pt>
                <c:pt idx="183">
                  <c:v>0.67673700000000003</c:v>
                </c:pt>
                <c:pt idx="184">
                  <c:v>0.47629199999999999</c:v>
                </c:pt>
                <c:pt idx="185">
                  <c:v>0.497195</c:v>
                </c:pt>
                <c:pt idx="186">
                  <c:v>1.1312899999999999</c:v>
                </c:pt>
                <c:pt idx="187">
                  <c:v>1.1179699999999999</c:v>
                </c:pt>
                <c:pt idx="188">
                  <c:v>0.67444599999999999</c:v>
                </c:pt>
                <c:pt idx="189">
                  <c:v>0.99231400000000003</c:v>
                </c:pt>
                <c:pt idx="190">
                  <c:v>0.82013100000000005</c:v>
                </c:pt>
                <c:pt idx="191">
                  <c:v>0.57217499999999999</c:v>
                </c:pt>
                <c:pt idx="192">
                  <c:v>0.98809899999999995</c:v>
                </c:pt>
                <c:pt idx="193">
                  <c:v>1.3487100000000001</c:v>
                </c:pt>
                <c:pt idx="194">
                  <c:v>1.1552</c:v>
                </c:pt>
                <c:pt idx="195">
                  <c:v>1.4210799999999999</c:v>
                </c:pt>
                <c:pt idx="196">
                  <c:v>1.11914</c:v>
                </c:pt>
                <c:pt idx="197">
                  <c:v>1.1412800000000001</c:v>
                </c:pt>
                <c:pt idx="198">
                  <c:v>1.5465800000000001</c:v>
                </c:pt>
                <c:pt idx="199">
                  <c:v>1.4572499999999999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8-4659-93B7-A5B6DA034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993247"/>
        <c:axId val="1158987007"/>
      </c:scatterChart>
      <c:valAx>
        <c:axId val="115899324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87007"/>
        <c:crosses val="autoZero"/>
        <c:crossBetween val="midCat"/>
      </c:valAx>
      <c:valAx>
        <c:axId val="11589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9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AR1Loglikelihood!$C$1</c:f>
              <c:strCache>
                <c:ptCount val="1"/>
                <c:pt idx="0">
                  <c:v>AR1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AR1Loglikelihood!$C$2:$C$203</c:f>
              <c:numCache>
                <c:formatCode>General</c:formatCode>
                <c:ptCount val="202"/>
                <c:pt idx="0">
                  <c:v>0.24</c:v>
                </c:pt>
                <c:pt idx="1">
                  <c:v>0.35024</c:v>
                </c:pt>
                <c:pt idx="2">
                  <c:v>0.85030600000000001</c:v>
                </c:pt>
                <c:pt idx="3">
                  <c:v>0.47266900000000001</c:v>
                </c:pt>
                <c:pt idx="4">
                  <c:v>0.95316199999999995</c:v>
                </c:pt>
                <c:pt idx="5">
                  <c:v>1.3311999999999999</c:v>
                </c:pt>
                <c:pt idx="6">
                  <c:v>1.2235799999999999</c:v>
                </c:pt>
                <c:pt idx="7">
                  <c:v>0.65082200000000001</c:v>
                </c:pt>
                <c:pt idx="8">
                  <c:v>0.51002700000000001</c:v>
                </c:pt>
                <c:pt idx="9">
                  <c:v>0.271814</c:v>
                </c:pt>
                <c:pt idx="10">
                  <c:v>0.73197599999999996</c:v>
                </c:pt>
                <c:pt idx="11">
                  <c:v>0.60165999999999997</c:v>
                </c:pt>
                <c:pt idx="12">
                  <c:v>0.37327900000000003</c:v>
                </c:pt>
                <c:pt idx="13">
                  <c:v>1.04556</c:v>
                </c:pt>
                <c:pt idx="14">
                  <c:v>1.3536300000000001</c:v>
                </c:pt>
                <c:pt idx="15">
                  <c:v>0.89274399999999998</c:v>
                </c:pt>
                <c:pt idx="16">
                  <c:v>0.66937899999999995</c:v>
                </c:pt>
                <c:pt idx="17">
                  <c:v>0.58885500000000002</c:v>
                </c:pt>
                <c:pt idx="18">
                  <c:v>1.05847</c:v>
                </c:pt>
                <c:pt idx="19">
                  <c:v>0.81567100000000003</c:v>
                </c:pt>
                <c:pt idx="20">
                  <c:v>0.58823999999999999</c:v>
                </c:pt>
                <c:pt idx="21">
                  <c:v>0.46234799999999998</c:v>
                </c:pt>
                <c:pt idx="22">
                  <c:v>0.81779800000000002</c:v>
                </c:pt>
                <c:pt idx="23">
                  <c:v>0.95194400000000001</c:v>
                </c:pt>
                <c:pt idx="24">
                  <c:v>0.67262699999999997</c:v>
                </c:pt>
                <c:pt idx="25">
                  <c:v>0.73848999999999998</c:v>
                </c:pt>
                <c:pt idx="26">
                  <c:v>0.87478400000000001</c:v>
                </c:pt>
                <c:pt idx="27">
                  <c:v>1.0539400000000001</c:v>
                </c:pt>
                <c:pt idx="28">
                  <c:v>0.99388799999999999</c:v>
                </c:pt>
                <c:pt idx="29">
                  <c:v>1.11033</c:v>
                </c:pt>
                <c:pt idx="30">
                  <c:v>0.94812600000000002</c:v>
                </c:pt>
                <c:pt idx="31">
                  <c:v>1.1794199999999999</c:v>
                </c:pt>
                <c:pt idx="32">
                  <c:v>0.64939999999999998</c:v>
                </c:pt>
                <c:pt idx="33">
                  <c:v>0.64188500000000004</c:v>
                </c:pt>
                <c:pt idx="34">
                  <c:v>1.25213</c:v>
                </c:pt>
                <c:pt idx="35">
                  <c:v>1.2051799999999999</c:v>
                </c:pt>
                <c:pt idx="36">
                  <c:v>0.903173</c:v>
                </c:pt>
                <c:pt idx="37">
                  <c:v>0.510378</c:v>
                </c:pt>
                <c:pt idx="38">
                  <c:v>0.56822300000000003</c:v>
                </c:pt>
                <c:pt idx="39">
                  <c:v>0.70166799999999996</c:v>
                </c:pt>
                <c:pt idx="40">
                  <c:v>1.3210299999999999</c:v>
                </c:pt>
                <c:pt idx="41">
                  <c:v>0.86828099999999997</c:v>
                </c:pt>
                <c:pt idx="42">
                  <c:v>0.57014200000000004</c:v>
                </c:pt>
                <c:pt idx="43">
                  <c:v>1.2490600000000001</c:v>
                </c:pt>
                <c:pt idx="44">
                  <c:v>1.58518</c:v>
                </c:pt>
                <c:pt idx="45">
                  <c:v>1.5636000000000001</c:v>
                </c:pt>
                <c:pt idx="46">
                  <c:v>1.1882299999999999</c:v>
                </c:pt>
                <c:pt idx="47">
                  <c:v>0.67729200000000001</c:v>
                </c:pt>
                <c:pt idx="48">
                  <c:v>0.49883300000000003</c:v>
                </c:pt>
                <c:pt idx="49">
                  <c:v>0.57835000000000003</c:v>
                </c:pt>
                <c:pt idx="50">
                  <c:v>0.790045</c:v>
                </c:pt>
                <c:pt idx="51">
                  <c:v>0.70949099999999998</c:v>
                </c:pt>
                <c:pt idx="52">
                  <c:v>0.74738499999999997</c:v>
                </c:pt>
                <c:pt idx="53">
                  <c:v>0.52103100000000002</c:v>
                </c:pt>
                <c:pt idx="54">
                  <c:v>0.65535200000000005</c:v>
                </c:pt>
                <c:pt idx="55">
                  <c:v>0.43561699999999998</c:v>
                </c:pt>
                <c:pt idx="56">
                  <c:v>0.41940699999999997</c:v>
                </c:pt>
                <c:pt idx="57">
                  <c:v>0.61088799999999999</c:v>
                </c:pt>
                <c:pt idx="58">
                  <c:v>1.2364999999999999</c:v>
                </c:pt>
                <c:pt idx="59">
                  <c:v>1.19014</c:v>
                </c:pt>
                <c:pt idx="60">
                  <c:v>1.2675799999999999</c:v>
                </c:pt>
                <c:pt idx="61">
                  <c:v>0.83999900000000005</c:v>
                </c:pt>
                <c:pt idx="62">
                  <c:v>1.2750600000000001</c:v>
                </c:pt>
                <c:pt idx="63">
                  <c:v>0.70893899999999999</c:v>
                </c:pt>
                <c:pt idx="64">
                  <c:v>0.643181</c:v>
                </c:pt>
                <c:pt idx="65">
                  <c:v>0.94959700000000002</c:v>
                </c:pt>
                <c:pt idx="66">
                  <c:v>0.49800699999999998</c:v>
                </c:pt>
                <c:pt idx="67">
                  <c:v>0.38450200000000001</c:v>
                </c:pt>
                <c:pt idx="68">
                  <c:v>0.53117899999999996</c:v>
                </c:pt>
                <c:pt idx="69">
                  <c:v>0.87528499999999998</c:v>
                </c:pt>
                <c:pt idx="70">
                  <c:v>0.60771699999999995</c:v>
                </c:pt>
                <c:pt idx="71">
                  <c:v>0.87375899999999995</c:v>
                </c:pt>
                <c:pt idx="72">
                  <c:v>0.85330700000000004</c:v>
                </c:pt>
                <c:pt idx="73">
                  <c:v>1.3965799999999999</c:v>
                </c:pt>
                <c:pt idx="74">
                  <c:v>1.46088</c:v>
                </c:pt>
                <c:pt idx="75">
                  <c:v>1.6912199999999999</c:v>
                </c:pt>
                <c:pt idx="76">
                  <c:v>0.87672499999999998</c:v>
                </c:pt>
                <c:pt idx="77">
                  <c:v>0.59033999999999998</c:v>
                </c:pt>
                <c:pt idx="78">
                  <c:v>0.59450199999999997</c:v>
                </c:pt>
                <c:pt idx="79">
                  <c:v>0.35982700000000001</c:v>
                </c:pt>
                <c:pt idx="80">
                  <c:v>1.0972</c:v>
                </c:pt>
                <c:pt idx="81">
                  <c:v>1.52122</c:v>
                </c:pt>
                <c:pt idx="82">
                  <c:v>1.7134499999999999</c:v>
                </c:pt>
                <c:pt idx="83">
                  <c:v>1.1600200000000001</c:v>
                </c:pt>
                <c:pt idx="84">
                  <c:v>1.3020099999999999</c:v>
                </c:pt>
                <c:pt idx="85">
                  <c:v>1.5297099999999999</c:v>
                </c:pt>
                <c:pt idx="86">
                  <c:v>1.3697299999999999</c:v>
                </c:pt>
                <c:pt idx="87">
                  <c:v>0.98521899999999996</c:v>
                </c:pt>
                <c:pt idx="88">
                  <c:v>0.72837300000000005</c:v>
                </c:pt>
                <c:pt idx="89">
                  <c:v>1.0984700000000001</c:v>
                </c:pt>
                <c:pt idx="90">
                  <c:v>0.87900800000000001</c:v>
                </c:pt>
                <c:pt idx="91">
                  <c:v>0.99326099999999995</c:v>
                </c:pt>
                <c:pt idx="92">
                  <c:v>0.56427300000000002</c:v>
                </c:pt>
                <c:pt idx="93">
                  <c:v>1.2347999999999999</c:v>
                </c:pt>
                <c:pt idx="94">
                  <c:v>1.2272700000000001</c:v>
                </c:pt>
                <c:pt idx="95">
                  <c:v>0.73738099999999995</c:v>
                </c:pt>
                <c:pt idx="96">
                  <c:v>0.43137399999999998</c:v>
                </c:pt>
                <c:pt idx="97">
                  <c:v>0.83630800000000005</c:v>
                </c:pt>
                <c:pt idx="98">
                  <c:v>1.4065300000000001</c:v>
                </c:pt>
                <c:pt idx="99">
                  <c:v>1.35402</c:v>
                </c:pt>
                <c:pt idx="100">
                  <c:v>1.0536700000000001</c:v>
                </c:pt>
                <c:pt idx="101">
                  <c:v>1.24316</c:v>
                </c:pt>
                <c:pt idx="102">
                  <c:v>0.99656500000000003</c:v>
                </c:pt>
                <c:pt idx="103">
                  <c:v>0.94048200000000004</c:v>
                </c:pt>
                <c:pt idx="104">
                  <c:v>0.56644799999999995</c:v>
                </c:pt>
                <c:pt idx="105">
                  <c:v>1.26806</c:v>
                </c:pt>
                <c:pt idx="106">
                  <c:v>0.86487899999999995</c:v>
                </c:pt>
                <c:pt idx="107">
                  <c:v>0.53786199999999995</c:v>
                </c:pt>
                <c:pt idx="108">
                  <c:v>1.1213200000000001</c:v>
                </c:pt>
                <c:pt idx="109">
                  <c:v>0.75719199999999998</c:v>
                </c:pt>
                <c:pt idx="110">
                  <c:v>0.63996399999999998</c:v>
                </c:pt>
                <c:pt idx="111">
                  <c:v>0.373556</c:v>
                </c:pt>
                <c:pt idx="112">
                  <c:v>0.79030900000000004</c:v>
                </c:pt>
                <c:pt idx="113">
                  <c:v>1.0809299999999999</c:v>
                </c:pt>
                <c:pt idx="114">
                  <c:v>0.60203399999999996</c:v>
                </c:pt>
                <c:pt idx="115">
                  <c:v>1.2550300000000001</c:v>
                </c:pt>
                <c:pt idx="116">
                  <c:v>0.88968999999999998</c:v>
                </c:pt>
                <c:pt idx="117">
                  <c:v>0.88648000000000005</c:v>
                </c:pt>
                <c:pt idx="118">
                  <c:v>1.05945</c:v>
                </c:pt>
                <c:pt idx="119">
                  <c:v>1.3702399999999999</c:v>
                </c:pt>
                <c:pt idx="120">
                  <c:v>1.25647</c:v>
                </c:pt>
                <c:pt idx="121">
                  <c:v>1.33266</c:v>
                </c:pt>
                <c:pt idx="122">
                  <c:v>0.95725300000000002</c:v>
                </c:pt>
                <c:pt idx="123">
                  <c:v>1.04027</c:v>
                </c:pt>
                <c:pt idx="124">
                  <c:v>1.2024300000000001</c:v>
                </c:pt>
                <c:pt idx="125">
                  <c:v>0.96962499999999996</c:v>
                </c:pt>
                <c:pt idx="126">
                  <c:v>0.50350399999999995</c:v>
                </c:pt>
                <c:pt idx="127">
                  <c:v>0.64899899999999999</c:v>
                </c:pt>
                <c:pt idx="128">
                  <c:v>0.92163700000000004</c:v>
                </c:pt>
                <c:pt idx="129">
                  <c:v>0.59634699999999996</c:v>
                </c:pt>
                <c:pt idx="130">
                  <c:v>1.20818</c:v>
                </c:pt>
                <c:pt idx="131">
                  <c:v>1.2630999999999999</c:v>
                </c:pt>
                <c:pt idx="132">
                  <c:v>0.81077999999999995</c:v>
                </c:pt>
                <c:pt idx="133">
                  <c:v>0.75811200000000001</c:v>
                </c:pt>
                <c:pt idx="134">
                  <c:v>0.75526199999999999</c:v>
                </c:pt>
                <c:pt idx="135">
                  <c:v>1.36147</c:v>
                </c:pt>
                <c:pt idx="136">
                  <c:v>1.1948799999999999</c:v>
                </c:pt>
                <c:pt idx="137">
                  <c:v>0.95889100000000005</c:v>
                </c:pt>
                <c:pt idx="138">
                  <c:v>1.4107000000000001</c:v>
                </c:pt>
                <c:pt idx="139">
                  <c:v>1.5285500000000001</c:v>
                </c:pt>
                <c:pt idx="140">
                  <c:v>1.4432</c:v>
                </c:pt>
                <c:pt idx="141">
                  <c:v>1.5580099999999999</c:v>
                </c:pt>
                <c:pt idx="142">
                  <c:v>1.5756699999999999</c:v>
                </c:pt>
                <c:pt idx="143">
                  <c:v>1.41822</c:v>
                </c:pt>
                <c:pt idx="144">
                  <c:v>1.65052</c:v>
                </c:pt>
                <c:pt idx="145">
                  <c:v>1.29227</c:v>
                </c:pt>
                <c:pt idx="146">
                  <c:v>0.79640299999999997</c:v>
                </c:pt>
                <c:pt idx="147">
                  <c:v>0.99816199999999999</c:v>
                </c:pt>
                <c:pt idx="148">
                  <c:v>1.17717</c:v>
                </c:pt>
                <c:pt idx="149">
                  <c:v>1.23333</c:v>
                </c:pt>
                <c:pt idx="150">
                  <c:v>0.96901999999999999</c:v>
                </c:pt>
                <c:pt idx="151">
                  <c:v>0.65006799999999998</c:v>
                </c:pt>
                <c:pt idx="152">
                  <c:v>1.1024799999999999</c:v>
                </c:pt>
                <c:pt idx="153">
                  <c:v>1.1951499999999999</c:v>
                </c:pt>
                <c:pt idx="154">
                  <c:v>0.77088299999999998</c:v>
                </c:pt>
                <c:pt idx="155">
                  <c:v>1.27715</c:v>
                </c:pt>
                <c:pt idx="156">
                  <c:v>0.74259399999999998</c:v>
                </c:pt>
                <c:pt idx="157">
                  <c:v>0.65388999999999997</c:v>
                </c:pt>
                <c:pt idx="158">
                  <c:v>1.0306999999999999</c:v>
                </c:pt>
                <c:pt idx="159">
                  <c:v>0.61126499999999995</c:v>
                </c:pt>
                <c:pt idx="160">
                  <c:v>0.58436500000000002</c:v>
                </c:pt>
                <c:pt idx="161">
                  <c:v>1.0095000000000001</c:v>
                </c:pt>
                <c:pt idx="162">
                  <c:v>0.55145599999999995</c:v>
                </c:pt>
                <c:pt idx="163">
                  <c:v>0.38269199999999998</c:v>
                </c:pt>
                <c:pt idx="164">
                  <c:v>0.98928899999999997</c:v>
                </c:pt>
                <c:pt idx="165">
                  <c:v>0.53184600000000004</c:v>
                </c:pt>
                <c:pt idx="166">
                  <c:v>0.73314699999999999</c:v>
                </c:pt>
                <c:pt idx="167">
                  <c:v>1.11175</c:v>
                </c:pt>
                <c:pt idx="168">
                  <c:v>0.80267100000000002</c:v>
                </c:pt>
                <c:pt idx="169">
                  <c:v>0.53887799999999997</c:v>
                </c:pt>
                <c:pt idx="170">
                  <c:v>1.05524</c:v>
                </c:pt>
                <c:pt idx="171">
                  <c:v>1.45343</c:v>
                </c:pt>
                <c:pt idx="172">
                  <c:v>1.07222</c:v>
                </c:pt>
                <c:pt idx="173">
                  <c:v>1.4582599999999999</c:v>
                </c:pt>
                <c:pt idx="174">
                  <c:v>1.3400300000000001</c:v>
                </c:pt>
                <c:pt idx="175">
                  <c:v>1.09931</c:v>
                </c:pt>
                <c:pt idx="176">
                  <c:v>0.73333800000000005</c:v>
                </c:pt>
                <c:pt idx="177">
                  <c:v>0.63044800000000001</c:v>
                </c:pt>
                <c:pt idx="178">
                  <c:v>0.67824600000000002</c:v>
                </c:pt>
                <c:pt idx="179">
                  <c:v>0.84820200000000001</c:v>
                </c:pt>
                <c:pt idx="180">
                  <c:v>0.63127</c:v>
                </c:pt>
                <c:pt idx="181">
                  <c:v>1.2875700000000001</c:v>
                </c:pt>
                <c:pt idx="182">
                  <c:v>1.1399999999999999</c:v>
                </c:pt>
                <c:pt idx="183">
                  <c:v>0.67673700000000003</c:v>
                </c:pt>
                <c:pt idx="184">
                  <c:v>0.47629199999999999</c:v>
                </c:pt>
                <c:pt idx="185">
                  <c:v>0.497195</c:v>
                </c:pt>
                <c:pt idx="186">
                  <c:v>1.1312899999999999</c:v>
                </c:pt>
                <c:pt idx="187">
                  <c:v>1.1179699999999999</c:v>
                </c:pt>
                <c:pt idx="188">
                  <c:v>0.67444599999999999</c:v>
                </c:pt>
                <c:pt idx="189">
                  <c:v>0.99231400000000003</c:v>
                </c:pt>
                <c:pt idx="190">
                  <c:v>0.82013100000000005</c:v>
                </c:pt>
                <c:pt idx="191">
                  <c:v>0.57217499999999999</c:v>
                </c:pt>
                <c:pt idx="192">
                  <c:v>0.98809899999999995</c:v>
                </c:pt>
                <c:pt idx="193">
                  <c:v>1.3487100000000001</c:v>
                </c:pt>
                <c:pt idx="194">
                  <c:v>1.1552</c:v>
                </c:pt>
                <c:pt idx="195">
                  <c:v>1.4210799999999999</c:v>
                </c:pt>
                <c:pt idx="196">
                  <c:v>1.11914</c:v>
                </c:pt>
                <c:pt idx="197">
                  <c:v>1.1412800000000001</c:v>
                </c:pt>
                <c:pt idx="198">
                  <c:v>1.5465800000000001</c:v>
                </c:pt>
                <c:pt idx="199">
                  <c:v>1.4572499999999999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9C-4915-BDD4-3AA3A4D5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993247"/>
        <c:axId val="1158987007"/>
      </c:scatterChart>
      <c:valAx>
        <c:axId val="115899324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87007"/>
        <c:crosses val="autoZero"/>
        <c:crossBetween val="midCat"/>
      </c:valAx>
      <c:valAx>
        <c:axId val="11589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9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9</xdr:row>
      <xdr:rowOff>6803</xdr:rowOff>
    </xdr:from>
    <xdr:to>
      <xdr:col>3</xdr:col>
      <xdr:colOff>242735</xdr:colOff>
      <xdr:row>13</xdr:row>
      <xdr:rowOff>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694089"/>
          <a:ext cx="3160106" cy="735874"/>
        </a:xfrm>
        <a:prstGeom prst="rect">
          <a:avLst/>
        </a:prstGeom>
      </xdr:spPr>
    </xdr:pic>
    <xdr:clientData/>
  </xdr:twoCellAnchor>
  <xdr:twoCellAnchor>
    <xdr:from>
      <xdr:col>9</xdr:col>
      <xdr:colOff>136071</xdr:colOff>
      <xdr:row>3</xdr:row>
      <xdr:rowOff>156482</xdr:rowOff>
    </xdr:from>
    <xdr:to>
      <xdr:col>15</xdr:col>
      <xdr:colOff>537481</xdr:colOff>
      <xdr:row>21</xdr:row>
      <xdr:rowOff>61232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</xdr:row>
      <xdr:rowOff>171456</xdr:rowOff>
    </xdr:from>
    <xdr:to>
      <xdr:col>13</xdr:col>
      <xdr:colOff>419100</xdr:colOff>
      <xdr:row>16</xdr:row>
      <xdr:rowOff>57156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0</xdr:row>
      <xdr:rowOff>0</xdr:rowOff>
    </xdr:from>
    <xdr:to>
      <xdr:col>12</xdr:col>
      <xdr:colOff>609599</xdr:colOff>
      <xdr:row>10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23</xdr:row>
      <xdr:rowOff>0</xdr:rowOff>
    </xdr:from>
    <xdr:to>
      <xdr:col>13</xdr:col>
      <xdr:colOff>9525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561974</xdr:colOff>
      <xdr:row>10</xdr:row>
      <xdr:rowOff>47625</xdr:rowOff>
    </xdr:from>
    <xdr:to>
      <xdr:col>13</xdr:col>
      <xdr:colOff>19049</xdr:colOff>
      <xdr:row>23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85731</xdr:rowOff>
    </xdr:from>
    <xdr:to>
      <xdr:col>16</xdr:col>
      <xdr:colOff>342900</xdr:colOff>
      <xdr:row>14</xdr:row>
      <xdr:rowOff>161931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4</xdr:row>
      <xdr:rowOff>123825</xdr:rowOff>
    </xdr:from>
    <xdr:to>
      <xdr:col>11</xdr:col>
      <xdr:colOff>495300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209550</xdr:colOff>
      <xdr:row>4</xdr:row>
      <xdr:rowOff>161925</xdr:rowOff>
    </xdr:from>
    <xdr:to>
      <xdr:col>27</xdr:col>
      <xdr:colOff>57950</xdr:colOff>
      <xdr:row>6</xdr:row>
      <xdr:rowOff>181035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666"/>
        <a:stretch/>
      </xdr:blipFill>
      <xdr:spPr>
        <a:xfrm>
          <a:off x="9934575" y="1114425"/>
          <a:ext cx="5734850" cy="400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198</xdr:row>
      <xdr:rowOff>47625</xdr:rowOff>
    </xdr:from>
    <xdr:to>
      <xdr:col>9</xdr:col>
      <xdr:colOff>114526</xdr:colOff>
      <xdr:row>200</xdr:row>
      <xdr:rowOff>114362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37938075"/>
          <a:ext cx="1619476" cy="4477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4</xdr:row>
      <xdr:rowOff>123825</xdr:rowOff>
    </xdr:from>
    <xdr:to>
      <xdr:col>11</xdr:col>
      <xdr:colOff>495300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28575</xdr:colOff>
      <xdr:row>4</xdr:row>
      <xdr:rowOff>104775</xdr:rowOff>
    </xdr:from>
    <xdr:to>
      <xdr:col>27</xdr:col>
      <xdr:colOff>172250</xdr:colOff>
      <xdr:row>6</xdr:row>
      <xdr:rowOff>104835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109"/>
        <a:stretch/>
      </xdr:blipFill>
      <xdr:spPr>
        <a:xfrm>
          <a:off x="10563225" y="1057275"/>
          <a:ext cx="5734850" cy="3810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4</xdr:row>
      <xdr:rowOff>123825</xdr:rowOff>
    </xdr:from>
    <xdr:to>
      <xdr:col>11</xdr:col>
      <xdr:colOff>495300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28575</xdr:colOff>
      <xdr:row>4</xdr:row>
      <xdr:rowOff>104775</xdr:rowOff>
    </xdr:from>
    <xdr:to>
      <xdr:col>28</xdr:col>
      <xdr:colOff>172250</xdr:colOff>
      <xdr:row>6</xdr:row>
      <xdr:rowOff>104835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109"/>
        <a:stretch/>
      </xdr:blipFill>
      <xdr:spPr>
        <a:xfrm>
          <a:off x="10563225" y="1057275"/>
          <a:ext cx="5734850" cy="38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zoomScale="140" zoomScaleNormal="140" workbookViewId="0">
      <selection activeCell="B7" sqref="B7"/>
    </sheetView>
  </sheetViews>
  <sheetFormatPr defaultRowHeight="14.5" x14ac:dyDescent="0.35"/>
  <cols>
    <col min="1" max="1" width="36.453125" bestFit="1" customWidth="1"/>
  </cols>
  <sheetData>
    <row r="1" spans="1:9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s="2" t="s">
        <v>1</v>
      </c>
    </row>
    <row r="2" spans="1:9" ht="16.5" x14ac:dyDescent="0.45">
      <c r="A2" t="s">
        <v>2</v>
      </c>
      <c r="B2">
        <v>15</v>
      </c>
      <c r="C2">
        <v>10</v>
      </c>
      <c r="D2">
        <v>12</v>
      </c>
      <c r="E2">
        <v>16</v>
      </c>
      <c r="F2">
        <v>9</v>
      </c>
      <c r="G2">
        <v>12</v>
      </c>
      <c r="H2">
        <v>10</v>
      </c>
      <c r="I2">
        <f>SUM(B2:H2)</f>
        <v>84</v>
      </c>
    </row>
    <row r="3" spans="1:9" ht="16.5" x14ac:dyDescent="0.45">
      <c r="A3" t="s">
        <v>7</v>
      </c>
      <c r="C3">
        <f>B2</f>
        <v>15</v>
      </c>
      <c r="D3">
        <f t="shared" ref="D3:H3" si="0">C2</f>
        <v>10</v>
      </c>
      <c r="E3">
        <f t="shared" si="0"/>
        <v>12</v>
      </c>
      <c r="F3">
        <f t="shared" si="0"/>
        <v>16</v>
      </c>
      <c r="G3">
        <f t="shared" si="0"/>
        <v>9</v>
      </c>
      <c r="H3">
        <f t="shared" si="0"/>
        <v>12</v>
      </c>
    </row>
    <row r="5" spans="1:9" x14ac:dyDescent="0.35">
      <c r="A5" t="s">
        <v>4</v>
      </c>
      <c r="B5">
        <f>AVERAGE(B2:H2)</f>
        <v>12</v>
      </c>
    </row>
    <row r="6" spans="1:9" x14ac:dyDescent="0.35">
      <c r="A6" t="s">
        <v>5</v>
      </c>
      <c r="B6">
        <f t="array" ref="B6">SUM((B2:H2-B5)^2)</f>
        <v>42</v>
      </c>
    </row>
    <row r="7" spans="1:9" x14ac:dyDescent="0.35">
      <c r="A7" t="s">
        <v>6</v>
      </c>
      <c r="B7">
        <f t="array" ref="B7">SUM((C2:H2-B5)*(C3:H3-B5))</f>
        <v>-18</v>
      </c>
    </row>
    <row r="8" spans="1:9" x14ac:dyDescent="0.35">
      <c r="A8" t="s">
        <v>3</v>
      </c>
      <c r="B8" s="1">
        <f>B7/B6</f>
        <v>-0.42857142857142855</v>
      </c>
    </row>
  </sheetData>
  <pageMargins left="0.7" right="0.7" top="0.75" bottom="0.75" header="0.3" footer="0.3"/>
  <ignoredErrors>
    <ignoredError sqref="B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3"/>
  <sheetViews>
    <sheetView workbookViewId="0">
      <pane ySplit="1" topLeftCell="A2" activePane="bottomLeft" state="frozen"/>
      <selection pane="bottomLeft" sqref="A1:N21"/>
    </sheetView>
  </sheetViews>
  <sheetFormatPr defaultRowHeight="14.5" x14ac:dyDescent="0.35"/>
  <cols>
    <col min="1" max="1" width="4" bestFit="1" customWidth="1"/>
    <col min="2" max="3" width="9.08984375" customWidth="1"/>
    <col min="5" max="6" width="9.08984375" customWidth="1"/>
    <col min="7" max="7" width="4.6328125" customWidth="1"/>
    <col min="9" max="9" width="13.453125" bestFit="1" customWidth="1"/>
  </cols>
  <sheetData>
    <row r="1" spans="1:9" x14ac:dyDescent="0.35">
      <c r="A1" t="s">
        <v>15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I1" s="4"/>
    </row>
    <row r="2" spans="1:9" x14ac:dyDescent="0.35">
      <c r="A2">
        <v>1</v>
      </c>
      <c r="B2" s="4">
        <v>0.25645400000000002</v>
      </c>
      <c r="C2" s="4">
        <v>0.39986699999999997</v>
      </c>
      <c r="D2" s="4">
        <v>0.24</v>
      </c>
      <c r="E2" s="4">
        <v>0.16</v>
      </c>
      <c r="F2" s="4">
        <v>0.16</v>
      </c>
    </row>
    <row r="3" spans="1:9" x14ac:dyDescent="0.35">
      <c r="A3">
        <v>2</v>
      </c>
      <c r="B3" s="4">
        <v>0.23024</v>
      </c>
      <c r="C3" s="4">
        <v>0.40975800000000001</v>
      </c>
      <c r="D3" s="4">
        <v>0.35024</v>
      </c>
      <c r="E3" s="4">
        <v>0.04</v>
      </c>
      <c r="F3" s="4">
        <v>0.56975799999999999</v>
      </c>
    </row>
    <row r="4" spans="1:9" x14ac:dyDescent="0.35">
      <c r="A4">
        <v>3</v>
      </c>
      <c r="B4" s="4">
        <v>0.67518599999999995</v>
      </c>
      <c r="C4" s="4">
        <v>0.83635400000000004</v>
      </c>
      <c r="D4" s="4">
        <v>0.85030600000000001</v>
      </c>
      <c r="E4" s="4">
        <v>0.73518600000000001</v>
      </c>
      <c r="F4" s="4">
        <v>1.40611</v>
      </c>
    </row>
    <row r="5" spans="1:9" x14ac:dyDescent="0.35">
      <c r="A5">
        <v>4</v>
      </c>
      <c r="B5" s="4">
        <v>4.75159E-2</v>
      </c>
      <c r="C5" s="4">
        <v>0.520146</v>
      </c>
      <c r="D5" s="4">
        <v>0.47266900000000001</v>
      </c>
      <c r="E5" s="4">
        <v>0.57014600000000004</v>
      </c>
      <c r="F5" s="4">
        <v>1.9262600000000001</v>
      </c>
    </row>
    <row r="6" spans="1:9" x14ac:dyDescent="0.35">
      <c r="A6">
        <v>5</v>
      </c>
      <c r="B6" s="4">
        <v>0.71682699999999999</v>
      </c>
      <c r="C6" s="4">
        <v>0.75008900000000001</v>
      </c>
      <c r="D6" s="4">
        <v>0.95316199999999995</v>
      </c>
      <c r="E6" s="4">
        <v>1.2629699999999999</v>
      </c>
      <c r="F6" s="4">
        <v>2.6763499999999998</v>
      </c>
    </row>
    <row r="7" spans="1:9" x14ac:dyDescent="0.35">
      <c r="A7">
        <v>6</v>
      </c>
      <c r="B7" s="4">
        <v>0.85461399999999998</v>
      </c>
      <c r="C7" s="4">
        <v>1.35639</v>
      </c>
      <c r="D7" s="4">
        <v>1.3311999999999999</v>
      </c>
      <c r="E7" s="4">
        <v>1.8527199999999999</v>
      </c>
      <c r="F7" s="4">
        <v>4.0327400000000004</v>
      </c>
    </row>
    <row r="8" spans="1:9" x14ac:dyDescent="0.35">
      <c r="A8">
        <v>7</v>
      </c>
      <c r="B8" s="4">
        <v>0.55798300000000001</v>
      </c>
      <c r="C8" s="4">
        <v>1.15621</v>
      </c>
      <c r="D8" s="4">
        <v>1.2235799999999999</v>
      </c>
      <c r="E8" s="4">
        <v>2.1074799999999998</v>
      </c>
      <c r="F8" s="4">
        <v>5.1889500000000002</v>
      </c>
    </row>
    <row r="9" spans="1:9" x14ac:dyDescent="0.35">
      <c r="A9">
        <v>8</v>
      </c>
      <c r="B9" s="4">
        <v>3.9031999999999997E-2</v>
      </c>
      <c r="C9" s="4">
        <v>0.42962</v>
      </c>
      <c r="D9" s="4">
        <v>0.65082200000000001</v>
      </c>
      <c r="E9" s="4">
        <v>1.8848100000000001</v>
      </c>
      <c r="F9" s="4">
        <v>5.6185700000000001</v>
      </c>
    </row>
    <row r="10" spans="1:9" x14ac:dyDescent="0.35">
      <c r="A10">
        <v>9</v>
      </c>
      <c r="B10" s="4">
        <v>0.184616</v>
      </c>
      <c r="C10" s="4">
        <v>0.21193799999999999</v>
      </c>
      <c r="D10" s="4">
        <v>0.51002700000000001</v>
      </c>
      <c r="E10" s="4">
        <v>1.9254800000000001</v>
      </c>
      <c r="F10" s="4">
        <v>5.8305100000000003</v>
      </c>
    </row>
    <row r="11" spans="1:9" x14ac:dyDescent="0.35">
      <c r="A11">
        <v>10</v>
      </c>
      <c r="B11" s="4">
        <v>1.67999E-2</v>
      </c>
      <c r="C11" s="4">
        <v>0.14603099999999999</v>
      </c>
      <c r="D11" s="4">
        <v>0.271814</v>
      </c>
      <c r="E11" s="4">
        <v>1.7416</v>
      </c>
      <c r="F11" s="4">
        <v>5.97654</v>
      </c>
    </row>
    <row r="12" spans="1:9" x14ac:dyDescent="0.35">
      <c r="A12">
        <v>11</v>
      </c>
      <c r="B12" s="4">
        <v>0.59606899999999996</v>
      </c>
      <c r="C12" s="4">
        <v>0.60782899999999995</v>
      </c>
      <c r="D12" s="4">
        <v>0.73197599999999996</v>
      </c>
      <c r="E12" s="4">
        <v>2.2002899999999999</v>
      </c>
      <c r="F12" s="4">
        <v>6.5843699999999998</v>
      </c>
    </row>
    <row r="13" spans="1:9" x14ac:dyDescent="0.35">
      <c r="A13">
        <v>12</v>
      </c>
      <c r="B13" s="4">
        <v>0.23567199999999999</v>
      </c>
      <c r="C13" s="4">
        <v>0.65292099999999997</v>
      </c>
      <c r="D13" s="4">
        <v>0.60165999999999997</v>
      </c>
      <c r="E13" s="4">
        <v>2.12419</v>
      </c>
      <c r="F13" s="4">
        <v>7.2372899999999998</v>
      </c>
    </row>
    <row r="14" spans="1:9" x14ac:dyDescent="0.35">
      <c r="A14">
        <v>13</v>
      </c>
      <c r="B14" s="4">
        <v>7.2448700000000005E-2</v>
      </c>
      <c r="C14" s="4">
        <v>0.23741899999999999</v>
      </c>
      <c r="D14" s="4">
        <v>0.37327900000000003</v>
      </c>
      <c r="E14" s="4">
        <v>1.9994400000000001</v>
      </c>
      <c r="F14" s="4">
        <v>7.47471</v>
      </c>
    </row>
    <row r="15" spans="1:9" x14ac:dyDescent="0.35">
      <c r="A15">
        <v>14</v>
      </c>
      <c r="B15" s="4">
        <v>0.85891700000000004</v>
      </c>
      <c r="C15" s="4">
        <v>0.90963099999999997</v>
      </c>
      <c r="D15" s="4">
        <v>1.04556</v>
      </c>
      <c r="E15" s="4">
        <v>2.68336</v>
      </c>
      <c r="F15" s="4">
        <v>8.3843399999999999</v>
      </c>
    </row>
    <row r="16" spans="1:9" x14ac:dyDescent="0.35">
      <c r="A16">
        <v>15</v>
      </c>
      <c r="B16" s="4">
        <v>0.83085600000000004</v>
      </c>
      <c r="C16" s="4">
        <v>1.4320999999999999</v>
      </c>
      <c r="D16" s="4">
        <v>1.3536300000000001</v>
      </c>
      <c r="E16" s="4">
        <v>3.1091000000000002</v>
      </c>
      <c r="F16" s="4">
        <v>9.8164400000000001</v>
      </c>
    </row>
    <row r="17" spans="1:6" x14ac:dyDescent="0.35">
      <c r="A17">
        <v>16</v>
      </c>
      <c r="B17" s="4">
        <v>0.21592700000000001</v>
      </c>
      <c r="C17" s="4">
        <v>0.79752699999999999</v>
      </c>
      <c r="D17" s="4">
        <v>0.89274399999999998</v>
      </c>
      <c r="E17" s="4">
        <v>2.9289700000000001</v>
      </c>
      <c r="F17" s="4">
        <v>10.614000000000001</v>
      </c>
    </row>
    <row r="18" spans="1:6" x14ac:dyDescent="0.35">
      <c r="A18">
        <v>17</v>
      </c>
      <c r="B18" s="4">
        <v>0.22300700000000001</v>
      </c>
      <c r="C18" s="4">
        <v>0.37415599999999999</v>
      </c>
      <c r="D18" s="4">
        <v>0.66937899999999995</v>
      </c>
      <c r="E18" s="4">
        <v>2.8951099999999999</v>
      </c>
      <c r="F18" s="4">
        <v>10.988099999999999</v>
      </c>
    </row>
    <row r="19" spans="1:6" x14ac:dyDescent="0.35">
      <c r="A19">
        <v>18</v>
      </c>
      <c r="B19" s="4">
        <v>0.254166</v>
      </c>
      <c r="C19" s="4">
        <v>0.410271</v>
      </c>
      <c r="D19" s="4">
        <v>0.58885500000000002</v>
      </c>
      <c r="E19" s="4">
        <v>2.86653</v>
      </c>
      <c r="F19" s="4">
        <v>11.398400000000001</v>
      </c>
    </row>
    <row r="20" spans="1:6" x14ac:dyDescent="0.35">
      <c r="A20">
        <v>19</v>
      </c>
      <c r="B20" s="4">
        <v>0.76403799999999999</v>
      </c>
      <c r="C20" s="4">
        <v>0.94195399999999996</v>
      </c>
      <c r="D20" s="4">
        <v>1.05847</v>
      </c>
      <c r="E20" s="4">
        <v>3.3496299999999999</v>
      </c>
      <c r="F20" s="4">
        <v>12.340299999999999</v>
      </c>
    </row>
    <row r="21" spans="1:6" x14ac:dyDescent="0.35">
      <c r="A21">
        <v>20</v>
      </c>
      <c r="B21" s="4">
        <v>0.28643800000000003</v>
      </c>
      <c r="C21" s="4">
        <v>0.82126500000000002</v>
      </c>
      <c r="D21" s="4">
        <v>0.81567100000000003</v>
      </c>
      <c r="E21" s="4">
        <v>3.2044899999999998</v>
      </c>
      <c r="F21" s="4">
        <v>13.1616</v>
      </c>
    </row>
    <row r="22" spans="1:6" x14ac:dyDescent="0.35">
      <c r="A22">
        <v>21</v>
      </c>
      <c r="B22" s="4">
        <v>0.18040500000000001</v>
      </c>
      <c r="C22" s="4">
        <v>0.380911</v>
      </c>
      <c r="D22" s="4">
        <v>0.58823999999999999</v>
      </c>
      <c r="E22" s="4">
        <v>3.0934699999999999</v>
      </c>
      <c r="F22" s="4">
        <v>13.5425</v>
      </c>
    </row>
    <row r="23" spans="1:6" x14ac:dyDescent="0.35">
      <c r="A23">
        <v>22</v>
      </c>
      <c r="B23" s="4">
        <v>0.16822799999999999</v>
      </c>
      <c r="C23" s="4">
        <v>0.29451100000000002</v>
      </c>
      <c r="D23" s="4">
        <v>0.46234799999999998</v>
      </c>
      <c r="E23" s="4">
        <v>2.9745599999999999</v>
      </c>
      <c r="F23" s="4">
        <v>13.837</v>
      </c>
    </row>
    <row r="24" spans="1:6" x14ac:dyDescent="0.35">
      <c r="A24">
        <v>23</v>
      </c>
      <c r="B24" s="4">
        <v>0.58662400000000003</v>
      </c>
      <c r="C24" s="4">
        <v>0.70438400000000001</v>
      </c>
      <c r="D24" s="4">
        <v>0.81779800000000002</v>
      </c>
      <c r="E24" s="4">
        <v>3.2875100000000002</v>
      </c>
      <c r="F24" s="4">
        <v>14.541399999999999</v>
      </c>
    </row>
    <row r="25" spans="1:6" x14ac:dyDescent="0.35">
      <c r="A25">
        <v>24</v>
      </c>
      <c r="B25" s="4">
        <v>0.543045</v>
      </c>
      <c r="C25" s="4">
        <v>0.95368200000000003</v>
      </c>
      <c r="D25" s="4">
        <v>0.95194400000000001</v>
      </c>
      <c r="E25" s="4">
        <v>3.4392100000000001</v>
      </c>
      <c r="F25" s="4">
        <v>15.495100000000001</v>
      </c>
    </row>
    <row r="26" spans="1:6" x14ac:dyDescent="0.35">
      <c r="A26">
        <v>25</v>
      </c>
      <c r="B26" s="4">
        <v>0.196655</v>
      </c>
      <c r="C26" s="4">
        <v>0.57678700000000005</v>
      </c>
      <c r="D26" s="4">
        <v>0.67262699999999997</v>
      </c>
      <c r="E26" s="4">
        <v>3.2616100000000001</v>
      </c>
      <c r="F26" s="4">
        <v>16.071899999999999</v>
      </c>
    </row>
    <row r="27" spans="1:6" x14ac:dyDescent="0.35">
      <c r="A27">
        <v>26</v>
      </c>
      <c r="B27" s="4">
        <v>0.40217599999999998</v>
      </c>
      <c r="C27" s="4">
        <v>0.53983499999999995</v>
      </c>
      <c r="D27" s="4">
        <v>0.73848999999999998</v>
      </c>
      <c r="E27" s="4">
        <v>3.3731399999999998</v>
      </c>
      <c r="F27" s="4">
        <v>16.611699999999999</v>
      </c>
    </row>
    <row r="28" spans="1:6" x14ac:dyDescent="0.35">
      <c r="A28">
        <v>27</v>
      </c>
      <c r="B28" s="4">
        <v>0.50553899999999996</v>
      </c>
      <c r="C28" s="4">
        <v>0.78706200000000004</v>
      </c>
      <c r="D28" s="4">
        <v>0.87478400000000001</v>
      </c>
      <c r="E28" s="4">
        <v>3.5190600000000001</v>
      </c>
      <c r="F28" s="4">
        <v>17.398800000000001</v>
      </c>
    </row>
    <row r="29" spans="1:6" x14ac:dyDescent="0.35">
      <c r="A29">
        <v>28</v>
      </c>
      <c r="B29" s="4">
        <v>0.61654699999999996</v>
      </c>
      <c r="C29" s="4">
        <v>0.97042399999999995</v>
      </c>
      <c r="D29" s="4">
        <v>1.0539400000000001</v>
      </c>
      <c r="E29" s="4">
        <v>3.7545199999999999</v>
      </c>
      <c r="F29" s="4">
        <v>18.369199999999999</v>
      </c>
    </row>
    <row r="30" spans="1:6" x14ac:dyDescent="0.35">
      <c r="A30">
        <v>29</v>
      </c>
      <c r="B30" s="4">
        <v>0.46691899999999997</v>
      </c>
      <c r="C30" s="4">
        <v>0.89850200000000002</v>
      </c>
      <c r="D30" s="4">
        <v>0.99388799999999999</v>
      </c>
      <c r="E30" s="4">
        <v>3.7988900000000001</v>
      </c>
      <c r="F30" s="4">
        <v>19.267700000000001</v>
      </c>
    </row>
    <row r="31" spans="1:6" x14ac:dyDescent="0.35">
      <c r="A31">
        <v>30</v>
      </c>
      <c r="B31" s="4">
        <v>0.61338800000000004</v>
      </c>
      <c r="C31" s="4">
        <v>0.94023100000000004</v>
      </c>
      <c r="D31" s="4">
        <v>1.11033</v>
      </c>
      <c r="E31" s="4">
        <v>4.0235200000000004</v>
      </c>
      <c r="F31" s="4">
        <v>20.207899999999999</v>
      </c>
    </row>
    <row r="32" spans="1:6" x14ac:dyDescent="0.35">
      <c r="A32">
        <v>31</v>
      </c>
      <c r="B32" s="4">
        <v>0.39295999999999998</v>
      </c>
      <c r="C32" s="4">
        <v>0.82233100000000003</v>
      </c>
      <c r="D32" s="4">
        <v>0.94812600000000002</v>
      </c>
      <c r="E32" s="4">
        <v>3.9691999999999998</v>
      </c>
      <c r="F32" s="4">
        <v>21.0303</v>
      </c>
    </row>
    <row r="33" spans="1:6" x14ac:dyDescent="0.35">
      <c r="A33">
        <v>32</v>
      </c>
      <c r="B33" s="4">
        <v>0.70535300000000001</v>
      </c>
      <c r="C33" s="4">
        <v>0.98042399999999996</v>
      </c>
      <c r="D33" s="4">
        <v>1.1794199999999999</v>
      </c>
      <c r="E33" s="4">
        <v>4.2885</v>
      </c>
      <c r="F33" s="4">
        <v>22.0107</v>
      </c>
    </row>
    <row r="34" spans="1:6" x14ac:dyDescent="0.35">
      <c r="A34">
        <v>33</v>
      </c>
      <c r="B34" s="4">
        <v>5.96924E-2</v>
      </c>
      <c r="C34" s="4">
        <v>0.55343900000000001</v>
      </c>
      <c r="D34" s="4">
        <v>0.64939999999999998</v>
      </c>
      <c r="E34" s="4">
        <v>3.85548</v>
      </c>
      <c r="F34" s="4">
        <v>22.5641</v>
      </c>
    </row>
    <row r="35" spans="1:6" x14ac:dyDescent="0.35">
      <c r="A35">
        <v>34</v>
      </c>
      <c r="B35" s="4">
        <v>0.31718400000000002</v>
      </c>
      <c r="C35" s="4">
        <v>0.35896899999999998</v>
      </c>
      <c r="D35" s="4">
        <v>0.64188500000000004</v>
      </c>
      <c r="E35" s="4">
        <v>3.8737200000000001</v>
      </c>
      <c r="F35" s="4">
        <v>22.923100000000002</v>
      </c>
    </row>
    <row r="36" spans="1:6" x14ac:dyDescent="0.35">
      <c r="A36">
        <v>35</v>
      </c>
      <c r="B36" s="4">
        <v>0.93118299999999998</v>
      </c>
      <c r="C36" s="4">
        <v>1.1532100000000001</v>
      </c>
      <c r="D36" s="4">
        <v>1.25213</v>
      </c>
      <c r="E36" s="4">
        <v>4.4138799999999998</v>
      </c>
      <c r="F36" s="4">
        <v>24.0763</v>
      </c>
    </row>
    <row r="37" spans="1:6" x14ac:dyDescent="0.35">
      <c r="A37">
        <v>36</v>
      </c>
      <c r="B37" s="4">
        <v>0.57911699999999999</v>
      </c>
      <c r="C37" s="4">
        <v>1.2309399999999999</v>
      </c>
      <c r="D37" s="4">
        <v>1.2051799999999999</v>
      </c>
      <c r="E37" s="4">
        <v>4.4435799999999999</v>
      </c>
      <c r="F37" s="4">
        <v>25.307300000000001</v>
      </c>
    </row>
    <row r="38" spans="1:6" x14ac:dyDescent="0.35">
      <c r="A38">
        <v>37</v>
      </c>
      <c r="B38" s="4">
        <v>0.30058299999999999</v>
      </c>
      <c r="C38" s="4">
        <v>0.70596499999999995</v>
      </c>
      <c r="D38" s="4">
        <v>0.903173</v>
      </c>
      <c r="E38" s="4">
        <v>4.2938599999999996</v>
      </c>
      <c r="F38" s="4">
        <v>26.013200000000001</v>
      </c>
    </row>
    <row r="39" spans="1:6" x14ac:dyDescent="0.35">
      <c r="A39">
        <v>38</v>
      </c>
      <c r="B39" s="4">
        <v>5.87921E-2</v>
      </c>
      <c r="C39" s="4">
        <v>0.26919999999999999</v>
      </c>
      <c r="D39" s="4">
        <v>0.510378</v>
      </c>
      <c r="E39" s="4">
        <v>3.9532099999999999</v>
      </c>
      <c r="F39" s="4">
        <v>26.282399999999999</v>
      </c>
    </row>
    <row r="40" spans="1:6" x14ac:dyDescent="0.35">
      <c r="A40">
        <v>39</v>
      </c>
      <c r="B40" s="4">
        <v>0.31303399999999998</v>
      </c>
      <c r="C40" s="4">
        <v>0.35418899999999998</v>
      </c>
      <c r="D40" s="4">
        <v>0.56822300000000003</v>
      </c>
      <c r="E40" s="4">
        <v>3.93906</v>
      </c>
      <c r="F40" s="4">
        <v>26.636600000000001</v>
      </c>
    </row>
    <row r="41" spans="1:6" x14ac:dyDescent="0.35">
      <c r="A41">
        <v>40</v>
      </c>
      <c r="B41" s="4">
        <v>0.41755700000000001</v>
      </c>
      <c r="C41" s="4">
        <v>0.63668100000000005</v>
      </c>
      <c r="D41" s="4">
        <v>0.70166799999999996</v>
      </c>
      <c r="E41" s="4">
        <v>3.9655399999999998</v>
      </c>
      <c r="F41" s="4">
        <v>27.273299999999999</v>
      </c>
    </row>
    <row r="42" spans="1:6" x14ac:dyDescent="0.35">
      <c r="A42">
        <v>41</v>
      </c>
      <c r="B42" s="4">
        <v>0.97019999999999995</v>
      </c>
      <c r="C42" s="4">
        <v>1.2624899999999999</v>
      </c>
      <c r="D42" s="4">
        <v>1.3210299999999999</v>
      </c>
      <c r="E42" s="4">
        <v>4.5338900000000004</v>
      </c>
      <c r="F42" s="4">
        <v>28.535799999999998</v>
      </c>
    </row>
    <row r="43" spans="1:6" x14ac:dyDescent="0.35">
      <c r="A43">
        <v>42</v>
      </c>
      <c r="B43" s="4">
        <v>0.207764</v>
      </c>
      <c r="C43" s="4">
        <v>0.886903</v>
      </c>
      <c r="D43" s="4">
        <v>0.86828099999999997</v>
      </c>
      <c r="E43" s="4">
        <v>4.1745900000000002</v>
      </c>
      <c r="F43" s="4">
        <v>29.422699999999999</v>
      </c>
    </row>
    <row r="44" spans="1:6" x14ac:dyDescent="0.35">
      <c r="A44">
        <v>43</v>
      </c>
      <c r="B44" s="4">
        <v>0.13600200000000001</v>
      </c>
      <c r="C44" s="4">
        <v>0.28143600000000002</v>
      </c>
      <c r="D44" s="4">
        <v>0.57014200000000004</v>
      </c>
      <c r="E44" s="4">
        <v>3.9649899999999998</v>
      </c>
      <c r="F44" s="4">
        <v>29.7041</v>
      </c>
    </row>
    <row r="45" spans="1:6" x14ac:dyDescent="0.35">
      <c r="A45">
        <v>44</v>
      </c>
      <c r="B45" s="4">
        <v>0.96398899999999998</v>
      </c>
      <c r="C45" s="4">
        <v>1.0591900000000001</v>
      </c>
      <c r="D45" s="4">
        <v>1.2490600000000001</v>
      </c>
      <c r="E45" s="4">
        <v>4.5743999999999998</v>
      </c>
      <c r="F45" s="4">
        <v>30.763300000000001</v>
      </c>
    </row>
    <row r="46" spans="1:6" x14ac:dyDescent="0.35">
      <c r="A46">
        <v>45</v>
      </c>
      <c r="B46" s="4">
        <v>0.96064799999999995</v>
      </c>
      <c r="C46" s="4">
        <v>1.63544</v>
      </c>
      <c r="D46" s="4">
        <v>1.58518</v>
      </c>
      <c r="E46" s="4">
        <v>4.95573</v>
      </c>
      <c r="F46" s="4">
        <v>32.398800000000001</v>
      </c>
    </row>
    <row r="47" spans="1:6" x14ac:dyDescent="0.35">
      <c r="A47">
        <v>46</v>
      </c>
      <c r="B47" s="4">
        <v>0.771011</v>
      </c>
      <c r="C47" s="4">
        <v>1.44346</v>
      </c>
      <c r="D47" s="4">
        <v>1.5636000000000001</v>
      </c>
      <c r="E47" s="4">
        <v>5.1548999999999996</v>
      </c>
      <c r="F47" s="4">
        <v>33.842199999999998</v>
      </c>
    </row>
    <row r="48" spans="1:6" x14ac:dyDescent="0.35">
      <c r="A48">
        <v>47</v>
      </c>
      <c r="B48" s="4">
        <v>0.40643299999999999</v>
      </c>
      <c r="C48" s="4">
        <v>0.94614100000000001</v>
      </c>
      <c r="D48" s="4">
        <v>1.1882299999999999</v>
      </c>
      <c r="E48" s="4">
        <v>5.0060099999999998</v>
      </c>
      <c r="F48" s="4">
        <v>34.788400000000003</v>
      </c>
    </row>
    <row r="49" spans="1:6" x14ac:dyDescent="0.35">
      <c r="A49">
        <v>48</v>
      </c>
      <c r="B49" s="4">
        <v>8.3175700000000005E-2</v>
      </c>
      <c r="C49" s="4">
        <v>0.36767899999999998</v>
      </c>
      <c r="D49" s="4">
        <v>0.67729200000000001</v>
      </c>
      <c r="E49" s="4">
        <v>4.61836</v>
      </c>
      <c r="F49" s="4">
        <v>35.155999999999999</v>
      </c>
    </row>
    <row r="50" spans="1:6" x14ac:dyDescent="0.35">
      <c r="A50">
        <v>49</v>
      </c>
      <c r="B50" s="4">
        <v>0.160187</v>
      </c>
      <c r="C50" s="4">
        <v>0.21840999999999999</v>
      </c>
      <c r="D50" s="4">
        <v>0.49883300000000003</v>
      </c>
      <c r="E50" s="4">
        <v>4.3942399999999999</v>
      </c>
      <c r="F50" s="4">
        <v>35.374499999999998</v>
      </c>
    </row>
    <row r="51" spans="1:6" x14ac:dyDescent="0.35">
      <c r="A51">
        <v>50</v>
      </c>
      <c r="B51" s="4">
        <v>0.328934</v>
      </c>
      <c r="C51" s="4">
        <v>0.44106400000000001</v>
      </c>
      <c r="D51" s="4">
        <v>0.57835000000000003</v>
      </c>
      <c r="E51" s="4">
        <v>4.3285799999999997</v>
      </c>
      <c r="F51" s="4">
        <v>35.8155</v>
      </c>
    </row>
    <row r="52" spans="1:6" x14ac:dyDescent="0.35">
      <c r="A52">
        <v>51</v>
      </c>
      <c r="B52" s="4">
        <v>0.50087000000000004</v>
      </c>
      <c r="C52" s="4">
        <v>0.73112299999999997</v>
      </c>
      <c r="D52" s="4">
        <v>0.790045</v>
      </c>
      <c r="E52" s="4">
        <v>4.4097200000000001</v>
      </c>
      <c r="F52" s="4">
        <v>36.546599999999998</v>
      </c>
    </row>
    <row r="53" spans="1:6" x14ac:dyDescent="0.35">
      <c r="A53">
        <v>52</v>
      </c>
      <c r="B53" s="4">
        <v>0.31446800000000003</v>
      </c>
      <c r="C53" s="4">
        <v>0.66507700000000003</v>
      </c>
      <c r="D53" s="4">
        <v>0.70949099999999998</v>
      </c>
      <c r="E53" s="4">
        <v>4.2669899999999998</v>
      </c>
      <c r="F53" s="4">
        <v>37.2117</v>
      </c>
    </row>
    <row r="54" spans="1:6" x14ac:dyDescent="0.35">
      <c r="A54">
        <v>53</v>
      </c>
      <c r="B54" s="4">
        <v>0.39263900000000002</v>
      </c>
      <c r="C54" s="4">
        <v>0.61276699999999995</v>
      </c>
      <c r="D54" s="4">
        <v>0.74738499999999997</v>
      </c>
      <c r="E54" s="4">
        <v>4.2614799999999997</v>
      </c>
      <c r="F54" s="4">
        <v>37.8245</v>
      </c>
    </row>
    <row r="55" spans="1:6" x14ac:dyDescent="0.35">
      <c r="A55">
        <v>54</v>
      </c>
      <c r="B55" s="4">
        <v>0.147339</v>
      </c>
      <c r="C55" s="4">
        <v>0.42218600000000001</v>
      </c>
      <c r="D55" s="4">
        <v>0.52103100000000002</v>
      </c>
      <c r="E55" s="4">
        <v>3.9837699999999998</v>
      </c>
      <c r="F55" s="4">
        <v>38.246699999999997</v>
      </c>
    </row>
    <row r="56" spans="1:6" x14ac:dyDescent="0.35">
      <c r="A56">
        <v>55</v>
      </c>
      <c r="B56" s="4">
        <v>0.39483600000000002</v>
      </c>
      <c r="C56" s="4">
        <v>0.49797400000000003</v>
      </c>
      <c r="D56" s="4">
        <v>0.65535200000000005</v>
      </c>
      <c r="E56" s="4">
        <v>4.0357700000000003</v>
      </c>
      <c r="F56" s="4">
        <v>38.744599999999998</v>
      </c>
    </row>
    <row r="57" spans="1:6" x14ac:dyDescent="0.35">
      <c r="A57">
        <v>56</v>
      </c>
      <c r="B57" s="4">
        <v>0.107941</v>
      </c>
      <c r="C57" s="4">
        <v>0.384326</v>
      </c>
      <c r="D57" s="4">
        <v>0.43561699999999998</v>
      </c>
      <c r="E57" s="4">
        <v>3.72973</v>
      </c>
      <c r="F57" s="4">
        <v>39.128999999999998</v>
      </c>
    </row>
    <row r="58" spans="1:6" x14ac:dyDescent="0.35">
      <c r="A58">
        <v>57</v>
      </c>
      <c r="B58" s="4">
        <v>0.201599</v>
      </c>
      <c r="C58" s="4">
        <v>0.27715800000000002</v>
      </c>
      <c r="D58" s="4">
        <v>0.41940699999999997</v>
      </c>
      <c r="E58" s="4">
        <v>3.61957</v>
      </c>
      <c r="F58" s="4">
        <v>39.406100000000002</v>
      </c>
    </row>
    <row r="59" spans="1:6" x14ac:dyDescent="0.35">
      <c r="A59">
        <v>58</v>
      </c>
      <c r="B59" s="4">
        <v>0.40118399999999999</v>
      </c>
      <c r="C59" s="4">
        <v>0.54230299999999998</v>
      </c>
      <c r="D59" s="4">
        <v>0.61088799999999999</v>
      </c>
      <c r="E59" s="4">
        <v>3.6808299999999998</v>
      </c>
      <c r="F59" s="4">
        <v>39.948399999999999</v>
      </c>
    </row>
    <row r="60" spans="1:6" x14ac:dyDescent="0.35">
      <c r="A60">
        <v>59</v>
      </c>
      <c r="B60" s="4">
        <v>0.93106100000000003</v>
      </c>
      <c r="C60" s="4">
        <v>1.2118899999999999</v>
      </c>
      <c r="D60" s="4">
        <v>1.2364999999999999</v>
      </c>
      <c r="E60" s="4">
        <v>4.2315500000000004</v>
      </c>
      <c r="F60" s="4">
        <v>41.160299999999999</v>
      </c>
    </row>
    <row r="61" spans="1:6" x14ac:dyDescent="0.35">
      <c r="A61">
        <v>60</v>
      </c>
      <c r="B61" s="4">
        <v>0.57188399999999995</v>
      </c>
      <c r="C61" s="4">
        <v>1.22363</v>
      </c>
      <c r="D61" s="4">
        <v>1.19014</v>
      </c>
      <c r="E61" s="4">
        <v>4.2701399999999996</v>
      </c>
      <c r="F61" s="4">
        <v>42.383899999999997</v>
      </c>
    </row>
    <row r="62" spans="1:6" x14ac:dyDescent="0.35">
      <c r="A62">
        <v>61</v>
      </c>
      <c r="B62" s="4">
        <v>0.672516</v>
      </c>
      <c r="C62" s="4">
        <v>1.07283</v>
      </c>
      <c r="D62" s="4">
        <v>1.2675799999999999</v>
      </c>
      <c r="E62" s="4">
        <v>4.5079200000000004</v>
      </c>
      <c r="F62" s="4">
        <v>43.456800000000001</v>
      </c>
    </row>
    <row r="63" spans="1:6" x14ac:dyDescent="0.35">
      <c r="A63">
        <v>62</v>
      </c>
      <c r="B63" s="4">
        <v>0.206207</v>
      </c>
      <c r="C63" s="4">
        <v>0.67696800000000001</v>
      </c>
      <c r="D63" s="4">
        <v>0.83999900000000005</v>
      </c>
      <c r="E63" s="4">
        <v>4.2157799999999996</v>
      </c>
      <c r="F63" s="4">
        <v>44.133800000000001</v>
      </c>
    </row>
    <row r="64" spans="1:6" x14ac:dyDescent="0.35">
      <c r="A64">
        <v>63</v>
      </c>
      <c r="B64" s="4">
        <v>0.85505699999999996</v>
      </c>
      <c r="C64" s="4">
        <v>0.99940200000000001</v>
      </c>
      <c r="D64" s="4">
        <v>1.2750600000000001</v>
      </c>
      <c r="E64" s="4">
        <v>4.7076900000000004</v>
      </c>
      <c r="F64" s="4">
        <v>45.133200000000002</v>
      </c>
    </row>
    <row r="65" spans="1:6" x14ac:dyDescent="0.35">
      <c r="A65">
        <v>64</v>
      </c>
      <c r="B65" s="4">
        <v>7.1411100000000005E-2</v>
      </c>
      <c r="C65" s="4">
        <v>0.66995099999999996</v>
      </c>
      <c r="D65" s="4">
        <v>0.70893899999999999</v>
      </c>
      <c r="E65" s="4">
        <v>4.2099500000000001</v>
      </c>
      <c r="F65" s="4">
        <v>45.803100000000001</v>
      </c>
    </row>
    <row r="66" spans="1:6" x14ac:dyDescent="0.35">
      <c r="A66">
        <v>65</v>
      </c>
      <c r="B66" s="4">
        <v>0.28871200000000002</v>
      </c>
      <c r="C66" s="4">
        <v>0.33869899999999997</v>
      </c>
      <c r="D66" s="4">
        <v>0.643181</v>
      </c>
      <c r="E66" s="4">
        <v>4.1772099999999996</v>
      </c>
      <c r="F66" s="4">
        <v>46.141800000000003</v>
      </c>
    </row>
    <row r="67" spans="1:6" x14ac:dyDescent="0.35">
      <c r="A67">
        <v>66</v>
      </c>
      <c r="B67" s="4">
        <v>0.62800599999999995</v>
      </c>
      <c r="C67" s="4">
        <v>0.83010399999999995</v>
      </c>
      <c r="D67" s="4">
        <v>0.94959700000000002</v>
      </c>
      <c r="E67" s="4">
        <v>4.3940400000000004</v>
      </c>
      <c r="F67" s="4">
        <v>46.971899999999998</v>
      </c>
    </row>
    <row r="68" spans="1:6" x14ac:dyDescent="0.35">
      <c r="A68">
        <v>67</v>
      </c>
      <c r="B68" s="4">
        <v>2.3208599999999999E-2</v>
      </c>
      <c r="C68" s="4">
        <v>0.46281299999999997</v>
      </c>
      <c r="D68" s="4">
        <v>0.49800699999999998</v>
      </c>
      <c r="E68" s="4">
        <v>3.9344800000000002</v>
      </c>
      <c r="F68" s="4">
        <v>47.434699999999999</v>
      </c>
    </row>
    <row r="69" spans="1:6" x14ac:dyDescent="0.35">
      <c r="A69">
        <v>68</v>
      </c>
      <c r="B69" s="4">
        <v>0.13549800000000001</v>
      </c>
      <c r="C69" s="4">
        <v>0.15174399999999999</v>
      </c>
      <c r="D69" s="4">
        <v>0.38450200000000001</v>
      </c>
      <c r="E69" s="4">
        <v>3.76844</v>
      </c>
      <c r="F69" s="4">
        <v>47.586500000000001</v>
      </c>
    </row>
    <row r="70" spans="1:6" x14ac:dyDescent="0.35">
      <c r="A70">
        <v>69</v>
      </c>
      <c r="B70" s="4">
        <v>0.33892800000000001</v>
      </c>
      <c r="C70" s="4">
        <v>0.43377700000000002</v>
      </c>
      <c r="D70" s="4">
        <v>0.53117899999999996</v>
      </c>
      <c r="E70" s="4">
        <v>3.7637399999999999</v>
      </c>
      <c r="F70" s="4">
        <v>48.020200000000003</v>
      </c>
    </row>
    <row r="71" spans="1:6" x14ac:dyDescent="0.35">
      <c r="A71">
        <v>70</v>
      </c>
      <c r="B71" s="4">
        <v>0.60969499999999999</v>
      </c>
      <c r="C71" s="4">
        <v>0.84694499999999995</v>
      </c>
      <c r="D71" s="4">
        <v>0.87528499999999998</v>
      </c>
      <c r="E71" s="4">
        <v>3.9980000000000002</v>
      </c>
      <c r="F71" s="4">
        <v>48.867199999999997</v>
      </c>
    </row>
    <row r="72" spans="1:6" x14ac:dyDescent="0.35">
      <c r="A72">
        <v>71</v>
      </c>
      <c r="B72" s="4">
        <v>0.170074</v>
      </c>
      <c r="C72" s="4">
        <v>0.59686099999999997</v>
      </c>
      <c r="D72" s="4">
        <v>0.60771699999999995</v>
      </c>
      <c r="E72" s="4">
        <v>3.7214200000000002</v>
      </c>
      <c r="F72" s="4">
        <v>49.463999999999999</v>
      </c>
    </row>
    <row r="73" spans="1:6" x14ac:dyDescent="0.35">
      <c r="A73">
        <v>72</v>
      </c>
      <c r="B73" s="4">
        <v>0.56990099999999999</v>
      </c>
      <c r="C73" s="4">
        <v>0.68895300000000004</v>
      </c>
      <c r="D73" s="4">
        <v>0.87375899999999995</v>
      </c>
      <c r="E73" s="4">
        <v>3.9744999999999999</v>
      </c>
      <c r="F73" s="4">
        <v>50.152999999999999</v>
      </c>
    </row>
    <row r="74" spans="1:6" x14ac:dyDescent="0.35">
      <c r="A74">
        <v>73</v>
      </c>
      <c r="B74" s="4">
        <v>0.41642800000000002</v>
      </c>
      <c r="C74" s="4">
        <v>0.81535800000000003</v>
      </c>
      <c r="D74" s="4">
        <v>0.85330700000000004</v>
      </c>
      <c r="E74" s="4">
        <v>3.94286</v>
      </c>
      <c r="F74" s="4">
        <v>50.968400000000003</v>
      </c>
    </row>
    <row r="75" spans="1:6" x14ac:dyDescent="0.35">
      <c r="A75">
        <v>74</v>
      </c>
      <c r="B75" s="4">
        <v>0.96992500000000004</v>
      </c>
      <c r="C75" s="4">
        <v>1.26142</v>
      </c>
      <c r="D75" s="4">
        <v>1.3965799999999999</v>
      </c>
      <c r="E75" s="4">
        <v>4.5248299999999997</v>
      </c>
      <c r="F75" s="4">
        <v>52.229799999999997</v>
      </c>
    </row>
    <row r="76" spans="1:6" x14ac:dyDescent="0.35">
      <c r="A76">
        <v>75</v>
      </c>
      <c r="B76" s="4">
        <v>0.76258899999999996</v>
      </c>
      <c r="C76" s="4">
        <v>1.44154</v>
      </c>
      <c r="D76" s="4">
        <v>1.46088</v>
      </c>
      <c r="E76" s="4">
        <v>4.71854</v>
      </c>
      <c r="F76" s="4">
        <v>53.671300000000002</v>
      </c>
    </row>
    <row r="77" spans="1:6" x14ac:dyDescent="0.35">
      <c r="A77">
        <v>76</v>
      </c>
      <c r="B77" s="4">
        <v>0.960785</v>
      </c>
      <c r="C77" s="4">
        <v>1.4945999999999999</v>
      </c>
      <c r="D77" s="4">
        <v>1.6912199999999999</v>
      </c>
      <c r="E77" s="4">
        <v>5.16873</v>
      </c>
      <c r="F77" s="4">
        <v>55.165900000000001</v>
      </c>
    </row>
    <row r="78" spans="1:6" x14ac:dyDescent="0.35">
      <c r="A78">
        <v>77</v>
      </c>
      <c r="B78" s="4">
        <v>3.11127E-2</v>
      </c>
      <c r="C78" s="4">
        <v>0.70366200000000001</v>
      </c>
      <c r="D78" s="4">
        <v>0.87672499999999998</v>
      </c>
      <c r="E78" s="4">
        <v>4.59293</v>
      </c>
      <c r="F78" s="4">
        <v>55.869599999999998</v>
      </c>
    </row>
    <row r="79" spans="1:6" x14ac:dyDescent="0.35">
      <c r="A79">
        <v>78</v>
      </c>
      <c r="B79" s="4">
        <v>0.151978</v>
      </c>
      <c r="C79" s="4">
        <v>0.17375599999999999</v>
      </c>
      <c r="D79" s="4">
        <v>0.59033999999999998</v>
      </c>
      <c r="E79" s="4">
        <v>4.4007699999999996</v>
      </c>
      <c r="F79" s="4">
        <v>56.043300000000002</v>
      </c>
    </row>
    <row r="80" spans="1:6" x14ac:dyDescent="0.35">
      <c r="A80">
        <v>79</v>
      </c>
      <c r="B80" s="4">
        <v>0.29933199999999999</v>
      </c>
      <c r="C80" s="4">
        <v>0.40571600000000002</v>
      </c>
      <c r="D80" s="4">
        <v>0.59450199999999997</v>
      </c>
      <c r="E80" s="4">
        <v>4.2984600000000004</v>
      </c>
      <c r="F80" s="4">
        <v>56.448999999999998</v>
      </c>
    </row>
    <row r="81" spans="1:6" x14ac:dyDescent="0.35">
      <c r="A81">
        <v>80</v>
      </c>
      <c r="B81" s="4">
        <v>6.2576300000000001E-2</v>
      </c>
      <c r="C81" s="4">
        <v>0.27210800000000002</v>
      </c>
      <c r="D81" s="4">
        <v>0.35982700000000001</v>
      </c>
      <c r="E81" s="4">
        <v>3.9516499999999999</v>
      </c>
      <c r="F81" s="4">
        <v>56.721200000000003</v>
      </c>
    </row>
    <row r="82" spans="1:6" x14ac:dyDescent="0.35">
      <c r="A82">
        <v>81</v>
      </c>
      <c r="B82" s="4">
        <v>0.91728200000000004</v>
      </c>
      <c r="C82" s="4">
        <v>0.961086</v>
      </c>
      <c r="D82" s="4">
        <v>1.0972</v>
      </c>
      <c r="E82" s="4">
        <v>4.5431299999999997</v>
      </c>
      <c r="F82" s="4">
        <v>57.682200000000002</v>
      </c>
    </row>
    <row r="83" spans="1:6" x14ac:dyDescent="0.35">
      <c r="A83">
        <v>82</v>
      </c>
      <c r="B83" s="4">
        <v>0.97262599999999999</v>
      </c>
      <c r="C83" s="4">
        <v>1.6147199999999999</v>
      </c>
      <c r="D83" s="4">
        <v>1.52122</v>
      </c>
      <c r="E83" s="4">
        <v>4.9431500000000002</v>
      </c>
      <c r="F83" s="4">
        <v>59.296999999999997</v>
      </c>
    </row>
    <row r="84" spans="1:6" x14ac:dyDescent="0.35">
      <c r="A84">
        <v>83</v>
      </c>
      <c r="B84" s="4">
        <v>0.95283499999999999</v>
      </c>
      <c r="C84" s="4">
        <v>1.63367</v>
      </c>
      <c r="D84" s="4">
        <v>1.7134499999999999</v>
      </c>
      <c r="E84" s="4">
        <v>5.3216599999999996</v>
      </c>
      <c r="F84" s="4">
        <v>60.930599999999998</v>
      </c>
    </row>
    <row r="85" spans="1:6" x14ac:dyDescent="0.35">
      <c r="A85">
        <v>84</v>
      </c>
      <c r="B85" s="4">
        <v>0.30329899999999999</v>
      </c>
      <c r="C85" s="4">
        <v>0.97028400000000004</v>
      </c>
      <c r="D85" s="4">
        <v>1.1600200000000001</v>
      </c>
      <c r="E85" s="4">
        <v>5.0170899999999996</v>
      </c>
      <c r="F85" s="4">
        <v>61.9009</v>
      </c>
    </row>
    <row r="86" spans="1:6" x14ac:dyDescent="0.35">
      <c r="A86">
        <v>85</v>
      </c>
      <c r="B86" s="4">
        <v>0.72199999999999998</v>
      </c>
      <c r="C86" s="4">
        <v>0.93430899999999995</v>
      </c>
      <c r="D86" s="4">
        <v>1.3020099999999999</v>
      </c>
      <c r="E86" s="4">
        <v>5.2983000000000002</v>
      </c>
      <c r="F86" s="4">
        <v>62.8352</v>
      </c>
    </row>
    <row r="87" spans="1:6" x14ac:dyDescent="0.35">
      <c r="A87">
        <v>86</v>
      </c>
      <c r="B87" s="4">
        <v>0.87870800000000004</v>
      </c>
      <c r="C87" s="4">
        <v>1.38411</v>
      </c>
      <c r="D87" s="4">
        <v>1.5297099999999999</v>
      </c>
      <c r="E87" s="4">
        <v>5.5909399999999998</v>
      </c>
      <c r="F87" s="4">
        <v>64.219300000000004</v>
      </c>
    </row>
    <row r="88" spans="1:6" x14ac:dyDescent="0.35">
      <c r="A88">
        <v>87</v>
      </c>
      <c r="B88" s="4">
        <v>0.60487400000000002</v>
      </c>
      <c r="C88" s="4">
        <v>1.21997</v>
      </c>
      <c r="D88" s="4">
        <v>1.3697299999999999</v>
      </c>
      <c r="E88" s="4">
        <v>5.5781900000000002</v>
      </c>
      <c r="F88" s="4">
        <v>65.439300000000003</v>
      </c>
    </row>
    <row r="89" spans="1:6" x14ac:dyDescent="0.35">
      <c r="A89">
        <v>88</v>
      </c>
      <c r="B89" s="4">
        <v>0.30035400000000001</v>
      </c>
      <c r="C89" s="4">
        <v>0.72376600000000002</v>
      </c>
      <c r="D89" s="4">
        <v>0.98521899999999996</v>
      </c>
      <c r="E89" s="4">
        <v>5.3232699999999999</v>
      </c>
      <c r="F89" s="4">
        <v>66.1631</v>
      </c>
    </row>
    <row r="90" spans="1:6" x14ac:dyDescent="0.35">
      <c r="A90">
        <v>89</v>
      </c>
      <c r="B90" s="4">
        <v>0.235764</v>
      </c>
      <c r="C90" s="4">
        <v>0.44601099999999999</v>
      </c>
      <c r="D90" s="4">
        <v>0.72837300000000005</v>
      </c>
      <c r="E90" s="4">
        <v>5.0776899999999996</v>
      </c>
      <c r="F90" s="4">
        <v>66.609099999999998</v>
      </c>
    </row>
    <row r="91" spans="1:6" x14ac:dyDescent="0.35">
      <c r="A91">
        <v>90</v>
      </c>
      <c r="B91" s="4">
        <v>0.73428300000000002</v>
      </c>
      <c r="C91" s="4">
        <v>0.89931799999999995</v>
      </c>
      <c r="D91" s="4">
        <v>1.0984700000000001</v>
      </c>
      <c r="E91" s="4">
        <v>5.3533200000000001</v>
      </c>
      <c r="F91" s="4">
        <v>67.508399999999995</v>
      </c>
    </row>
    <row r="92" spans="1:6" x14ac:dyDescent="0.35">
      <c r="A92">
        <v>91</v>
      </c>
      <c r="B92" s="4">
        <v>0.32977299999999998</v>
      </c>
      <c r="C92" s="4">
        <v>0.84377100000000005</v>
      </c>
      <c r="D92" s="4">
        <v>0.87900800000000001</v>
      </c>
      <c r="E92" s="4">
        <v>5.0926400000000003</v>
      </c>
      <c r="F92" s="4">
        <v>68.352199999999996</v>
      </c>
    </row>
    <row r="93" spans="1:6" x14ac:dyDescent="0.35">
      <c r="A93">
        <v>92</v>
      </c>
      <c r="B93" s="4">
        <v>0.55375700000000005</v>
      </c>
      <c r="C93" s="4">
        <v>0.78459800000000002</v>
      </c>
      <c r="D93" s="4">
        <v>0.99326099999999995</v>
      </c>
      <c r="E93" s="4">
        <v>5.1892699999999996</v>
      </c>
      <c r="F93" s="4">
        <v>69.136799999999994</v>
      </c>
    </row>
    <row r="94" spans="1:6" x14ac:dyDescent="0.35">
      <c r="A94">
        <v>93</v>
      </c>
      <c r="B94" s="4">
        <v>6.76422E-2</v>
      </c>
      <c r="C94" s="4">
        <v>0.45527200000000001</v>
      </c>
      <c r="D94" s="4">
        <v>0.56427300000000002</v>
      </c>
      <c r="E94" s="4">
        <v>4.7186599999999999</v>
      </c>
      <c r="F94" s="4">
        <v>69.591999999999999</v>
      </c>
    </row>
    <row r="95" spans="1:6" x14ac:dyDescent="0.35">
      <c r="A95">
        <v>94</v>
      </c>
      <c r="B95" s="4">
        <v>0.95266700000000004</v>
      </c>
      <c r="C95" s="4">
        <v>1.0000199999999999</v>
      </c>
      <c r="D95" s="4">
        <v>1.2347999999999999</v>
      </c>
      <c r="E95" s="4">
        <v>5.2935800000000004</v>
      </c>
      <c r="F95" s="4">
        <v>70.592100000000002</v>
      </c>
    </row>
    <row r="96" spans="1:6" x14ac:dyDescent="0.35">
      <c r="A96">
        <v>95</v>
      </c>
      <c r="B96" s="4">
        <v>0.60986300000000004</v>
      </c>
      <c r="C96" s="4">
        <v>1.2767299999999999</v>
      </c>
      <c r="D96" s="4">
        <v>1.2272700000000001</v>
      </c>
      <c r="E96" s="4">
        <v>5.2591000000000001</v>
      </c>
      <c r="F96" s="4">
        <v>71.868799999999993</v>
      </c>
    </row>
    <row r="97" spans="1:6" x14ac:dyDescent="0.35">
      <c r="A97">
        <v>96</v>
      </c>
      <c r="B97" s="4">
        <v>0.123749</v>
      </c>
      <c r="C97" s="4">
        <v>0.55065299999999995</v>
      </c>
      <c r="D97" s="4">
        <v>0.73738099999999995</v>
      </c>
      <c r="E97" s="4">
        <v>4.8638399999999997</v>
      </c>
      <c r="F97" s="4">
        <v>72.419399999999996</v>
      </c>
    </row>
    <row r="98" spans="1:6" x14ac:dyDescent="0.35">
      <c r="A98">
        <v>97</v>
      </c>
      <c r="B98" s="4">
        <v>6.2683100000000005E-2</v>
      </c>
      <c r="C98" s="4">
        <v>0.149307</v>
      </c>
      <c r="D98" s="4">
        <v>0.43137399999999998</v>
      </c>
      <c r="E98" s="4">
        <v>4.51919</v>
      </c>
      <c r="F98" s="4">
        <v>72.568799999999996</v>
      </c>
    </row>
    <row r="99" spans="1:6" x14ac:dyDescent="0.35">
      <c r="A99">
        <v>98</v>
      </c>
      <c r="B99" s="4">
        <v>0.62062099999999998</v>
      </c>
      <c r="C99" s="4">
        <v>0.66449899999999995</v>
      </c>
      <c r="D99" s="4">
        <v>0.83630800000000005</v>
      </c>
      <c r="E99" s="4">
        <v>4.7568200000000003</v>
      </c>
      <c r="F99" s="4">
        <v>73.2333</v>
      </c>
    </row>
    <row r="100" spans="1:6" x14ac:dyDescent="0.35">
      <c r="A100">
        <v>99</v>
      </c>
      <c r="B100" s="4">
        <v>0.98837299999999995</v>
      </c>
      <c r="C100" s="4">
        <v>1.4228099999999999</v>
      </c>
      <c r="D100" s="4">
        <v>1.4065300000000001</v>
      </c>
      <c r="E100" s="4">
        <v>5.2219800000000003</v>
      </c>
      <c r="F100" s="4">
        <v>74.656099999999995</v>
      </c>
    </row>
    <row r="101" spans="1:6" x14ac:dyDescent="0.35">
      <c r="A101">
        <v>100</v>
      </c>
      <c r="B101" s="4">
        <v>0.65075700000000003</v>
      </c>
      <c r="C101" s="4">
        <v>1.3426199999999999</v>
      </c>
      <c r="D101" s="4">
        <v>1.35402</v>
      </c>
      <c r="E101" s="4">
        <v>5.2575099999999999</v>
      </c>
      <c r="F101" s="4">
        <v>75.998699999999999</v>
      </c>
    </row>
    <row r="102" spans="1:6" x14ac:dyDescent="0.35">
      <c r="A102">
        <v>101</v>
      </c>
      <c r="B102" s="4">
        <v>0.37666300000000003</v>
      </c>
      <c r="C102" s="4">
        <v>0.83219299999999996</v>
      </c>
      <c r="D102" s="4">
        <v>1.0536700000000001</v>
      </c>
      <c r="E102" s="4">
        <v>5.1013200000000003</v>
      </c>
      <c r="F102" s="4">
        <v>76.8309</v>
      </c>
    </row>
    <row r="103" spans="1:6" x14ac:dyDescent="0.35">
      <c r="A103">
        <v>102</v>
      </c>
      <c r="B103" s="4">
        <v>0.71632399999999996</v>
      </c>
      <c r="C103" s="4">
        <v>0.97998799999999997</v>
      </c>
      <c r="D103" s="4">
        <v>1.24316</v>
      </c>
      <c r="E103" s="4">
        <v>5.3387500000000001</v>
      </c>
      <c r="F103" s="4">
        <v>77.810900000000004</v>
      </c>
    </row>
    <row r="104" spans="1:6" x14ac:dyDescent="0.35">
      <c r="A104">
        <v>103</v>
      </c>
      <c r="B104" s="4">
        <v>0.37498500000000001</v>
      </c>
      <c r="C104" s="4">
        <v>0.87641100000000005</v>
      </c>
      <c r="D104" s="4">
        <v>0.99656500000000003</v>
      </c>
      <c r="E104" s="4">
        <v>5.1323699999999999</v>
      </c>
      <c r="F104" s="4">
        <v>78.687299999999993</v>
      </c>
    </row>
    <row r="105" spans="1:6" x14ac:dyDescent="0.35">
      <c r="A105">
        <v>104</v>
      </c>
      <c r="B105" s="4">
        <v>0.44219999999999998</v>
      </c>
      <c r="C105" s="4">
        <v>0.70468900000000001</v>
      </c>
      <c r="D105" s="4">
        <v>0.94048200000000004</v>
      </c>
      <c r="E105" s="4">
        <v>5.1026100000000003</v>
      </c>
      <c r="F105" s="4">
        <v>79.391999999999996</v>
      </c>
    </row>
    <row r="106" spans="1:6" x14ac:dyDescent="0.35">
      <c r="A106">
        <v>105</v>
      </c>
      <c r="B106" s="4">
        <v>9.6206700000000006E-2</v>
      </c>
      <c r="C106" s="4">
        <v>0.405746</v>
      </c>
      <c r="D106" s="4">
        <v>0.56644799999999995</v>
      </c>
      <c r="E106" s="4">
        <v>4.6945100000000002</v>
      </c>
      <c r="F106" s="4">
        <v>79.797700000000006</v>
      </c>
    </row>
    <row r="107" spans="1:6" x14ac:dyDescent="0.35">
      <c r="A107">
        <v>106</v>
      </c>
      <c r="B107" s="4">
        <v>0.98483299999999996</v>
      </c>
      <c r="C107" s="4">
        <v>1.0521799999999999</v>
      </c>
      <c r="D107" s="4">
        <v>1.26806</v>
      </c>
      <c r="E107" s="4">
        <v>5.2915099999999997</v>
      </c>
      <c r="F107" s="4">
        <v>80.849900000000005</v>
      </c>
    </row>
    <row r="108" spans="1:6" x14ac:dyDescent="0.35">
      <c r="A108">
        <v>107</v>
      </c>
      <c r="B108" s="4">
        <v>0.23085</v>
      </c>
      <c r="C108" s="4">
        <v>0.92023299999999997</v>
      </c>
      <c r="D108" s="4">
        <v>0.86487899999999995</v>
      </c>
      <c r="E108" s="4">
        <v>4.8738099999999998</v>
      </c>
      <c r="F108" s="4">
        <v>81.770099999999999</v>
      </c>
    </row>
    <row r="109" spans="1:6" x14ac:dyDescent="0.35">
      <c r="A109">
        <v>108</v>
      </c>
      <c r="B109" s="4">
        <v>0.105423</v>
      </c>
      <c r="C109" s="4">
        <v>0.26701799999999998</v>
      </c>
      <c r="D109" s="4">
        <v>0.53786199999999995</v>
      </c>
      <c r="E109" s="4">
        <v>4.5753899999999996</v>
      </c>
      <c r="F109" s="4">
        <v>82.037099999999995</v>
      </c>
    </row>
    <row r="110" spans="1:6" x14ac:dyDescent="0.35">
      <c r="A110">
        <v>109</v>
      </c>
      <c r="B110" s="4">
        <v>0.85238599999999998</v>
      </c>
      <c r="C110" s="4">
        <v>0.92618299999999998</v>
      </c>
      <c r="D110" s="4">
        <v>1.1213200000000001</v>
      </c>
      <c r="E110" s="4">
        <v>5.0299199999999997</v>
      </c>
      <c r="F110" s="4">
        <v>82.963300000000004</v>
      </c>
    </row>
    <row r="111" spans="1:6" x14ac:dyDescent="0.35">
      <c r="A111">
        <v>110</v>
      </c>
      <c r="B111" s="4">
        <v>0.19653300000000001</v>
      </c>
      <c r="C111" s="4">
        <v>0.79320400000000002</v>
      </c>
      <c r="D111" s="4">
        <v>0.75719199999999998</v>
      </c>
      <c r="E111" s="4">
        <v>4.6325599999999998</v>
      </c>
      <c r="F111" s="4">
        <v>83.756500000000003</v>
      </c>
    </row>
    <row r="112" spans="1:6" x14ac:dyDescent="0.35">
      <c r="A112">
        <v>111</v>
      </c>
      <c r="B112" s="4">
        <v>0.26136799999999999</v>
      </c>
      <c r="C112" s="4">
        <v>0.39894099999999999</v>
      </c>
      <c r="D112" s="4">
        <v>0.63996399999999998</v>
      </c>
      <c r="E112" s="4">
        <v>4.5101399999999998</v>
      </c>
      <c r="F112" s="4">
        <v>84.155500000000004</v>
      </c>
    </row>
    <row r="113" spans="1:6" x14ac:dyDescent="0.35">
      <c r="A113">
        <v>112</v>
      </c>
      <c r="B113" s="4">
        <v>5.3573599999999999E-2</v>
      </c>
      <c r="C113" s="4">
        <v>0.23653099999999999</v>
      </c>
      <c r="D113" s="4">
        <v>0.373556</v>
      </c>
      <c r="E113" s="4">
        <v>4.1371799999999999</v>
      </c>
      <c r="F113" s="4">
        <v>84.391999999999996</v>
      </c>
    </row>
    <row r="114" spans="1:6" x14ac:dyDescent="0.35">
      <c r="A114">
        <v>113</v>
      </c>
      <c r="B114" s="4">
        <v>0.60353100000000004</v>
      </c>
      <c r="C114" s="4">
        <v>0.64103200000000005</v>
      </c>
      <c r="D114" s="4">
        <v>0.79030900000000004</v>
      </c>
      <c r="E114" s="4">
        <v>4.4015899999999997</v>
      </c>
      <c r="F114" s="4">
        <v>85.033000000000001</v>
      </c>
    </row>
    <row r="115" spans="1:6" x14ac:dyDescent="0.35">
      <c r="A115">
        <v>114</v>
      </c>
      <c r="B115" s="4">
        <v>0.68577600000000005</v>
      </c>
      <c r="C115" s="4">
        <v>1.10825</v>
      </c>
      <c r="D115" s="4">
        <v>1.0809299999999999</v>
      </c>
      <c r="E115" s="4">
        <v>4.5943199999999997</v>
      </c>
      <c r="F115" s="4">
        <v>86.141300000000001</v>
      </c>
    </row>
    <row r="116" spans="1:6" x14ac:dyDescent="0.35">
      <c r="A116">
        <v>115</v>
      </c>
      <c r="B116" s="4">
        <v>6.1569199999999998E-2</v>
      </c>
      <c r="C116" s="4">
        <v>0.54161199999999998</v>
      </c>
      <c r="D116" s="4">
        <v>0.60203399999999996</v>
      </c>
      <c r="E116" s="4">
        <v>4.1579100000000002</v>
      </c>
      <c r="F116" s="4">
        <v>86.682900000000004</v>
      </c>
    </row>
    <row r="117" spans="1:6" x14ac:dyDescent="0.35">
      <c r="A117">
        <v>116</v>
      </c>
      <c r="B117" s="4">
        <v>0.95401000000000002</v>
      </c>
      <c r="C117" s="4">
        <v>0.99710799999999999</v>
      </c>
      <c r="D117" s="4">
        <v>1.2550300000000001</v>
      </c>
      <c r="E117" s="4">
        <v>4.7834099999999999</v>
      </c>
      <c r="F117" s="4">
        <v>87.68</v>
      </c>
    </row>
    <row r="118" spans="1:6" x14ac:dyDescent="0.35">
      <c r="A118">
        <v>117</v>
      </c>
      <c r="B118" s="4">
        <v>0.26217699999999999</v>
      </c>
      <c r="C118" s="4">
        <v>0.92998400000000003</v>
      </c>
      <c r="D118" s="4">
        <v>0.88968999999999998</v>
      </c>
      <c r="E118" s="4">
        <v>4.4421499999999998</v>
      </c>
      <c r="F118" s="4">
        <v>88.61</v>
      </c>
    </row>
    <row r="119" spans="1:6" x14ac:dyDescent="0.35">
      <c r="A119">
        <v>118</v>
      </c>
      <c r="B119" s="4">
        <v>0.441635</v>
      </c>
      <c r="C119" s="4">
        <v>0.62515900000000002</v>
      </c>
      <c r="D119" s="4">
        <v>0.88648000000000005</v>
      </c>
      <c r="E119" s="4">
        <v>4.5078199999999997</v>
      </c>
      <c r="F119" s="4">
        <v>89.235100000000003</v>
      </c>
    </row>
    <row r="120" spans="1:6" x14ac:dyDescent="0.35">
      <c r="A120">
        <v>119</v>
      </c>
      <c r="B120" s="4">
        <v>0.61621099999999995</v>
      </c>
      <c r="C120" s="4">
        <v>0.92535599999999996</v>
      </c>
      <c r="D120" s="4">
        <v>1.05945</v>
      </c>
      <c r="E120" s="4">
        <v>4.66012</v>
      </c>
      <c r="F120" s="4">
        <v>90.160499999999999</v>
      </c>
    </row>
    <row r="121" spans="1:6" x14ac:dyDescent="0.35">
      <c r="A121">
        <v>120</v>
      </c>
      <c r="B121" s="4">
        <v>0.84051500000000001</v>
      </c>
      <c r="C121" s="4">
        <v>1.27186</v>
      </c>
      <c r="D121" s="4">
        <v>1.3702399999999999</v>
      </c>
      <c r="E121" s="4">
        <v>5.0041599999999997</v>
      </c>
      <c r="F121" s="4">
        <v>91.432400000000001</v>
      </c>
    </row>
    <row r="122" spans="1:6" x14ac:dyDescent="0.35">
      <c r="A122">
        <v>121</v>
      </c>
      <c r="B122" s="4">
        <v>0.57135000000000002</v>
      </c>
      <c r="C122" s="4">
        <v>1.15971</v>
      </c>
      <c r="D122" s="4">
        <v>1.25647</v>
      </c>
      <c r="E122" s="4">
        <v>5.0062899999999999</v>
      </c>
      <c r="F122" s="4">
        <v>92.592100000000002</v>
      </c>
    </row>
    <row r="123" spans="1:6" x14ac:dyDescent="0.35">
      <c r="A123">
        <v>122</v>
      </c>
      <c r="B123" s="4">
        <v>0.70442199999999999</v>
      </c>
      <c r="C123" s="4">
        <v>1.1043700000000001</v>
      </c>
      <c r="D123" s="4">
        <v>1.33266</v>
      </c>
      <c r="E123" s="4">
        <v>5.2096499999999999</v>
      </c>
      <c r="F123" s="4">
        <v>93.696399999999997</v>
      </c>
    </row>
    <row r="124" spans="1:6" x14ac:dyDescent="0.35">
      <c r="A124">
        <v>123</v>
      </c>
      <c r="B124" s="4">
        <v>0.29092400000000002</v>
      </c>
      <c r="C124" s="4">
        <v>0.78401900000000002</v>
      </c>
      <c r="D124" s="4">
        <v>0.95725300000000002</v>
      </c>
      <c r="E124" s="4">
        <v>4.9389399999999997</v>
      </c>
      <c r="F124" s="4">
        <v>94.480400000000003</v>
      </c>
    </row>
    <row r="125" spans="1:6" x14ac:dyDescent="0.35">
      <c r="A125">
        <v>124</v>
      </c>
      <c r="B125" s="4">
        <v>0.56164599999999998</v>
      </c>
      <c r="C125" s="4">
        <v>0.76529199999999997</v>
      </c>
      <c r="D125" s="4">
        <v>1.04027</v>
      </c>
      <c r="E125" s="4">
        <v>5.0608300000000002</v>
      </c>
      <c r="F125" s="4">
        <v>95.245699999999999</v>
      </c>
    </row>
    <row r="126" spans="1:6" x14ac:dyDescent="0.35">
      <c r="A126">
        <v>125</v>
      </c>
      <c r="B126" s="4">
        <v>0.68229700000000004</v>
      </c>
      <c r="C126" s="4">
        <v>1.07545</v>
      </c>
      <c r="D126" s="4">
        <v>1.2024300000000001</v>
      </c>
      <c r="E126" s="4">
        <v>5.2126700000000001</v>
      </c>
      <c r="F126" s="4">
        <v>96.321200000000005</v>
      </c>
    </row>
    <row r="127" spans="1:6" x14ac:dyDescent="0.35">
      <c r="A127">
        <v>126</v>
      </c>
      <c r="B127" s="4">
        <v>0.36840800000000001</v>
      </c>
      <c r="C127" s="4">
        <v>0.84601599999999999</v>
      </c>
      <c r="D127" s="4">
        <v>0.96962499999999996</v>
      </c>
      <c r="E127" s="4">
        <v>5.0294400000000001</v>
      </c>
      <c r="F127" s="4">
        <v>97.167199999999994</v>
      </c>
    </row>
    <row r="128" spans="1:6" x14ac:dyDescent="0.35">
      <c r="A128">
        <v>127</v>
      </c>
      <c r="B128" s="4">
        <v>1.8692E-2</v>
      </c>
      <c r="C128" s="4">
        <v>0.27657799999999999</v>
      </c>
      <c r="D128" s="4">
        <v>0.50350399999999995</v>
      </c>
      <c r="E128" s="4">
        <v>4.5818399999999997</v>
      </c>
      <c r="F128" s="4">
        <v>97.443799999999996</v>
      </c>
    </row>
    <row r="129" spans="1:6" x14ac:dyDescent="0.35">
      <c r="A129">
        <v>128</v>
      </c>
      <c r="B129" s="4">
        <v>0.39724700000000002</v>
      </c>
      <c r="C129" s="4">
        <v>0.41033199999999997</v>
      </c>
      <c r="D129" s="4">
        <v>0.64899899999999999</v>
      </c>
      <c r="E129" s="4">
        <v>4.6104200000000004</v>
      </c>
      <c r="F129" s="4">
        <v>97.854100000000003</v>
      </c>
    </row>
    <row r="130" spans="1:6" x14ac:dyDescent="0.35">
      <c r="A130">
        <v>129</v>
      </c>
      <c r="B130" s="4">
        <v>0.59713700000000003</v>
      </c>
      <c r="C130" s="4">
        <v>0.87521099999999996</v>
      </c>
      <c r="D130" s="4">
        <v>0.92163700000000004</v>
      </c>
      <c r="E130" s="4">
        <v>4.7408000000000001</v>
      </c>
      <c r="F130" s="4">
        <v>98.729299999999995</v>
      </c>
    </row>
    <row r="131" spans="1:6" x14ac:dyDescent="0.35">
      <c r="A131">
        <v>130</v>
      </c>
      <c r="B131" s="4">
        <v>0.13552900000000001</v>
      </c>
      <c r="C131" s="4">
        <v>0.55352500000000004</v>
      </c>
      <c r="D131" s="4">
        <v>0.59634699999999996</v>
      </c>
      <c r="E131" s="4">
        <v>4.3761700000000001</v>
      </c>
      <c r="F131" s="4">
        <v>99.282899999999998</v>
      </c>
    </row>
    <row r="132" spans="1:6" x14ac:dyDescent="0.35">
      <c r="A132">
        <v>131</v>
      </c>
      <c r="B132" s="4">
        <v>0.91000400000000004</v>
      </c>
      <c r="C132" s="4">
        <v>1.0048699999999999</v>
      </c>
      <c r="D132" s="4">
        <v>1.20818</v>
      </c>
      <c r="E132" s="4">
        <v>4.9214799999999999</v>
      </c>
      <c r="F132" s="4">
        <v>100.288</v>
      </c>
    </row>
    <row r="133" spans="1:6" x14ac:dyDescent="0.35">
      <c r="A133">
        <v>132</v>
      </c>
      <c r="B133" s="4">
        <v>0.65901200000000004</v>
      </c>
      <c r="C133" s="4">
        <v>1.2960100000000001</v>
      </c>
      <c r="D133" s="4">
        <v>1.2630999999999999</v>
      </c>
      <c r="E133" s="4">
        <v>4.9792899999999998</v>
      </c>
      <c r="F133" s="4">
        <v>101.584</v>
      </c>
    </row>
    <row r="134" spans="1:6" x14ac:dyDescent="0.35">
      <c r="A134">
        <v>133</v>
      </c>
      <c r="B134" s="4">
        <v>0.17923</v>
      </c>
      <c r="C134" s="4">
        <v>0.64053800000000005</v>
      </c>
      <c r="D134" s="4">
        <v>0.81077999999999995</v>
      </c>
      <c r="E134" s="4">
        <v>4.6490299999999998</v>
      </c>
      <c r="F134" s="4">
        <v>102.224</v>
      </c>
    </row>
    <row r="135" spans="1:6" x14ac:dyDescent="0.35">
      <c r="A135">
        <v>134</v>
      </c>
      <c r="B135" s="4">
        <v>0.35272199999999998</v>
      </c>
      <c r="C135" s="4">
        <v>0.47818300000000002</v>
      </c>
      <c r="D135" s="4">
        <v>0.75811200000000001</v>
      </c>
      <c r="E135" s="4">
        <v>4.6029</v>
      </c>
      <c r="F135" s="4">
        <v>102.702</v>
      </c>
    </row>
    <row r="136" spans="1:6" x14ac:dyDescent="0.35">
      <c r="A136">
        <v>135</v>
      </c>
      <c r="B136" s="4">
        <v>0.37620500000000001</v>
      </c>
      <c r="C136" s="4">
        <v>0.62311099999999997</v>
      </c>
      <c r="D136" s="4">
        <v>0.75526199999999999</v>
      </c>
      <c r="E136" s="4">
        <v>4.5280399999999998</v>
      </c>
      <c r="F136" s="4">
        <v>103.32599999999999</v>
      </c>
    </row>
    <row r="137" spans="1:6" x14ac:dyDescent="0.35">
      <c r="A137">
        <v>136</v>
      </c>
      <c r="B137" s="4">
        <v>0.98384099999999997</v>
      </c>
      <c r="C137" s="4">
        <v>1.24718</v>
      </c>
      <c r="D137" s="4">
        <v>1.36147</v>
      </c>
      <c r="E137" s="4">
        <v>5.0740499999999997</v>
      </c>
      <c r="F137" s="4">
        <v>104.57299999999999</v>
      </c>
    </row>
    <row r="138" spans="1:6" x14ac:dyDescent="0.35">
      <c r="A138">
        <v>137</v>
      </c>
      <c r="B138" s="4">
        <v>0.51414499999999996</v>
      </c>
      <c r="C138" s="4">
        <v>1.2028300000000001</v>
      </c>
      <c r="D138" s="4">
        <v>1.1948799999999999</v>
      </c>
      <c r="E138" s="4">
        <v>4.97159</v>
      </c>
      <c r="F138" s="4">
        <v>105.776</v>
      </c>
    </row>
    <row r="139" spans="1:6" x14ac:dyDescent="0.35">
      <c r="A139">
        <v>138</v>
      </c>
      <c r="B139" s="4">
        <v>0.36144999999999999</v>
      </c>
      <c r="C139" s="4">
        <v>0.72135199999999999</v>
      </c>
      <c r="D139" s="4">
        <v>0.95889100000000005</v>
      </c>
      <c r="E139" s="4">
        <v>4.8563700000000001</v>
      </c>
      <c r="F139" s="4">
        <v>106.497</v>
      </c>
    </row>
    <row r="140" spans="1:6" x14ac:dyDescent="0.35">
      <c r="A140">
        <v>139</v>
      </c>
      <c r="B140" s="4">
        <v>0.93125899999999995</v>
      </c>
      <c r="C140" s="4">
        <v>1.1842699999999999</v>
      </c>
      <c r="D140" s="4">
        <v>1.4107000000000001</v>
      </c>
      <c r="E140" s="4">
        <v>5.3250400000000004</v>
      </c>
      <c r="F140" s="4">
        <v>107.681</v>
      </c>
    </row>
    <row r="141" spans="1:6" x14ac:dyDescent="0.35">
      <c r="A141">
        <v>140</v>
      </c>
      <c r="B141" s="4">
        <v>0.82319600000000004</v>
      </c>
      <c r="C141" s="4">
        <v>1.4750799999999999</v>
      </c>
      <c r="D141" s="4">
        <v>1.5285500000000001</v>
      </c>
      <c r="E141" s="4">
        <v>5.5220000000000002</v>
      </c>
      <c r="F141" s="4">
        <v>109.15600000000001</v>
      </c>
    </row>
    <row r="142" spans="1:6" x14ac:dyDescent="0.35">
      <c r="A142">
        <v>141</v>
      </c>
      <c r="B142" s="4">
        <v>0.678925</v>
      </c>
      <c r="C142" s="4">
        <v>1.2551600000000001</v>
      </c>
      <c r="D142" s="4">
        <v>1.4432</v>
      </c>
      <c r="E142" s="4">
        <v>5.6093299999999999</v>
      </c>
      <c r="F142" s="4">
        <v>110.411</v>
      </c>
    </row>
    <row r="143" spans="1:6" x14ac:dyDescent="0.35">
      <c r="A143">
        <v>142</v>
      </c>
      <c r="B143" s="4">
        <v>0.83641100000000002</v>
      </c>
      <c r="C143" s="4">
        <v>1.31166</v>
      </c>
      <c r="D143" s="4">
        <v>1.5580099999999999</v>
      </c>
      <c r="E143" s="4">
        <v>5.8673400000000004</v>
      </c>
      <c r="F143" s="4">
        <v>111.723</v>
      </c>
    </row>
    <row r="144" spans="1:6" x14ac:dyDescent="0.35">
      <c r="A144">
        <v>143</v>
      </c>
      <c r="B144" s="4">
        <v>0.79666099999999995</v>
      </c>
      <c r="C144" s="4">
        <v>1.38215</v>
      </c>
      <c r="D144" s="4">
        <v>1.5756699999999999</v>
      </c>
      <c r="E144" s="4">
        <v>6.0256600000000002</v>
      </c>
      <c r="F144" s="4">
        <v>113.105</v>
      </c>
    </row>
    <row r="145" spans="1:6" x14ac:dyDescent="0.35">
      <c r="A145">
        <v>144</v>
      </c>
      <c r="B145" s="4">
        <v>0.630386</v>
      </c>
      <c r="C145" s="4">
        <v>1.1880500000000001</v>
      </c>
      <c r="D145" s="4">
        <v>1.41822</v>
      </c>
      <c r="E145" s="4">
        <v>6.02182</v>
      </c>
      <c r="F145" s="4">
        <v>114.29300000000001</v>
      </c>
    </row>
    <row r="146" spans="1:6" x14ac:dyDescent="0.35">
      <c r="A146">
        <v>145</v>
      </c>
      <c r="B146" s="4">
        <v>0.94140599999999997</v>
      </c>
      <c r="C146" s="4">
        <v>1.3826799999999999</v>
      </c>
      <c r="D146" s="4">
        <v>1.65052</v>
      </c>
      <c r="E146" s="4">
        <v>6.3618100000000002</v>
      </c>
      <c r="F146" s="4">
        <v>115.676</v>
      </c>
    </row>
    <row r="147" spans="1:6" x14ac:dyDescent="0.35">
      <c r="A147">
        <v>146</v>
      </c>
      <c r="B147" s="4">
        <v>0.46701100000000001</v>
      </c>
      <c r="C147" s="4">
        <v>1.12599</v>
      </c>
      <c r="D147" s="4">
        <v>1.29227</v>
      </c>
      <c r="E147" s="4">
        <v>6.1246400000000003</v>
      </c>
      <c r="F147" s="4">
        <v>116.80200000000001</v>
      </c>
    </row>
    <row r="148" spans="1:6" x14ac:dyDescent="0.35">
      <c r="A148">
        <v>147</v>
      </c>
      <c r="B148" s="4">
        <v>0.15026900000000001</v>
      </c>
      <c r="C148" s="4">
        <v>0.47717599999999999</v>
      </c>
      <c r="D148" s="4">
        <v>0.79640299999999997</v>
      </c>
      <c r="E148" s="4">
        <v>5.7098800000000001</v>
      </c>
      <c r="F148" s="4">
        <v>117.279</v>
      </c>
    </row>
    <row r="149" spans="1:6" x14ac:dyDescent="0.35">
      <c r="A149">
        <v>148</v>
      </c>
      <c r="B149" s="4">
        <v>0.59996000000000005</v>
      </c>
      <c r="C149" s="4">
        <v>0.705148</v>
      </c>
      <c r="D149" s="4">
        <v>0.99816199999999999</v>
      </c>
      <c r="E149" s="4">
        <v>5.8218100000000002</v>
      </c>
      <c r="F149" s="4">
        <v>117.98399999999999</v>
      </c>
    </row>
    <row r="150" spans="1:6" x14ac:dyDescent="0.35">
      <c r="A150">
        <v>149</v>
      </c>
      <c r="B150" s="4">
        <v>0.67808500000000005</v>
      </c>
      <c r="C150" s="4">
        <v>1.09806</v>
      </c>
      <c r="D150" s="4">
        <v>1.17717</v>
      </c>
      <c r="E150" s="4">
        <v>5.8953300000000004</v>
      </c>
      <c r="F150" s="4">
        <v>119.08199999999999</v>
      </c>
    </row>
    <row r="151" spans="1:6" x14ac:dyDescent="0.35">
      <c r="A151">
        <v>150</v>
      </c>
      <c r="B151" s="4">
        <v>0.64474500000000001</v>
      </c>
      <c r="C151" s="4">
        <v>1.1194</v>
      </c>
      <c r="D151" s="4">
        <v>1.23333</v>
      </c>
      <c r="E151" s="4">
        <v>5.9358300000000002</v>
      </c>
      <c r="F151" s="4">
        <v>120.202</v>
      </c>
    </row>
    <row r="152" spans="1:6" x14ac:dyDescent="0.35">
      <c r="A152">
        <v>151</v>
      </c>
      <c r="B152" s="4">
        <v>0.352356</v>
      </c>
      <c r="C152" s="4">
        <v>0.80367699999999997</v>
      </c>
      <c r="D152" s="4">
        <v>0.96901999999999999</v>
      </c>
      <c r="E152" s="4">
        <v>5.6865100000000002</v>
      </c>
      <c r="F152" s="4">
        <v>121.005</v>
      </c>
    </row>
    <row r="153" spans="1:6" x14ac:dyDescent="0.35">
      <c r="A153">
        <v>152</v>
      </c>
      <c r="B153" s="4">
        <v>0.16555800000000001</v>
      </c>
      <c r="C153" s="4">
        <v>0.41220699999999999</v>
      </c>
      <c r="D153" s="4">
        <v>0.65006799999999998</v>
      </c>
      <c r="E153" s="4">
        <v>5.3332800000000002</v>
      </c>
      <c r="F153" s="4">
        <v>121.41800000000001</v>
      </c>
    </row>
    <row r="154" spans="1:6" x14ac:dyDescent="0.35">
      <c r="A154">
        <v>153</v>
      </c>
      <c r="B154" s="4">
        <v>0.777451</v>
      </c>
      <c r="C154" s="4">
        <v>0.89334100000000005</v>
      </c>
      <c r="D154" s="4">
        <v>1.1024799999999999</v>
      </c>
      <c r="E154" s="4">
        <v>5.6480499999999996</v>
      </c>
      <c r="F154" s="4">
        <v>122.31100000000001</v>
      </c>
    </row>
    <row r="155" spans="1:6" x14ac:dyDescent="0.35">
      <c r="A155">
        <v>154</v>
      </c>
      <c r="B155" s="4">
        <v>0.64390599999999998</v>
      </c>
      <c r="C155" s="4">
        <v>1.1881200000000001</v>
      </c>
      <c r="D155" s="4">
        <v>1.1951499999999999</v>
      </c>
      <c r="E155" s="4">
        <v>5.6641899999999996</v>
      </c>
      <c r="F155" s="4">
        <v>123.499</v>
      </c>
    </row>
    <row r="156" spans="1:6" x14ac:dyDescent="0.35">
      <c r="A156">
        <v>155</v>
      </c>
      <c r="B156" s="4">
        <v>0.17330899999999999</v>
      </c>
      <c r="C156" s="4">
        <v>0.62404300000000001</v>
      </c>
      <c r="D156" s="4">
        <v>0.77088299999999998</v>
      </c>
      <c r="E156" s="4">
        <v>5.2678500000000001</v>
      </c>
      <c r="F156" s="4">
        <v>124.123</v>
      </c>
    </row>
    <row r="157" spans="1:6" x14ac:dyDescent="0.35">
      <c r="A157">
        <v>156</v>
      </c>
      <c r="B157" s="4">
        <v>0.89170799999999995</v>
      </c>
      <c r="C157" s="4">
        <v>1.01302</v>
      </c>
      <c r="D157" s="4">
        <v>1.27715</v>
      </c>
      <c r="E157" s="4">
        <v>5.7120499999999996</v>
      </c>
      <c r="F157" s="4">
        <v>125.136</v>
      </c>
    </row>
    <row r="158" spans="1:6" x14ac:dyDescent="0.35">
      <c r="A158">
        <v>157</v>
      </c>
      <c r="B158" s="4">
        <v>0.104019</v>
      </c>
      <c r="C158" s="4">
        <v>0.72821499999999995</v>
      </c>
      <c r="D158" s="4">
        <v>0.74259399999999998</v>
      </c>
      <c r="E158" s="4">
        <v>5.1560199999999998</v>
      </c>
      <c r="F158" s="4">
        <v>125.864</v>
      </c>
    </row>
    <row r="159" spans="1:6" x14ac:dyDescent="0.35">
      <c r="A159">
        <v>158</v>
      </c>
      <c r="B159" s="4">
        <v>0.28259299999999998</v>
      </c>
      <c r="C159" s="4">
        <v>0.355406</v>
      </c>
      <c r="D159" s="4">
        <v>0.65388999999999997</v>
      </c>
      <c r="E159" s="4">
        <v>5.0342200000000004</v>
      </c>
      <c r="F159" s="4">
        <v>126.22</v>
      </c>
    </row>
    <row r="160" spans="1:6" x14ac:dyDescent="0.35">
      <c r="A160">
        <v>159</v>
      </c>
      <c r="B160" s="4">
        <v>0.70375100000000002</v>
      </c>
      <c r="C160" s="4">
        <v>0.90156599999999998</v>
      </c>
      <c r="D160" s="4">
        <v>1.0306999999999999</v>
      </c>
      <c r="E160" s="4">
        <v>5.2589100000000002</v>
      </c>
      <c r="F160" s="4">
        <v>127.121</v>
      </c>
    </row>
    <row r="161" spans="1:6" x14ac:dyDescent="0.35">
      <c r="A161">
        <v>160</v>
      </c>
      <c r="B161" s="4">
        <v>9.5916699999999994E-2</v>
      </c>
      <c r="C161" s="4">
        <v>0.58854200000000001</v>
      </c>
      <c r="D161" s="4">
        <v>0.61126499999999995</v>
      </c>
      <c r="E161" s="4">
        <v>4.7839900000000002</v>
      </c>
      <c r="F161" s="4">
        <v>127.71</v>
      </c>
    </row>
    <row r="162" spans="1:6" x14ac:dyDescent="0.35">
      <c r="A162">
        <v>161</v>
      </c>
      <c r="B162" s="4">
        <v>0.27873199999999998</v>
      </c>
      <c r="C162" s="4">
        <v>0.34587400000000001</v>
      </c>
      <c r="D162" s="4">
        <v>0.58436500000000002</v>
      </c>
      <c r="E162" s="4">
        <v>4.6793100000000001</v>
      </c>
      <c r="F162" s="4">
        <v>128.05600000000001</v>
      </c>
    </row>
    <row r="163" spans="1:6" x14ac:dyDescent="0.35">
      <c r="A163">
        <v>162</v>
      </c>
      <c r="B163" s="4">
        <v>0.71731599999999995</v>
      </c>
      <c r="C163" s="4">
        <v>0.91242800000000002</v>
      </c>
      <c r="D163" s="4">
        <v>1.0095000000000001</v>
      </c>
      <c r="E163" s="4">
        <v>4.94963</v>
      </c>
      <c r="F163" s="4">
        <v>128.96799999999999</v>
      </c>
    </row>
    <row r="164" spans="1:6" x14ac:dyDescent="0.35">
      <c r="A164">
        <v>163</v>
      </c>
      <c r="B164" s="4">
        <v>4.6707199999999997E-2</v>
      </c>
      <c r="C164" s="4">
        <v>0.54882799999999998</v>
      </c>
      <c r="D164" s="4">
        <v>0.55145599999999995</v>
      </c>
      <c r="E164" s="4">
        <v>4.4473099999999999</v>
      </c>
      <c r="F164" s="4">
        <v>129.517</v>
      </c>
    </row>
    <row r="165" spans="1:6" x14ac:dyDescent="0.35">
      <c r="A165">
        <v>164</v>
      </c>
      <c r="B165" s="4">
        <v>0.106964</v>
      </c>
      <c r="C165" s="4">
        <v>0.13965900000000001</v>
      </c>
      <c r="D165" s="4">
        <v>0.38269199999999998</v>
      </c>
      <c r="E165" s="4">
        <v>4.2100099999999996</v>
      </c>
      <c r="F165" s="4">
        <v>129.65700000000001</v>
      </c>
    </row>
    <row r="166" spans="1:6" x14ac:dyDescent="0.35">
      <c r="A166">
        <v>165</v>
      </c>
      <c r="B166" s="4">
        <v>0.79794299999999996</v>
      </c>
      <c r="C166" s="4">
        <v>0.87281799999999998</v>
      </c>
      <c r="D166" s="4">
        <v>0.98928899999999997</v>
      </c>
      <c r="E166" s="4">
        <v>4.6344099999999999</v>
      </c>
      <c r="F166" s="4">
        <v>130.53</v>
      </c>
    </row>
    <row r="167" spans="1:6" x14ac:dyDescent="0.35">
      <c r="A167">
        <v>166</v>
      </c>
      <c r="B167" s="4">
        <v>3.7200900000000002E-2</v>
      </c>
      <c r="C167" s="4">
        <v>0.59576099999999999</v>
      </c>
      <c r="D167" s="4">
        <v>0.53184600000000004</v>
      </c>
      <c r="E167" s="4">
        <v>4.1232899999999999</v>
      </c>
      <c r="F167" s="4">
        <v>131.125</v>
      </c>
    </row>
    <row r="168" spans="1:6" x14ac:dyDescent="0.35">
      <c r="A168">
        <v>167</v>
      </c>
      <c r="B168" s="4">
        <v>0.46722399999999997</v>
      </c>
      <c r="C168" s="4">
        <v>0.49326500000000001</v>
      </c>
      <c r="D168" s="4">
        <v>0.73314699999999999</v>
      </c>
      <c r="E168" s="4">
        <v>4.2804099999999998</v>
      </c>
      <c r="F168" s="4">
        <v>131.619</v>
      </c>
    </row>
    <row r="169" spans="1:6" x14ac:dyDescent="0.35">
      <c r="A169">
        <v>168</v>
      </c>
      <c r="B169" s="4">
        <v>0.74517800000000001</v>
      </c>
      <c r="C169" s="4">
        <v>1.0722400000000001</v>
      </c>
      <c r="D169" s="4">
        <v>1.11175</v>
      </c>
      <c r="E169" s="4">
        <v>4.5661199999999997</v>
      </c>
      <c r="F169" s="4">
        <v>132.691</v>
      </c>
    </row>
    <row r="170" spans="1:6" x14ac:dyDescent="0.35">
      <c r="A170">
        <v>169</v>
      </c>
      <c r="B170" s="4">
        <v>0.24679599999999999</v>
      </c>
      <c r="C170" s="4">
        <v>0.76841999999999999</v>
      </c>
      <c r="D170" s="4">
        <v>0.80267100000000002</v>
      </c>
      <c r="E170" s="4">
        <v>4.2991599999999996</v>
      </c>
      <c r="F170" s="4">
        <v>133.459</v>
      </c>
    </row>
    <row r="171" spans="1:6" x14ac:dyDescent="0.35">
      <c r="A171">
        <v>170</v>
      </c>
      <c r="B171" s="4">
        <v>0.137543</v>
      </c>
      <c r="C171" s="4">
        <v>0.31030000000000002</v>
      </c>
      <c r="D171" s="4">
        <v>0.53887799999999997</v>
      </c>
      <c r="E171" s="4">
        <v>4.0601799999999999</v>
      </c>
      <c r="F171" s="4">
        <v>133.77000000000001</v>
      </c>
    </row>
    <row r="172" spans="1:6" x14ac:dyDescent="0.35">
      <c r="A172">
        <v>171</v>
      </c>
      <c r="B172" s="4">
        <v>0.78579699999999997</v>
      </c>
      <c r="C172" s="4">
        <v>0.882077</v>
      </c>
      <c r="D172" s="4">
        <v>1.05524</v>
      </c>
      <c r="E172" s="4">
        <v>4.4877599999999997</v>
      </c>
      <c r="F172" s="4">
        <v>134.65199999999999</v>
      </c>
    </row>
    <row r="173" spans="1:6" x14ac:dyDescent="0.35">
      <c r="A173">
        <v>172</v>
      </c>
      <c r="B173" s="4">
        <v>0.92581199999999997</v>
      </c>
      <c r="C173" s="4">
        <v>1.47587</v>
      </c>
      <c r="D173" s="4">
        <v>1.45343</v>
      </c>
      <c r="E173" s="4">
        <v>4.8792799999999996</v>
      </c>
      <c r="F173" s="4">
        <v>136.12700000000001</v>
      </c>
    </row>
    <row r="174" spans="1:6" x14ac:dyDescent="0.35">
      <c r="A174">
        <v>173</v>
      </c>
      <c r="B174" s="4">
        <v>0.34550500000000001</v>
      </c>
      <c r="C174" s="4">
        <v>0.99357300000000004</v>
      </c>
      <c r="D174" s="4">
        <v>1.07222</v>
      </c>
      <c r="E174" s="4">
        <v>4.65855</v>
      </c>
      <c r="F174" s="4">
        <v>137.12100000000001</v>
      </c>
    </row>
    <row r="175" spans="1:6" x14ac:dyDescent="0.35">
      <c r="A175">
        <v>174</v>
      </c>
      <c r="B175" s="4">
        <v>0.92215000000000003</v>
      </c>
      <c r="C175" s="4">
        <v>1.1639999999999999</v>
      </c>
      <c r="D175" s="4">
        <v>1.4582599999999999</v>
      </c>
      <c r="E175" s="4">
        <v>5.1589900000000002</v>
      </c>
      <c r="F175" s="4">
        <v>138.285</v>
      </c>
    </row>
    <row r="176" spans="1:6" x14ac:dyDescent="0.35">
      <c r="A176">
        <v>175</v>
      </c>
      <c r="B176" s="4">
        <v>0.61090100000000003</v>
      </c>
      <c r="C176" s="4">
        <v>1.25641</v>
      </c>
      <c r="D176" s="4">
        <v>1.3400300000000001</v>
      </c>
      <c r="E176" s="4">
        <v>5.1539000000000001</v>
      </c>
      <c r="F176" s="4">
        <v>139.541</v>
      </c>
    </row>
    <row r="177" spans="1:6" x14ac:dyDescent="0.35">
      <c r="A177">
        <v>176</v>
      </c>
      <c r="B177" s="4">
        <v>0.42929099999999998</v>
      </c>
      <c r="C177" s="4">
        <v>0.85692100000000004</v>
      </c>
      <c r="D177" s="4">
        <v>1.09931</v>
      </c>
      <c r="E177" s="4">
        <v>5.0688199999999997</v>
      </c>
      <c r="F177" s="4">
        <v>140.398</v>
      </c>
    </row>
    <row r="178" spans="1:6" x14ac:dyDescent="0.35">
      <c r="A178">
        <v>177</v>
      </c>
      <c r="B178" s="4">
        <v>0.18368499999999999</v>
      </c>
      <c r="C178" s="4">
        <v>0.48418899999999998</v>
      </c>
      <c r="D178" s="4">
        <v>0.73333800000000005</v>
      </c>
      <c r="E178" s="4">
        <v>4.7626400000000002</v>
      </c>
      <c r="F178" s="4">
        <v>140.88300000000001</v>
      </c>
    </row>
    <row r="179" spans="1:6" x14ac:dyDescent="0.35">
      <c r="A179">
        <v>178</v>
      </c>
      <c r="B179" s="4">
        <v>0.26377899999999999</v>
      </c>
      <c r="C179" s="4">
        <v>0.39235799999999998</v>
      </c>
      <c r="D179" s="4">
        <v>0.63044800000000001</v>
      </c>
      <c r="E179" s="4">
        <v>4.6113900000000001</v>
      </c>
      <c r="F179" s="4">
        <v>141.27500000000001</v>
      </c>
    </row>
    <row r="180" spans="1:6" x14ac:dyDescent="0.35">
      <c r="A180">
        <v>179</v>
      </c>
      <c r="B180" s="4">
        <v>0.36302200000000001</v>
      </c>
      <c r="C180" s="4">
        <v>0.54766700000000001</v>
      </c>
      <c r="D180" s="4">
        <v>0.67824600000000002</v>
      </c>
      <c r="E180" s="4">
        <v>4.54352</v>
      </c>
      <c r="F180" s="4">
        <v>141.82300000000001</v>
      </c>
    </row>
    <row r="181" spans="1:6" x14ac:dyDescent="0.35">
      <c r="A181">
        <v>180</v>
      </c>
      <c r="B181" s="4">
        <v>0.50907899999999995</v>
      </c>
      <c r="C181" s="4">
        <v>0.76319400000000004</v>
      </c>
      <c r="D181" s="4">
        <v>0.84820200000000001</v>
      </c>
      <c r="E181" s="4">
        <v>4.6118199999999998</v>
      </c>
      <c r="F181" s="4">
        <v>142.58600000000001</v>
      </c>
    </row>
    <row r="182" spans="1:6" x14ac:dyDescent="0.35">
      <c r="A182">
        <v>181</v>
      </c>
      <c r="B182" s="4">
        <v>0.20716899999999999</v>
      </c>
      <c r="C182" s="4">
        <v>0.56352400000000002</v>
      </c>
      <c r="D182" s="4">
        <v>0.63127</v>
      </c>
      <c r="E182" s="4">
        <v>4.34415</v>
      </c>
      <c r="F182" s="4">
        <v>143.149</v>
      </c>
    </row>
    <row r="183" spans="1:6" x14ac:dyDescent="0.35">
      <c r="A183">
        <v>182</v>
      </c>
      <c r="B183" s="4">
        <v>0.971939</v>
      </c>
      <c r="C183" s="4">
        <v>1.11696</v>
      </c>
      <c r="D183" s="4">
        <v>1.2875700000000001</v>
      </c>
      <c r="E183" s="4">
        <v>4.9352099999999997</v>
      </c>
      <c r="F183" s="4">
        <v>144.26599999999999</v>
      </c>
    </row>
    <row r="184" spans="1:6" x14ac:dyDescent="0.35">
      <c r="A184">
        <v>183</v>
      </c>
      <c r="B184" s="4">
        <v>0.49621599999999999</v>
      </c>
      <c r="C184" s="4">
        <v>1.1765699999999999</v>
      </c>
      <c r="D184" s="4">
        <v>1.1399999999999999</v>
      </c>
      <c r="E184" s="4">
        <v>4.8196899999999996</v>
      </c>
      <c r="F184" s="4">
        <v>145.44300000000001</v>
      </c>
    </row>
    <row r="185" spans="1:6" x14ac:dyDescent="0.35">
      <c r="A185">
        <v>184</v>
      </c>
      <c r="B185" s="4">
        <v>0.106735</v>
      </c>
      <c r="C185" s="4">
        <v>0.45408599999999999</v>
      </c>
      <c r="D185" s="4">
        <v>0.67673700000000003</v>
      </c>
      <c r="E185" s="4">
        <v>4.4675599999999998</v>
      </c>
      <c r="F185" s="4">
        <v>145.89699999999999</v>
      </c>
    </row>
    <row r="186" spans="1:6" x14ac:dyDescent="0.35">
      <c r="A186">
        <v>185</v>
      </c>
      <c r="B186" s="4">
        <v>0.13792399999999999</v>
      </c>
      <c r="C186" s="4">
        <v>0.21263899999999999</v>
      </c>
      <c r="D186" s="4">
        <v>0.47629199999999999</v>
      </c>
      <c r="E186" s="4">
        <v>4.2291600000000003</v>
      </c>
      <c r="F186" s="4">
        <v>146.11000000000001</v>
      </c>
    </row>
    <row r="187" spans="1:6" x14ac:dyDescent="0.35">
      <c r="A187">
        <v>186</v>
      </c>
      <c r="B187" s="4">
        <v>0.259048</v>
      </c>
      <c r="C187" s="4">
        <v>0.35559499999999999</v>
      </c>
      <c r="D187" s="4">
        <v>0.497195</v>
      </c>
      <c r="E187" s="4">
        <v>4.1129699999999998</v>
      </c>
      <c r="F187" s="4">
        <v>146.465</v>
      </c>
    </row>
    <row r="188" spans="1:6" x14ac:dyDescent="0.35">
      <c r="A188">
        <v>187</v>
      </c>
      <c r="B188" s="4">
        <v>0.88268999999999997</v>
      </c>
      <c r="C188" s="4">
        <v>1.06402</v>
      </c>
      <c r="D188" s="4">
        <v>1.1312899999999999</v>
      </c>
      <c r="E188" s="4">
        <v>4.6075999999999997</v>
      </c>
      <c r="F188" s="4">
        <v>147.529</v>
      </c>
    </row>
    <row r="189" spans="1:6" x14ac:dyDescent="0.35">
      <c r="A189">
        <v>188</v>
      </c>
      <c r="B189" s="4">
        <v>0.55232199999999998</v>
      </c>
      <c r="C189" s="4">
        <v>1.17021</v>
      </c>
      <c r="D189" s="4">
        <v>1.1179699999999999</v>
      </c>
      <c r="E189" s="4">
        <v>4.6002400000000003</v>
      </c>
      <c r="F189" s="4">
        <v>148.69900000000001</v>
      </c>
    </row>
    <row r="190" spans="1:6" x14ac:dyDescent="0.35">
      <c r="A190">
        <v>189</v>
      </c>
      <c r="B190" s="4">
        <v>0.115463</v>
      </c>
      <c r="C190" s="4">
        <v>0.50208900000000001</v>
      </c>
      <c r="D190" s="4">
        <v>0.67444599999999999</v>
      </c>
      <c r="E190" s="4">
        <v>4.2571500000000002</v>
      </c>
      <c r="F190" s="4">
        <v>149.20099999999999</v>
      </c>
    </row>
    <row r="191" spans="1:6" x14ac:dyDescent="0.35">
      <c r="A191">
        <v>190</v>
      </c>
      <c r="B191" s="4">
        <v>0.65508999999999995</v>
      </c>
      <c r="C191" s="4">
        <v>0.73591499999999999</v>
      </c>
      <c r="D191" s="4">
        <v>0.99231400000000003</v>
      </c>
      <c r="E191" s="4">
        <v>4.5551399999999997</v>
      </c>
      <c r="F191" s="4">
        <v>149.93700000000001</v>
      </c>
    </row>
    <row r="192" spans="1:6" x14ac:dyDescent="0.35">
      <c r="A192">
        <v>191</v>
      </c>
      <c r="B192" s="4">
        <v>0.32397500000000001</v>
      </c>
      <c r="C192" s="4">
        <v>0.78253799999999996</v>
      </c>
      <c r="D192" s="4">
        <v>0.82013100000000005</v>
      </c>
      <c r="E192" s="4">
        <v>4.3639999999999999</v>
      </c>
      <c r="F192" s="4">
        <v>150.72</v>
      </c>
    </row>
    <row r="193" spans="1:9" x14ac:dyDescent="0.35">
      <c r="A193">
        <v>192</v>
      </c>
      <c r="B193" s="4">
        <v>0.162109</v>
      </c>
      <c r="C193" s="4">
        <v>0.38889200000000002</v>
      </c>
      <c r="D193" s="4">
        <v>0.57217499999999999</v>
      </c>
      <c r="E193" s="4">
        <v>4.1279399999999997</v>
      </c>
      <c r="F193" s="4">
        <v>151.10900000000001</v>
      </c>
    </row>
    <row r="194" spans="1:9" x14ac:dyDescent="0.35">
      <c r="A194">
        <v>193</v>
      </c>
      <c r="B194" s="4">
        <v>0.70201100000000005</v>
      </c>
      <c r="C194" s="4">
        <v>0.81548799999999999</v>
      </c>
      <c r="D194" s="4">
        <v>0.98809899999999995</v>
      </c>
      <c r="E194" s="4">
        <v>4.4643699999999997</v>
      </c>
      <c r="F194" s="4">
        <v>151.92400000000001</v>
      </c>
    </row>
    <row r="195" spans="1:9" x14ac:dyDescent="0.35">
      <c r="A195">
        <v>194</v>
      </c>
      <c r="B195" s="4">
        <v>0.85465999999999998</v>
      </c>
      <c r="C195" s="4">
        <v>1.3460700000000001</v>
      </c>
      <c r="D195" s="4">
        <v>1.3487100000000001</v>
      </c>
      <c r="E195" s="4">
        <v>4.8053100000000004</v>
      </c>
      <c r="F195" s="4">
        <v>153.27000000000001</v>
      </c>
    </row>
    <row r="196" spans="1:9" x14ac:dyDescent="0.35">
      <c r="A196">
        <v>195</v>
      </c>
      <c r="B196" s="4">
        <v>0.48085</v>
      </c>
      <c r="C196" s="4">
        <v>1.07911</v>
      </c>
      <c r="D196" s="4">
        <v>1.1552</v>
      </c>
      <c r="E196" s="4">
        <v>4.7374400000000003</v>
      </c>
      <c r="F196" s="4">
        <v>154.34899999999999</v>
      </c>
    </row>
    <row r="197" spans="1:9" x14ac:dyDescent="0.35">
      <c r="A197">
        <v>196</v>
      </c>
      <c r="B197" s="4">
        <v>0.84347499999999997</v>
      </c>
      <c r="C197" s="4">
        <v>1.18007</v>
      </c>
      <c r="D197" s="4">
        <v>1.4210799999999999</v>
      </c>
      <c r="E197" s="4">
        <v>5.1207399999999996</v>
      </c>
      <c r="F197" s="4">
        <v>155.53</v>
      </c>
    </row>
    <row r="198" spans="1:9" x14ac:dyDescent="0.35">
      <c r="A198">
        <v>197</v>
      </c>
      <c r="B198" s="4">
        <v>0.40860000000000002</v>
      </c>
      <c r="C198" s="4">
        <v>0.99903299999999995</v>
      </c>
      <c r="D198" s="4">
        <v>1.11914</v>
      </c>
      <c r="E198" s="4">
        <v>4.9406100000000004</v>
      </c>
      <c r="F198" s="4">
        <v>156.529</v>
      </c>
    </row>
    <row r="199" spans="1:9" x14ac:dyDescent="0.35">
      <c r="A199">
        <v>198</v>
      </c>
      <c r="B199" s="4">
        <v>0.58171099999999998</v>
      </c>
      <c r="C199" s="4">
        <v>0.86773100000000003</v>
      </c>
      <c r="D199" s="4">
        <v>1.1412800000000001</v>
      </c>
      <c r="E199" s="4">
        <v>5.0642899999999997</v>
      </c>
      <c r="F199" s="4">
        <v>157.39599999999999</v>
      </c>
      <c r="H199" s="7"/>
      <c r="I199" s="8"/>
    </row>
    <row r="200" spans="1:9" x14ac:dyDescent="0.35">
      <c r="A200">
        <v>199</v>
      </c>
      <c r="B200" s="4">
        <v>0.97593700000000005</v>
      </c>
      <c r="C200" s="4">
        <v>1.38313</v>
      </c>
      <c r="D200" s="4">
        <v>1.5465800000000001</v>
      </c>
      <c r="E200" s="4">
        <v>5.5090599999999998</v>
      </c>
      <c r="F200" s="4">
        <v>158.779</v>
      </c>
      <c r="H200" s="7"/>
      <c r="I200" s="9"/>
    </row>
    <row r="201" spans="1:9" x14ac:dyDescent="0.35">
      <c r="A201">
        <v>200</v>
      </c>
      <c r="B201" s="4">
        <v>0.68396000000000001</v>
      </c>
      <c r="C201" s="4">
        <v>1.3671199999999999</v>
      </c>
      <c r="D201" s="4">
        <v>1.4572499999999999</v>
      </c>
      <c r="E201" s="4">
        <v>5.5531600000000001</v>
      </c>
      <c r="F201" s="4">
        <v>160.14699999999999</v>
      </c>
      <c r="H201" s="7"/>
      <c r="I201" s="9"/>
    </row>
    <row r="202" spans="1:9" x14ac:dyDescent="0.35">
      <c r="C202" s="4"/>
      <c r="H202" s="7"/>
      <c r="I202" s="9"/>
    </row>
    <row r="203" spans="1:9" x14ac:dyDescent="0.35">
      <c r="C203" s="4"/>
      <c r="D20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04"/>
  <sheetViews>
    <sheetView workbookViewId="0">
      <selection activeCell="C5" sqref="C5"/>
    </sheetView>
  </sheetViews>
  <sheetFormatPr defaultRowHeight="14.5" x14ac:dyDescent="0.35"/>
  <cols>
    <col min="2" max="2" width="14" customWidth="1"/>
    <col min="3" max="3" width="20.6328125" bestFit="1" customWidth="1"/>
    <col min="4" max="4" width="30.90625" bestFit="1" customWidth="1"/>
    <col min="5" max="5" width="20.08984375" bestFit="1" customWidth="1"/>
    <col min="18" max="18" width="12.90625" bestFit="1" customWidth="1"/>
  </cols>
  <sheetData>
    <row r="2" spans="1:18" x14ac:dyDescent="0.35">
      <c r="C2" t="s">
        <v>46</v>
      </c>
      <c r="D2" t="s">
        <v>51</v>
      </c>
      <c r="E2" t="s">
        <v>49</v>
      </c>
    </row>
    <row r="3" spans="1:18" ht="29" x14ac:dyDescent="0.35">
      <c r="A3" t="s">
        <v>15</v>
      </c>
      <c r="B3" s="10" t="s">
        <v>50</v>
      </c>
      <c r="C3" t="s">
        <v>45</v>
      </c>
      <c r="D3" t="s">
        <v>47</v>
      </c>
      <c r="E3" t="s">
        <v>48</v>
      </c>
      <c r="Q3" t="s">
        <v>54</v>
      </c>
      <c r="R3">
        <v>-0.8</v>
      </c>
    </row>
    <row r="4" spans="1:18" x14ac:dyDescent="0.35">
      <c r="A4">
        <v>1</v>
      </c>
      <c r="B4" s="22">
        <f ca="1">_xlfn.NORM.S.INV(RAND())</f>
        <v>0.41975940983436777</v>
      </c>
      <c r="C4" s="22">
        <f ca="1">18+B4</f>
        <v>18.419759409834366</v>
      </c>
      <c r="D4" s="22">
        <f ca="1">8+1.3*0-0.7*0+B4</f>
        <v>8.4197594098343682</v>
      </c>
      <c r="E4" s="22">
        <f ca="1">20+B4</f>
        <v>20.419759409834366</v>
      </c>
      <c r="Q4" t="s">
        <v>52</v>
      </c>
      <c r="R4" t="s">
        <v>53</v>
      </c>
    </row>
    <row r="5" spans="1:18" x14ac:dyDescent="0.35">
      <c r="A5">
        <v>2</v>
      </c>
      <c r="B5" s="22">
        <f t="shared" ref="B5:B68" ca="1" si="0">_xlfn.NORM.S.INV(RAND())</f>
        <v>6.6063822364585204E-2</v>
      </c>
      <c r="C5" s="22">
        <f ca="1">18-0.8*C4+B5</f>
        <v>3.3302562944970919</v>
      </c>
      <c r="D5" s="22">
        <f ca="1">8+1.3*D4-0.7*0+B5</f>
        <v>19.011751055149265</v>
      </c>
      <c r="E5" s="22">
        <f ca="1">20+B5+0.7*B4</f>
        <v>20.359895409248644</v>
      </c>
      <c r="Q5">
        <v>1</v>
      </c>
      <c r="R5" s="11">
        <f>$R$3^Q5</f>
        <v>-0.8</v>
      </c>
    </row>
    <row r="6" spans="1:18" x14ac:dyDescent="0.35">
      <c r="A6">
        <v>3</v>
      </c>
      <c r="B6" s="22">
        <f t="shared" ca="1" si="0"/>
        <v>0.70504137213854368</v>
      </c>
      <c r="C6" s="22">
        <f ca="1">18-0.8*C5+B6</f>
        <v>16.04083633654087</v>
      </c>
      <c r="D6" s="22">
        <f ca="1">8+1.3*D5-0.7*D4+B6</f>
        <v>27.526486156948533</v>
      </c>
      <c r="E6" s="22">
        <f ca="1">20+B6+0.7*B5</f>
        <v>20.751286047793755</v>
      </c>
      <c r="Q6">
        <v>2</v>
      </c>
      <c r="R6" s="11">
        <f t="shared" ref="R6:R14" si="1">$R$3^Q6</f>
        <v>0.64000000000000012</v>
      </c>
    </row>
    <row r="7" spans="1:18" x14ac:dyDescent="0.35">
      <c r="A7">
        <v>4</v>
      </c>
      <c r="B7" s="22">
        <f t="shared" ca="1" si="0"/>
        <v>1.4285108451551898</v>
      </c>
      <c r="C7" s="22">
        <f t="shared" ref="C7:C69" ca="1" si="2">18-0.8*C6+B7</f>
        <v>6.5958417759224925</v>
      </c>
      <c r="D7" s="22">
        <f ca="1">8+1.3*D6-0.7*D5+B7</f>
        <v>31.9047171105838</v>
      </c>
      <c r="E7" s="22">
        <f t="shared" ref="E7:E69" ca="1" si="3">20+B7+0.7*B6</f>
        <v>21.922039805652172</v>
      </c>
      <c r="Q7">
        <v>3</v>
      </c>
      <c r="R7" s="11">
        <f t="shared" si="1"/>
        <v>-0.51200000000000012</v>
      </c>
    </row>
    <row r="8" spans="1:18" x14ac:dyDescent="0.35">
      <c r="A8">
        <v>5</v>
      </c>
      <c r="B8" s="22">
        <f t="shared" ca="1" si="0"/>
        <v>0.95426297971239415</v>
      </c>
      <c r="C8" s="22">
        <f t="shared" ca="1" si="2"/>
        <v>13.6775895589744</v>
      </c>
      <c r="D8" s="22">
        <f t="shared" ref="D8:D70" ca="1" si="4">8+1.3*D7-0.7*D6+B8</f>
        <v>31.16185491360736</v>
      </c>
      <c r="E8" s="22">
        <f t="shared" ca="1" si="3"/>
        <v>21.954220571321027</v>
      </c>
      <c r="Q8">
        <v>4</v>
      </c>
      <c r="R8" s="11">
        <f t="shared" si="1"/>
        <v>0.40960000000000019</v>
      </c>
    </row>
    <row r="9" spans="1:18" x14ac:dyDescent="0.35">
      <c r="A9">
        <v>6</v>
      </c>
      <c r="B9" s="22">
        <f t="shared" ca="1" si="0"/>
        <v>-0.31677192370003915</v>
      </c>
      <c r="C9" s="22">
        <f t="shared" ca="1" si="2"/>
        <v>6.7411564291204398</v>
      </c>
      <c r="D9" s="22">
        <f t="shared" ca="1" si="4"/>
        <v>25.860337486580875</v>
      </c>
      <c r="E9" s="22">
        <f t="shared" ca="1" si="3"/>
        <v>20.351212162098637</v>
      </c>
      <c r="Q9">
        <v>5</v>
      </c>
      <c r="R9" s="11">
        <f t="shared" si="1"/>
        <v>-0.32768000000000019</v>
      </c>
    </row>
    <row r="10" spans="1:18" x14ac:dyDescent="0.35">
      <c r="A10">
        <v>7</v>
      </c>
      <c r="B10" s="22">
        <f t="shared" ca="1" si="0"/>
        <v>0.29203306786543115</v>
      </c>
      <c r="C10" s="22">
        <f t="shared" ca="1" si="2"/>
        <v>12.899107924569078</v>
      </c>
      <c r="D10" s="22">
        <f t="shared" ca="1" si="4"/>
        <v>20.097173360895422</v>
      </c>
      <c r="E10" s="22">
        <f t="shared" ca="1" si="3"/>
        <v>20.070292721275404</v>
      </c>
      <c r="Q10">
        <v>6</v>
      </c>
      <c r="R10" s="11">
        <f t="shared" si="1"/>
        <v>0.26214400000000015</v>
      </c>
    </row>
    <row r="11" spans="1:18" x14ac:dyDescent="0.35">
      <c r="A11">
        <v>8</v>
      </c>
      <c r="B11" s="22">
        <f t="shared" ca="1" si="0"/>
        <v>-1.886149193180791</v>
      </c>
      <c r="C11" s="22">
        <f t="shared" ca="1" si="2"/>
        <v>5.7945644671639451</v>
      </c>
      <c r="D11" s="22">
        <f t="shared" ca="1" si="4"/>
        <v>14.137939935376647</v>
      </c>
      <c r="E11" s="22">
        <f t="shared" ca="1" si="3"/>
        <v>18.318273954325011</v>
      </c>
      <c r="Q11">
        <v>7</v>
      </c>
      <c r="R11" s="11">
        <f t="shared" si="1"/>
        <v>-0.20971520000000016</v>
      </c>
    </row>
    <row r="12" spans="1:18" x14ac:dyDescent="0.35">
      <c r="A12">
        <v>9</v>
      </c>
      <c r="B12" s="22">
        <f t="shared" ca="1" si="0"/>
        <v>1.0986527448110166</v>
      </c>
      <c r="C12" s="22">
        <f t="shared" ca="1" si="2"/>
        <v>14.46300117107986</v>
      </c>
      <c r="D12" s="22">
        <f t="shared" ca="1" si="4"/>
        <v>13.409953308173865</v>
      </c>
      <c r="E12" s="22">
        <f t="shared" ca="1" si="3"/>
        <v>19.778348309584462</v>
      </c>
      <c r="Q12">
        <v>8</v>
      </c>
      <c r="R12" s="11">
        <f t="shared" si="1"/>
        <v>0.16777216000000014</v>
      </c>
    </row>
    <row r="13" spans="1:18" x14ac:dyDescent="0.35">
      <c r="A13">
        <v>10</v>
      </c>
      <c r="B13" s="22">
        <f t="shared" ca="1" si="0"/>
        <v>0.51012080665600668</v>
      </c>
      <c r="C13" s="22">
        <f t="shared" ca="1" si="2"/>
        <v>6.9397198697921176</v>
      </c>
      <c r="D13" s="22">
        <f t="shared" ca="1" si="4"/>
        <v>16.046502152518379</v>
      </c>
      <c r="E13" s="22">
        <f t="shared" ca="1" si="3"/>
        <v>21.279177728023718</v>
      </c>
      <c r="Q13">
        <v>9</v>
      </c>
      <c r="R13" s="11">
        <f t="shared" si="1"/>
        <v>-0.13421772800000012</v>
      </c>
    </row>
    <row r="14" spans="1:18" x14ac:dyDescent="0.35">
      <c r="A14">
        <v>11</v>
      </c>
      <c r="B14" s="22">
        <f t="shared" ca="1" si="0"/>
        <v>-0.45839550839027271</v>
      </c>
      <c r="C14" s="22">
        <f t="shared" ca="1" si="2"/>
        <v>11.989828595776032</v>
      </c>
      <c r="D14" s="22">
        <f t="shared" ca="1" si="4"/>
        <v>19.015089974161917</v>
      </c>
      <c r="E14" s="22">
        <f t="shared" ca="1" si="3"/>
        <v>19.898689056268932</v>
      </c>
      <c r="Q14">
        <v>10</v>
      </c>
      <c r="R14" s="11">
        <f t="shared" si="1"/>
        <v>0.10737418240000011</v>
      </c>
    </row>
    <row r="15" spans="1:18" x14ac:dyDescent="0.35">
      <c r="A15">
        <v>12</v>
      </c>
      <c r="B15" s="22">
        <f t="shared" ca="1" si="0"/>
        <v>-0.65943076274411583</v>
      </c>
      <c r="C15" s="22">
        <f t="shared" ca="1" si="2"/>
        <v>7.7487063606350581</v>
      </c>
      <c r="D15" s="22">
        <f t="shared" ca="1" si="4"/>
        <v>20.827634696903512</v>
      </c>
      <c r="E15" s="22">
        <f t="shared" ca="1" si="3"/>
        <v>19.019692381382693</v>
      </c>
    </row>
    <row r="16" spans="1:18" x14ac:dyDescent="0.35">
      <c r="A16">
        <v>13</v>
      </c>
      <c r="B16" s="22">
        <f t="shared" ca="1" si="0"/>
        <v>-0.35443823704065408</v>
      </c>
      <c r="C16" s="22">
        <f t="shared" ca="1" si="2"/>
        <v>11.4465966744513</v>
      </c>
      <c r="D16" s="22">
        <f t="shared" ca="1" si="4"/>
        <v>21.410923887020566</v>
      </c>
      <c r="E16" s="22">
        <f t="shared" ca="1" si="3"/>
        <v>19.183960229038465</v>
      </c>
    </row>
    <row r="17" spans="1:5" x14ac:dyDescent="0.35">
      <c r="A17">
        <v>14</v>
      </c>
      <c r="B17" s="22">
        <f t="shared" ca="1" si="0"/>
        <v>0.14325660730055881</v>
      </c>
      <c r="C17" s="22">
        <f t="shared" ca="1" si="2"/>
        <v>8.9859792677395198</v>
      </c>
      <c r="D17" s="22">
        <f t="shared" ca="1" si="4"/>
        <v>21.398113372594835</v>
      </c>
      <c r="E17" s="22">
        <f t="shared" ca="1" si="3"/>
        <v>19.895149841372099</v>
      </c>
    </row>
    <row r="18" spans="1:5" x14ac:dyDescent="0.35">
      <c r="A18">
        <v>15</v>
      </c>
      <c r="B18" s="22">
        <f t="shared" ca="1" si="0"/>
        <v>1.0040179753091982</v>
      </c>
      <c r="C18" s="22">
        <f t="shared" ca="1" si="2"/>
        <v>11.815234561117583</v>
      </c>
      <c r="D18" s="22">
        <f t="shared" ca="1" si="4"/>
        <v>21.83391863876809</v>
      </c>
      <c r="E18" s="22">
        <f t="shared" ca="1" si="3"/>
        <v>21.104297600419592</v>
      </c>
    </row>
    <row r="19" spans="1:5" x14ac:dyDescent="0.35">
      <c r="A19">
        <v>16</v>
      </c>
      <c r="B19" s="22">
        <f t="shared" ca="1" si="0"/>
        <v>-0.92611341326533614</v>
      </c>
      <c r="C19" s="22">
        <f t="shared" ca="1" si="2"/>
        <v>7.6216989378405984</v>
      </c>
      <c r="D19" s="22">
        <f t="shared" ca="1" si="4"/>
        <v>20.479301456316794</v>
      </c>
      <c r="E19" s="22">
        <f t="shared" ca="1" si="3"/>
        <v>19.776699169451103</v>
      </c>
    </row>
    <row r="20" spans="1:5" x14ac:dyDescent="0.35">
      <c r="A20">
        <v>17</v>
      </c>
      <c r="B20" s="22">
        <f t="shared" ca="1" si="0"/>
        <v>-0.32086989727273368</v>
      </c>
      <c r="C20" s="22">
        <f t="shared" ca="1" si="2"/>
        <v>11.581770952454788</v>
      </c>
      <c r="D20" s="22">
        <f t="shared" ca="1" si="4"/>
        <v>19.018478948801441</v>
      </c>
      <c r="E20" s="22">
        <f t="shared" ca="1" si="3"/>
        <v>19.030850713441531</v>
      </c>
    </row>
    <row r="21" spans="1:5" x14ac:dyDescent="0.35">
      <c r="A21">
        <v>18</v>
      </c>
      <c r="B21" s="22">
        <f t="shared" ca="1" si="0"/>
        <v>1.2063442048491722</v>
      </c>
      <c r="C21" s="22">
        <f t="shared" ca="1" si="2"/>
        <v>9.9409274428853411</v>
      </c>
      <c r="D21" s="22">
        <f t="shared" ca="1" si="4"/>
        <v>19.594855818869295</v>
      </c>
      <c r="E21" s="22">
        <f t="shared" ca="1" si="3"/>
        <v>20.981735276758261</v>
      </c>
    </row>
    <row r="22" spans="1:5" x14ac:dyDescent="0.35">
      <c r="A22">
        <v>19</v>
      </c>
      <c r="B22" s="22">
        <f t="shared" ca="1" si="0"/>
        <v>1.2921905440209775</v>
      </c>
      <c r="C22" s="22">
        <f t="shared" ca="1" si="2"/>
        <v>11.339448589712704</v>
      </c>
      <c r="D22" s="22">
        <f t="shared" ca="1" si="4"/>
        <v>21.452567844390057</v>
      </c>
      <c r="E22" s="22">
        <f t="shared" ca="1" si="3"/>
        <v>22.1366314874154</v>
      </c>
    </row>
    <row r="23" spans="1:5" x14ac:dyDescent="0.35">
      <c r="A23">
        <v>20</v>
      </c>
      <c r="B23" s="22">
        <f t="shared" ca="1" si="0"/>
        <v>0.54677893987512349</v>
      </c>
      <c r="C23" s="22">
        <f t="shared" ca="1" si="2"/>
        <v>9.4752200681049601</v>
      </c>
      <c r="D23" s="22">
        <f t="shared" ca="1" si="4"/>
        <v>22.718718064373689</v>
      </c>
      <c r="E23" s="22">
        <f t="shared" ca="1" si="3"/>
        <v>21.451312320689809</v>
      </c>
    </row>
    <row r="24" spans="1:5" x14ac:dyDescent="0.35">
      <c r="A24">
        <v>21</v>
      </c>
      <c r="B24" s="22">
        <f t="shared" ca="1" si="0"/>
        <v>-0.5776391850699556</v>
      </c>
      <c r="C24" s="22">
        <f t="shared" ca="1" si="2"/>
        <v>9.8421847604460773</v>
      </c>
      <c r="D24" s="22">
        <f t="shared" ca="1" si="4"/>
        <v>21.939896807542805</v>
      </c>
      <c r="E24" s="22">
        <f t="shared" ca="1" si="3"/>
        <v>19.80510607284263</v>
      </c>
    </row>
    <row r="25" spans="1:5" x14ac:dyDescent="0.35">
      <c r="A25">
        <v>22</v>
      </c>
      <c r="B25" s="22">
        <f t="shared" ca="1" si="0"/>
        <v>-0.62451437234076623</v>
      </c>
      <c r="C25" s="22">
        <f t="shared" ca="1" si="2"/>
        <v>9.501737819302372</v>
      </c>
      <c r="D25" s="22">
        <f t="shared" ca="1" si="4"/>
        <v>19.994248832403304</v>
      </c>
      <c r="E25" s="22">
        <f t="shared" ca="1" si="3"/>
        <v>18.971138198110264</v>
      </c>
    </row>
    <row r="26" spans="1:5" x14ac:dyDescent="0.35">
      <c r="A26">
        <v>23</v>
      </c>
      <c r="B26" s="22">
        <f t="shared" ca="1" si="0"/>
        <v>-1.0488965954667722</v>
      </c>
      <c r="C26" s="22">
        <f t="shared" ca="1" si="2"/>
        <v>9.349713149091329</v>
      </c>
      <c r="D26" s="22">
        <f t="shared" ca="1" si="4"/>
        <v>17.585699121377566</v>
      </c>
      <c r="E26" s="22">
        <f t="shared" ca="1" si="3"/>
        <v>18.513943343894692</v>
      </c>
    </row>
    <row r="27" spans="1:5" x14ac:dyDescent="0.35">
      <c r="A27">
        <v>24</v>
      </c>
      <c r="B27" s="22">
        <f t="shared" ca="1" si="0"/>
        <v>0.57804900946159865</v>
      </c>
      <c r="C27" s="22">
        <f t="shared" ca="1" si="2"/>
        <v>11.098278490188534</v>
      </c>
      <c r="D27" s="22">
        <f t="shared" ca="1" si="4"/>
        <v>17.443483684570122</v>
      </c>
      <c r="E27" s="22">
        <f t="shared" ca="1" si="3"/>
        <v>19.843821392634858</v>
      </c>
    </row>
    <row r="28" spans="1:5" x14ac:dyDescent="0.35">
      <c r="A28">
        <v>25</v>
      </c>
      <c r="B28" s="22">
        <f t="shared" ca="1" si="0"/>
        <v>4.2259447759563397E-3</v>
      </c>
      <c r="C28" s="22">
        <f t="shared" ca="1" si="2"/>
        <v>9.1256031526251302</v>
      </c>
      <c r="D28" s="22">
        <f t="shared" ca="1" si="4"/>
        <v>18.370765349752819</v>
      </c>
      <c r="E28" s="22">
        <f t="shared" ca="1" si="3"/>
        <v>20.408860251399076</v>
      </c>
    </row>
    <row r="29" spans="1:5" x14ac:dyDescent="0.35">
      <c r="A29">
        <v>26</v>
      </c>
      <c r="B29" s="22">
        <f t="shared" ca="1" si="0"/>
        <v>0.37316311708100486</v>
      </c>
      <c r="C29" s="22">
        <f t="shared" ca="1" si="2"/>
        <v>11.0726805949809</v>
      </c>
      <c r="D29" s="22">
        <f t="shared" ca="1" si="4"/>
        <v>20.044719492560588</v>
      </c>
      <c r="E29" s="22">
        <f t="shared" ca="1" si="3"/>
        <v>20.376121278424176</v>
      </c>
    </row>
    <row r="30" spans="1:5" x14ac:dyDescent="0.35">
      <c r="A30">
        <v>27</v>
      </c>
      <c r="B30" s="22">
        <f t="shared" ca="1" si="0"/>
        <v>0.43878468420579886</v>
      </c>
      <c r="C30" s="22">
        <f t="shared" ca="1" si="2"/>
        <v>9.5806402082210784</v>
      </c>
      <c r="D30" s="22">
        <f t="shared" ca="1" si="4"/>
        <v>21.637384279707589</v>
      </c>
      <c r="E30" s="22">
        <f t="shared" ca="1" si="3"/>
        <v>20.699998866162503</v>
      </c>
    </row>
    <row r="31" spans="1:5" x14ac:dyDescent="0.35">
      <c r="A31">
        <v>28</v>
      </c>
      <c r="B31" s="22">
        <f t="shared" ca="1" si="0"/>
        <v>9.9798108333371979E-2</v>
      </c>
      <c r="C31" s="22">
        <f t="shared" ca="1" si="2"/>
        <v>10.43528594175651</v>
      </c>
      <c r="D31" s="22">
        <f t="shared" ca="1" si="4"/>
        <v>22.197094027160833</v>
      </c>
      <c r="E31" s="22">
        <f t="shared" ca="1" si="3"/>
        <v>20.40694738727743</v>
      </c>
    </row>
    <row r="32" spans="1:5" x14ac:dyDescent="0.35">
      <c r="A32">
        <v>29</v>
      </c>
      <c r="B32" s="22">
        <f t="shared" ca="1" si="0"/>
        <v>0.39890498168248328</v>
      </c>
      <c r="C32" s="22">
        <f t="shared" ca="1" si="2"/>
        <v>10.050676228277275</v>
      </c>
      <c r="D32" s="22">
        <f t="shared" ca="1" si="4"/>
        <v>22.108958221196254</v>
      </c>
      <c r="E32" s="22">
        <f t="shared" ca="1" si="3"/>
        <v>20.468763657515844</v>
      </c>
    </row>
    <row r="33" spans="1:5" x14ac:dyDescent="0.35">
      <c r="A33">
        <v>30</v>
      </c>
      <c r="B33" s="22">
        <f t="shared" ca="1" si="0"/>
        <v>4.5844249902525488E-2</v>
      </c>
      <c r="C33" s="22">
        <f t="shared" ca="1" si="2"/>
        <v>10.005303267280706</v>
      </c>
      <c r="D33" s="22">
        <f t="shared" ca="1" si="4"/>
        <v>21.249524118445077</v>
      </c>
      <c r="E33" s="22">
        <f t="shared" ca="1" si="3"/>
        <v>20.325077737080264</v>
      </c>
    </row>
    <row r="34" spans="1:5" x14ac:dyDescent="0.35">
      <c r="A34">
        <v>31</v>
      </c>
      <c r="B34" s="22">
        <f t="shared" ca="1" si="0"/>
        <v>-0.765142498097515</v>
      </c>
      <c r="C34" s="22">
        <f t="shared" ca="1" si="2"/>
        <v>9.2306148880779215</v>
      </c>
      <c r="D34" s="22">
        <f t="shared" ca="1" si="4"/>
        <v>19.382968101043716</v>
      </c>
      <c r="E34" s="22">
        <f t="shared" ca="1" si="3"/>
        <v>19.266948476834255</v>
      </c>
    </row>
    <row r="35" spans="1:5" x14ac:dyDescent="0.35">
      <c r="A35">
        <v>32</v>
      </c>
      <c r="B35" s="22">
        <f t="shared" ca="1" si="0"/>
        <v>6.5495481258020655E-2</v>
      </c>
      <c r="C35" s="22">
        <f t="shared" ca="1" si="2"/>
        <v>10.681003570795683</v>
      </c>
      <c r="D35" s="22">
        <f t="shared" ca="1" si="4"/>
        <v>18.388687129703296</v>
      </c>
      <c r="E35" s="22">
        <f t="shared" ca="1" si="3"/>
        <v>19.529895732589761</v>
      </c>
    </row>
    <row r="36" spans="1:5" x14ac:dyDescent="0.35">
      <c r="A36">
        <v>33</v>
      </c>
      <c r="B36" s="22">
        <f t="shared" ca="1" si="0"/>
        <v>1.4393418648652816</v>
      </c>
      <c r="C36" s="22">
        <f t="shared" ca="1" si="2"/>
        <v>10.894539008228735</v>
      </c>
      <c r="D36" s="22">
        <f t="shared" ca="1" si="4"/>
        <v>19.776557462748965</v>
      </c>
      <c r="E36" s="22">
        <f t="shared" ca="1" si="3"/>
        <v>21.485188701745894</v>
      </c>
    </row>
    <row r="37" spans="1:5" x14ac:dyDescent="0.35">
      <c r="A37">
        <v>34</v>
      </c>
      <c r="B37" s="22">
        <f t="shared" ca="1" si="0"/>
        <v>1.0046191101796031</v>
      </c>
      <c r="C37" s="22">
        <f t="shared" ca="1" si="2"/>
        <v>10.288987903596613</v>
      </c>
      <c r="D37" s="22">
        <f t="shared" ca="1" si="4"/>
        <v>21.842062820960955</v>
      </c>
      <c r="E37" s="22">
        <f t="shared" ca="1" si="3"/>
        <v>22.012158415585301</v>
      </c>
    </row>
    <row r="38" spans="1:5" x14ac:dyDescent="0.35">
      <c r="A38">
        <v>35</v>
      </c>
      <c r="B38" s="22">
        <f t="shared" ca="1" si="0"/>
        <v>-0.69419486552957188</v>
      </c>
      <c r="C38" s="22">
        <f t="shared" ca="1" si="2"/>
        <v>9.074614811593138</v>
      </c>
      <c r="D38" s="22">
        <f t="shared" ca="1" si="4"/>
        <v>21.8568965777954</v>
      </c>
      <c r="E38" s="22">
        <f t="shared" ca="1" si="3"/>
        <v>20.009038511596152</v>
      </c>
    </row>
    <row r="39" spans="1:5" x14ac:dyDescent="0.35">
      <c r="A39">
        <v>36</v>
      </c>
      <c r="B39" s="22">
        <f t="shared" ca="1" si="0"/>
        <v>-0.28637702298519552</v>
      </c>
      <c r="C39" s="22">
        <f t="shared" ca="1" si="2"/>
        <v>10.453931127740294</v>
      </c>
      <c r="D39" s="22">
        <f t="shared" ca="1" si="4"/>
        <v>20.838144553476159</v>
      </c>
      <c r="E39" s="22">
        <f t="shared" ca="1" si="3"/>
        <v>19.227686571144105</v>
      </c>
    </row>
    <row r="40" spans="1:5" x14ac:dyDescent="0.35">
      <c r="A40">
        <v>37</v>
      </c>
      <c r="B40" s="22">
        <f t="shared" ca="1" si="0"/>
        <v>0.13448786168024771</v>
      </c>
      <c r="C40" s="22">
        <f t="shared" ca="1" si="2"/>
        <v>9.7713429594880115</v>
      </c>
      <c r="D40" s="22">
        <f t="shared" ca="1" si="4"/>
        <v>19.924248176742474</v>
      </c>
      <c r="E40" s="22">
        <f t="shared" ca="1" si="3"/>
        <v>19.934023945590614</v>
      </c>
    </row>
    <row r="41" spans="1:5" x14ac:dyDescent="0.35">
      <c r="A41">
        <v>38</v>
      </c>
      <c r="B41" s="22">
        <f t="shared" ca="1" si="0"/>
        <v>0.64764110812282849</v>
      </c>
      <c r="C41" s="22">
        <f t="shared" ca="1" si="2"/>
        <v>10.830566740532419</v>
      </c>
      <c r="D41" s="22">
        <f t="shared" ca="1" si="4"/>
        <v>19.962462550454738</v>
      </c>
      <c r="E41" s="22">
        <f t="shared" ca="1" si="3"/>
        <v>20.741782611299005</v>
      </c>
    </row>
    <row r="42" spans="1:5" x14ac:dyDescent="0.35">
      <c r="A42">
        <v>39</v>
      </c>
      <c r="B42" s="22">
        <f t="shared" ca="1" si="0"/>
        <v>-0.47727709814474184</v>
      </c>
      <c r="C42" s="22">
        <f t="shared" ca="1" si="2"/>
        <v>8.8582695094293236</v>
      </c>
      <c r="D42" s="22">
        <f t="shared" ca="1" si="4"/>
        <v>19.526950493726691</v>
      </c>
      <c r="E42" s="22">
        <f t="shared" ca="1" si="3"/>
        <v>19.976071677541238</v>
      </c>
    </row>
    <row r="43" spans="1:5" x14ac:dyDescent="0.35">
      <c r="A43">
        <v>40</v>
      </c>
      <c r="B43" s="22">
        <f t="shared" ca="1" si="0"/>
        <v>-0.10042295507603173</v>
      </c>
      <c r="C43" s="22">
        <f t="shared" ca="1" si="2"/>
        <v>10.812961437380508</v>
      </c>
      <c r="D43" s="22">
        <f t="shared" ca="1" si="4"/>
        <v>19.310888901450348</v>
      </c>
      <c r="E43" s="22">
        <f t="shared" ca="1" si="3"/>
        <v>19.565483076222652</v>
      </c>
    </row>
    <row r="44" spans="1:5" x14ac:dyDescent="0.35">
      <c r="A44">
        <v>41</v>
      </c>
      <c r="B44" s="22">
        <f t="shared" ca="1" si="0"/>
        <v>-0.40673334953313783</v>
      </c>
      <c r="C44" s="22">
        <f t="shared" ca="1" si="2"/>
        <v>8.9428975005624558</v>
      </c>
      <c r="D44" s="22">
        <f t="shared" ca="1" si="4"/>
        <v>19.028556876743636</v>
      </c>
      <c r="E44" s="22">
        <f t="shared" ca="1" si="3"/>
        <v>19.52297058191364</v>
      </c>
    </row>
    <row r="45" spans="1:5" x14ac:dyDescent="0.35">
      <c r="A45">
        <v>42</v>
      </c>
      <c r="B45" s="22">
        <f t="shared" ca="1" si="0"/>
        <v>-0.89613865921896174</v>
      </c>
      <c r="C45" s="22">
        <f t="shared" ca="1" si="2"/>
        <v>9.949543340331072</v>
      </c>
      <c r="D45" s="22">
        <f t="shared" ca="1" si="4"/>
        <v>18.323363049532528</v>
      </c>
      <c r="E45" s="22">
        <f t="shared" ca="1" si="3"/>
        <v>18.819147996107841</v>
      </c>
    </row>
    <row r="46" spans="1:5" x14ac:dyDescent="0.35">
      <c r="A46">
        <v>43</v>
      </c>
      <c r="B46" s="22">
        <f t="shared" ca="1" si="0"/>
        <v>-1.2567985275694169</v>
      </c>
      <c r="C46" s="22">
        <f t="shared" ca="1" si="2"/>
        <v>8.7835668001657243</v>
      </c>
      <c r="D46" s="22">
        <f t="shared" ca="1" si="4"/>
        <v>17.243583623102325</v>
      </c>
      <c r="E46" s="22">
        <f t="shared" ca="1" si="3"/>
        <v>18.115904410977311</v>
      </c>
    </row>
    <row r="47" spans="1:5" x14ac:dyDescent="0.35">
      <c r="A47">
        <v>44</v>
      </c>
      <c r="B47" s="22">
        <f t="shared" ca="1" si="0"/>
        <v>-1.2462595439454849</v>
      </c>
      <c r="C47" s="22">
        <f t="shared" ca="1" si="2"/>
        <v>9.7268870159219354</v>
      </c>
      <c r="D47" s="22">
        <f t="shared" ca="1" si="4"/>
        <v>16.344045031414769</v>
      </c>
      <c r="E47" s="22">
        <f t="shared" ca="1" si="3"/>
        <v>17.873981486755923</v>
      </c>
    </row>
    <row r="48" spans="1:5" x14ac:dyDescent="0.35">
      <c r="A48">
        <v>45</v>
      </c>
      <c r="B48" s="22">
        <f t="shared" ca="1" si="0"/>
        <v>1.0910843281519693</v>
      </c>
      <c r="C48" s="22">
        <f t="shared" ca="1" si="2"/>
        <v>11.309574715414422</v>
      </c>
      <c r="D48" s="22">
        <f t="shared" ca="1" si="4"/>
        <v>18.267834332819543</v>
      </c>
      <c r="E48" s="22">
        <f t="shared" ca="1" si="3"/>
        <v>20.218702647390128</v>
      </c>
    </row>
    <row r="49" spans="1:5" x14ac:dyDescent="0.35">
      <c r="A49">
        <v>46</v>
      </c>
      <c r="B49" s="22">
        <f t="shared" ca="1" si="0"/>
        <v>0.87057632864841095</v>
      </c>
      <c r="C49" s="22">
        <f t="shared" ca="1" si="2"/>
        <v>9.8229165563168728</v>
      </c>
      <c r="D49" s="22">
        <f t="shared" ca="1" si="4"/>
        <v>21.177929439323478</v>
      </c>
      <c r="E49" s="22">
        <f t="shared" ca="1" si="3"/>
        <v>21.634335358354789</v>
      </c>
    </row>
    <row r="50" spans="1:5" x14ac:dyDescent="0.35">
      <c r="A50">
        <v>47</v>
      </c>
      <c r="B50" s="22">
        <f t="shared" ca="1" si="0"/>
        <v>1.6722477496532095</v>
      </c>
      <c r="C50" s="22">
        <f t="shared" ca="1" si="2"/>
        <v>11.813914504599712</v>
      </c>
      <c r="D50" s="22">
        <f t="shared" ca="1" si="4"/>
        <v>24.416071987800052</v>
      </c>
      <c r="E50" s="22">
        <f t="shared" ca="1" si="3"/>
        <v>22.281651179707097</v>
      </c>
    </row>
    <row r="51" spans="1:5" x14ac:dyDescent="0.35">
      <c r="A51">
        <v>48</v>
      </c>
      <c r="B51" s="22">
        <f t="shared" ca="1" si="0"/>
        <v>-1.4138797584406309</v>
      </c>
      <c r="C51" s="22">
        <f t="shared" ca="1" si="2"/>
        <v>7.1349886378795997</v>
      </c>
      <c r="D51" s="22">
        <f t="shared" ca="1" si="4"/>
        <v>23.502463218173006</v>
      </c>
      <c r="E51" s="22">
        <f t="shared" ca="1" si="3"/>
        <v>19.756693666316618</v>
      </c>
    </row>
    <row r="52" spans="1:5" x14ac:dyDescent="0.35">
      <c r="A52">
        <v>49</v>
      </c>
      <c r="B52" s="22">
        <f t="shared" ca="1" si="0"/>
        <v>-2.6579359618739112E-2</v>
      </c>
      <c r="C52" s="22">
        <f t="shared" ca="1" si="2"/>
        <v>12.265429730077582</v>
      </c>
      <c r="D52" s="22">
        <f t="shared" ca="1" si="4"/>
        <v>21.435372432546128</v>
      </c>
      <c r="E52" s="22">
        <f t="shared" ca="1" si="3"/>
        <v>18.983704809472819</v>
      </c>
    </row>
    <row r="53" spans="1:5" x14ac:dyDescent="0.35">
      <c r="A53">
        <v>50</v>
      </c>
      <c r="B53" s="22">
        <f t="shared" ca="1" si="0"/>
        <v>-2.1749086050022393</v>
      </c>
      <c r="C53" s="22">
        <f t="shared" ca="1" si="2"/>
        <v>6.0127476109356959</v>
      </c>
      <c r="D53" s="22">
        <f t="shared" ca="1" si="4"/>
        <v>17.239351304586627</v>
      </c>
      <c r="E53" s="22">
        <f t="shared" ca="1" si="3"/>
        <v>17.806485843264642</v>
      </c>
    </row>
    <row r="54" spans="1:5" x14ac:dyDescent="0.35">
      <c r="A54">
        <v>51</v>
      </c>
      <c r="B54" s="22">
        <f t="shared" ca="1" si="0"/>
        <v>-0.97898574693614726</v>
      </c>
      <c r="C54" s="22">
        <f t="shared" ca="1" si="2"/>
        <v>12.210816164315297</v>
      </c>
      <c r="D54" s="22">
        <f t="shared" ca="1" si="4"/>
        <v>14.427410246244182</v>
      </c>
      <c r="E54" s="22">
        <f t="shared" ca="1" si="3"/>
        <v>17.498578229562288</v>
      </c>
    </row>
    <row r="55" spans="1:5" x14ac:dyDescent="0.35">
      <c r="A55">
        <v>52</v>
      </c>
      <c r="B55" s="22">
        <f t="shared" ca="1" si="0"/>
        <v>-0.97437044157703612</v>
      </c>
      <c r="C55" s="22">
        <f t="shared" ca="1" si="2"/>
        <v>7.2569766269707268</v>
      </c>
      <c r="D55" s="22">
        <f t="shared" ca="1" si="4"/>
        <v>13.713716965329761</v>
      </c>
      <c r="E55" s="22">
        <f t="shared" ca="1" si="3"/>
        <v>18.340339535567661</v>
      </c>
    </row>
    <row r="56" spans="1:5" x14ac:dyDescent="0.35">
      <c r="A56">
        <v>53</v>
      </c>
      <c r="B56" s="22">
        <f t="shared" ca="1" si="0"/>
        <v>0.56247648359861357</v>
      </c>
      <c r="C56" s="22">
        <f t="shared" ca="1" si="2"/>
        <v>12.756895182022033</v>
      </c>
      <c r="D56" s="22">
        <f t="shared" ca="1" si="4"/>
        <v>16.291121366156375</v>
      </c>
      <c r="E56" s="22">
        <f t="shared" ca="1" si="3"/>
        <v>19.880417174494688</v>
      </c>
    </row>
    <row r="57" spans="1:5" x14ac:dyDescent="0.35">
      <c r="A57">
        <v>54</v>
      </c>
      <c r="B57" s="22">
        <f t="shared" ca="1" si="0"/>
        <v>0.88925048483591063</v>
      </c>
      <c r="C57" s="22">
        <f t="shared" ca="1" si="2"/>
        <v>8.6837343392182831</v>
      </c>
      <c r="D57" s="22">
        <f t="shared" ca="1" si="4"/>
        <v>20.468106385108371</v>
      </c>
      <c r="E57" s="22">
        <f t="shared" ca="1" si="3"/>
        <v>21.282984023354942</v>
      </c>
    </row>
    <row r="58" spans="1:5" x14ac:dyDescent="0.35">
      <c r="A58">
        <v>55</v>
      </c>
      <c r="B58" s="22">
        <f t="shared" ca="1" si="0"/>
        <v>0.93234546977342525</v>
      </c>
      <c r="C58" s="22">
        <f t="shared" ca="1" si="2"/>
        <v>11.985357998398799</v>
      </c>
      <c r="D58" s="22">
        <f t="shared" ca="1" si="4"/>
        <v>24.137098814104853</v>
      </c>
      <c r="E58" s="22">
        <f t="shared" ca="1" si="3"/>
        <v>21.55482080915856</v>
      </c>
    </row>
    <row r="59" spans="1:5" x14ac:dyDescent="0.35">
      <c r="A59">
        <v>56</v>
      </c>
      <c r="B59" s="22">
        <f t="shared" ca="1" si="0"/>
        <v>2.4101473878354218</v>
      </c>
      <c r="C59" s="22">
        <f t="shared" ca="1" si="2"/>
        <v>10.821860989116381</v>
      </c>
      <c r="D59" s="22">
        <f t="shared" ca="1" si="4"/>
        <v>27.460701376595871</v>
      </c>
      <c r="E59" s="22">
        <f t="shared" ca="1" si="3"/>
        <v>23.062789216676819</v>
      </c>
    </row>
    <row r="60" spans="1:5" x14ac:dyDescent="0.35">
      <c r="A60">
        <v>57</v>
      </c>
      <c r="B60" s="22">
        <f t="shared" ca="1" si="0"/>
        <v>4.27775740490474E-3</v>
      </c>
      <c r="C60" s="22">
        <f t="shared" ca="1" si="2"/>
        <v>9.3467889661118004</v>
      </c>
      <c r="D60" s="22">
        <f t="shared" ca="1" si="4"/>
        <v>26.807220377106137</v>
      </c>
      <c r="E60" s="22">
        <f t="shared" ca="1" si="3"/>
        <v>21.6913809288897</v>
      </c>
    </row>
    <row r="61" spans="1:5" x14ac:dyDescent="0.35">
      <c r="A61">
        <v>58</v>
      </c>
      <c r="B61" s="22">
        <f t="shared" ca="1" si="0"/>
        <v>-0.47868915235444531</v>
      </c>
      <c r="C61" s="22">
        <f t="shared" ca="1" si="2"/>
        <v>10.043879674756115</v>
      </c>
      <c r="D61" s="22">
        <f t="shared" ca="1" si="4"/>
        <v>23.148206374266429</v>
      </c>
      <c r="E61" s="22">
        <f t="shared" ca="1" si="3"/>
        <v>19.52430527782899</v>
      </c>
    </row>
    <row r="62" spans="1:5" x14ac:dyDescent="0.35">
      <c r="A62">
        <v>59</v>
      </c>
      <c r="B62" s="22">
        <f t="shared" ca="1" si="0"/>
        <v>-0.1390946494417912</v>
      </c>
      <c r="C62" s="22">
        <f t="shared" ca="1" si="2"/>
        <v>9.8258016107533166</v>
      </c>
      <c r="D62" s="22">
        <f t="shared" ca="1" si="4"/>
        <v>19.188519373130269</v>
      </c>
      <c r="E62" s="22">
        <f t="shared" ca="1" si="3"/>
        <v>19.525822943910097</v>
      </c>
    </row>
    <row r="63" spans="1:5" x14ac:dyDescent="0.35">
      <c r="A63">
        <v>60</v>
      </c>
      <c r="B63" s="22">
        <f t="shared" ca="1" si="0"/>
        <v>-0.62679920764448482</v>
      </c>
      <c r="C63" s="22">
        <f t="shared" ca="1" si="2"/>
        <v>9.5125595037528612</v>
      </c>
      <c r="D63" s="22">
        <f t="shared" ca="1" si="4"/>
        <v>16.114531515438365</v>
      </c>
      <c r="E63" s="22">
        <f t="shared" ca="1" si="3"/>
        <v>19.27583453774626</v>
      </c>
    </row>
    <row r="64" spans="1:5" x14ac:dyDescent="0.35">
      <c r="A64">
        <v>61</v>
      </c>
      <c r="B64" s="22">
        <f t="shared" ca="1" si="0"/>
        <v>-0.51174250356042028</v>
      </c>
      <c r="C64" s="22">
        <f t="shared" ca="1" si="2"/>
        <v>9.8782098934372904</v>
      </c>
      <c r="D64" s="22">
        <f t="shared" ca="1" si="4"/>
        <v>15.005184905318268</v>
      </c>
      <c r="E64" s="22">
        <f t="shared" ca="1" si="3"/>
        <v>19.049498051088442</v>
      </c>
    </row>
    <row r="65" spans="1:5" x14ac:dyDescent="0.35">
      <c r="A65">
        <v>62</v>
      </c>
      <c r="B65" s="22">
        <f t="shared" ca="1" si="0"/>
        <v>-0.47158876556575041</v>
      </c>
      <c r="C65" s="22">
        <f t="shared" ca="1" si="2"/>
        <v>9.6258433196844173</v>
      </c>
      <c r="D65" s="22">
        <f t="shared" ca="1" si="4"/>
        <v>15.754979550541146</v>
      </c>
      <c r="E65" s="22">
        <f t="shared" ca="1" si="3"/>
        <v>19.170191481941956</v>
      </c>
    </row>
    <row r="66" spans="1:5" x14ac:dyDescent="0.35">
      <c r="A66">
        <v>63</v>
      </c>
      <c r="B66" s="22">
        <f t="shared" ca="1" si="0"/>
        <v>1.488244095777786</v>
      </c>
      <c r="C66" s="22">
        <f t="shared" ca="1" si="2"/>
        <v>11.787569440030252</v>
      </c>
      <c r="D66" s="22">
        <f t="shared" ca="1" si="4"/>
        <v>19.466088077758492</v>
      </c>
      <c r="E66" s="22">
        <f t="shared" ca="1" si="3"/>
        <v>21.158131959881761</v>
      </c>
    </row>
    <row r="67" spans="1:5" x14ac:dyDescent="0.35">
      <c r="A67">
        <v>64</v>
      </c>
      <c r="B67" s="22">
        <f t="shared" ca="1" si="0"/>
        <v>-0.77116495018493125</v>
      </c>
      <c r="C67" s="22">
        <f t="shared" ca="1" si="2"/>
        <v>7.7987794977908669</v>
      </c>
      <c r="D67" s="22">
        <f t="shared" ca="1" si="4"/>
        <v>21.506263865522303</v>
      </c>
      <c r="E67" s="22">
        <f t="shared" ca="1" si="3"/>
        <v>20.270605916859516</v>
      </c>
    </row>
    <row r="68" spans="1:5" x14ac:dyDescent="0.35">
      <c r="A68">
        <v>65</v>
      </c>
      <c r="B68" s="22">
        <f t="shared" ca="1" si="0"/>
        <v>1.0253759277607379</v>
      </c>
      <c r="C68" s="22">
        <f t="shared" ca="1" si="2"/>
        <v>12.786352329528043</v>
      </c>
      <c r="D68" s="22">
        <f t="shared" ca="1" si="4"/>
        <v>23.357257298508792</v>
      </c>
      <c r="E68" s="22">
        <f t="shared" ca="1" si="3"/>
        <v>20.485560462631287</v>
      </c>
    </row>
    <row r="69" spans="1:5" x14ac:dyDescent="0.35">
      <c r="A69">
        <v>66</v>
      </c>
      <c r="B69" s="22">
        <f t="shared" ref="B69:B104" ca="1" si="5">_xlfn.NORM.S.INV(RAND())</f>
        <v>-5.7344241316636358E-3</v>
      </c>
      <c r="C69" s="22">
        <f t="shared" ca="1" si="2"/>
        <v>7.7651837122459018</v>
      </c>
      <c r="D69" s="22">
        <f t="shared" ca="1" si="4"/>
        <v>23.304315358064159</v>
      </c>
      <c r="E69" s="22">
        <f t="shared" ca="1" si="3"/>
        <v>20.712028725300854</v>
      </c>
    </row>
    <row r="70" spans="1:5" x14ac:dyDescent="0.35">
      <c r="A70">
        <v>67</v>
      </c>
      <c r="B70" s="22">
        <f t="shared" ca="1" si="5"/>
        <v>-0.77494260377869917</v>
      </c>
      <c r="C70" s="22">
        <f t="shared" ref="C70:C104" ca="1" si="6">18-0.8*C69+B70</f>
        <v>11.012910426424579</v>
      </c>
      <c r="D70" s="22">
        <f t="shared" ca="1" si="4"/>
        <v>21.170587252748557</v>
      </c>
      <c r="E70" s="22">
        <f t="shared" ref="E70:E104" ca="1" si="7">20+B70+0.7*B69</f>
        <v>19.221043299329139</v>
      </c>
    </row>
    <row r="71" spans="1:5" x14ac:dyDescent="0.35">
      <c r="A71">
        <v>68</v>
      </c>
      <c r="B71" s="22">
        <f t="shared" ca="1" si="5"/>
        <v>-1.3639356688145254</v>
      </c>
      <c r="C71" s="22">
        <f t="shared" ca="1" si="6"/>
        <v>7.8257359900458106</v>
      </c>
      <c r="D71" s="22">
        <f t="shared" ref="D71:D104" ca="1" si="8">8+1.3*D70-0.7*D69+B71</f>
        <v>17.844807009113687</v>
      </c>
      <c r="E71" s="22">
        <f t="shared" ca="1" si="7"/>
        <v>18.093604508540384</v>
      </c>
    </row>
    <row r="72" spans="1:5" x14ac:dyDescent="0.35">
      <c r="A72">
        <v>69</v>
      </c>
      <c r="B72" s="22">
        <f t="shared" ca="1" si="5"/>
        <v>-0.42343421712716522</v>
      </c>
      <c r="C72" s="22">
        <f t="shared" ca="1" si="6"/>
        <v>11.315976990836186</v>
      </c>
      <c r="D72" s="22">
        <f t="shared" ca="1" si="8"/>
        <v>15.955403817796638</v>
      </c>
      <c r="E72" s="22">
        <f t="shared" ca="1" si="7"/>
        <v>18.621810814702666</v>
      </c>
    </row>
    <row r="73" spans="1:5" x14ac:dyDescent="0.35">
      <c r="A73">
        <v>70</v>
      </c>
      <c r="B73" s="22">
        <f t="shared" ca="1" si="5"/>
        <v>0.11117610748279037</v>
      </c>
      <c r="C73" s="22">
        <f t="shared" ca="1" si="6"/>
        <v>9.0583945148138429</v>
      </c>
      <c r="D73" s="22">
        <f t="shared" ca="1" si="8"/>
        <v>16.361836164238841</v>
      </c>
      <c r="E73" s="22">
        <f t="shared" ca="1" si="7"/>
        <v>19.814772155493774</v>
      </c>
    </row>
    <row r="74" spans="1:5" x14ac:dyDescent="0.35">
      <c r="A74">
        <v>71</v>
      </c>
      <c r="B74" s="22">
        <f t="shared" ca="1" si="5"/>
        <v>1.6368448631908803</v>
      </c>
      <c r="C74" s="22">
        <f t="shared" ca="1" si="6"/>
        <v>12.390129251339806</v>
      </c>
      <c r="D74" s="22">
        <f t="shared" ca="1" si="8"/>
        <v>19.738449204243729</v>
      </c>
      <c r="E74" s="22">
        <f t="shared" ca="1" si="7"/>
        <v>21.714668138428834</v>
      </c>
    </row>
    <row r="75" spans="1:5" x14ac:dyDescent="0.35">
      <c r="A75">
        <v>72</v>
      </c>
      <c r="B75" s="22">
        <f t="shared" ca="1" si="5"/>
        <v>-0.27042606092883897</v>
      </c>
      <c r="C75" s="22">
        <f t="shared" ca="1" si="6"/>
        <v>7.8174705379993146</v>
      </c>
      <c r="D75" s="22">
        <f t="shared" ca="1" si="8"/>
        <v>21.936272589620817</v>
      </c>
      <c r="E75" s="22">
        <f t="shared" ca="1" si="7"/>
        <v>20.875365343304779</v>
      </c>
    </row>
    <row r="76" spans="1:5" x14ac:dyDescent="0.35">
      <c r="A76">
        <v>73</v>
      </c>
      <c r="B76" s="22">
        <f t="shared" ca="1" si="5"/>
        <v>-0.61855641821759333</v>
      </c>
      <c r="C76" s="22">
        <f t="shared" ca="1" si="6"/>
        <v>11.127467151382955</v>
      </c>
      <c r="D76" s="22">
        <f t="shared" ca="1" si="8"/>
        <v>22.08168350531886</v>
      </c>
      <c r="E76" s="22">
        <f t="shared" ca="1" si="7"/>
        <v>19.192145339132217</v>
      </c>
    </row>
    <row r="77" spans="1:5" x14ac:dyDescent="0.35">
      <c r="A77">
        <v>74</v>
      </c>
      <c r="B77" s="22">
        <f t="shared" ca="1" si="5"/>
        <v>2.4825359556270525</v>
      </c>
      <c r="C77" s="22">
        <f t="shared" ca="1" si="6"/>
        <v>11.580562234520688</v>
      </c>
      <c r="D77" s="22">
        <f t="shared" ca="1" si="8"/>
        <v>23.833333699807003</v>
      </c>
      <c r="E77" s="22">
        <f t="shared" ca="1" si="7"/>
        <v>22.049546462874737</v>
      </c>
    </row>
    <row r="78" spans="1:5" x14ac:dyDescent="0.35">
      <c r="A78">
        <v>75</v>
      </c>
      <c r="B78" s="22">
        <f t="shared" ca="1" si="5"/>
        <v>-3.1865965338933881E-3</v>
      </c>
      <c r="C78" s="22">
        <f t="shared" ca="1" si="6"/>
        <v>8.7323636158495557</v>
      </c>
      <c r="D78" s="22">
        <f t="shared" ca="1" si="8"/>
        <v>23.522968759492009</v>
      </c>
      <c r="E78" s="22">
        <f t="shared" ca="1" si="7"/>
        <v>21.734588572405045</v>
      </c>
    </row>
    <row r="79" spans="1:5" x14ac:dyDescent="0.35">
      <c r="A79">
        <v>76</v>
      </c>
      <c r="B79" s="22">
        <f t="shared" ca="1" si="5"/>
        <v>0.57805215977815261</v>
      </c>
      <c r="C79" s="22">
        <f t="shared" ca="1" si="6"/>
        <v>11.592161267098508</v>
      </c>
      <c r="D79" s="22">
        <f t="shared" ca="1" si="8"/>
        <v>22.474577957252862</v>
      </c>
      <c r="E79" s="22">
        <f t="shared" ca="1" si="7"/>
        <v>20.575821542204427</v>
      </c>
    </row>
    <row r="80" spans="1:5" x14ac:dyDescent="0.35">
      <c r="A80">
        <v>77</v>
      </c>
      <c r="B80" s="22">
        <f t="shared" ca="1" si="5"/>
        <v>-1.3832469258979538</v>
      </c>
      <c r="C80" s="22">
        <f t="shared" ca="1" si="6"/>
        <v>7.3430240604232395</v>
      </c>
      <c r="D80" s="22">
        <f t="shared" ca="1" si="8"/>
        <v>19.367626286886363</v>
      </c>
      <c r="E80" s="22">
        <f t="shared" ca="1" si="7"/>
        <v>19.021389585946753</v>
      </c>
    </row>
    <row r="81" spans="1:5" x14ac:dyDescent="0.35">
      <c r="A81">
        <v>78</v>
      </c>
      <c r="B81" s="22">
        <f t="shared" ca="1" si="5"/>
        <v>1.4000588406369794</v>
      </c>
      <c r="C81" s="22">
        <f t="shared" ca="1" si="6"/>
        <v>13.525639592298388</v>
      </c>
      <c r="D81" s="22">
        <f t="shared" ca="1" si="8"/>
        <v>18.845768443512249</v>
      </c>
      <c r="E81" s="22">
        <f t="shared" ca="1" si="7"/>
        <v>20.431785992508413</v>
      </c>
    </row>
    <row r="82" spans="1:5" x14ac:dyDescent="0.35">
      <c r="A82">
        <v>79</v>
      </c>
      <c r="B82" s="22">
        <f t="shared" ca="1" si="5"/>
        <v>2.9690038298647643</v>
      </c>
      <c r="C82" s="22">
        <f t="shared" ca="1" si="6"/>
        <v>10.148492156026053</v>
      </c>
      <c r="D82" s="22">
        <f t="shared" ca="1" si="8"/>
        <v>21.911164405610233</v>
      </c>
      <c r="E82" s="22">
        <f t="shared" ca="1" si="7"/>
        <v>23.949045018310649</v>
      </c>
    </row>
    <row r="83" spans="1:5" x14ac:dyDescent="0.35">
      <c r="A83">
        <v>80</v>
      </c>
      <c r="B83" s="22">
        <f t="shared" ca="1" si="5"/>
        <v>-0.63183715467425161</v>
      </c>
      <c r="C83" s="22">
        <f t="shared" ca="1" si="6"/>
        <v>9.2493691205049053</v>
      </c>
      <c r="D83" s="22">
        <f t="shared" ca="1" si="8"/>
        <v>22.66063866216048</v>
      </c>
      <c r="E83" s="22">
        <f t="shared" ca="1" si="7"/>
        <v>21.446465526231083</v>
      </c>
    </row>
    <row r="84" spans="1:5" x14ac:dyDescent="0.35">
      <c r="A84">
        <v>81</v>
      </c>
      <c r="B84" s="22">
        <f t="shared" ca="1" si="5"/>
        <v>-0.17965373882677083</v>
      </c>
      <c r="C84" s="22">
        <f t="shared" ca="1" si="6"/>
        <v>10.420850964769306</v>
      </c>
      <c r="D84" s="22">
        <f t="shared" ca="1" si="8"/>
        <v>21.941361438054692</v>
      </c>
      <c r="E84" s="22">
        <f t="shared" ca="1" si="7"/>
        <v>19.378060252901253</v>
      </c>
    </row>
    <row r="85" spans="1:5" x14ac:dyDescent="0.35">
      <c r="A85">
        <v>82</v>
      </c>
      <c r="B85" s="22">
        <f t="shared" ca="1" si="5"/>
        <v>1.3035222321836977</v>
      </c>
      <c r="C85" s="22">
        <f t="shared" ca="1" si="6"/>
        <v>10.966841460368252</v>
      </c>
      <c r="D85" s="22">
        <f t="shared" ca="1" si="8"/>
        <v>21.96484503814246</v>
      </c>
      <c r="E85" s="22">
        <f t="shared" ca="1" si="7"/>
        <v>21.177764615004961</v>
      </c>
    </row>
    <row r="86" spans="1:5" x14ac:dyDescent="0.35">
      <c r="A86">
        <v>83</v>
      </c>
      <c r="B86" s="22">
        <f t="shared" ca="1" si="5"/>
        <v>0.27603677495607182</v>
      </c>
      <c r="C86" s="22">
        <f t="shared" ca="1" si="6"/>
        <v>9.5025636066614698</v>
      </c>
      <c r="D86" s="22">
        <f t="shared" ca="1" si="8"/>
        <v>21.471382317902989</v>
      </c>
      <c r="E86" s="22">
        <f t="shared" ca="1" si="7"/>
        <v>21.18850233748466</v>
      </c>
    </row>
    <row r="87" spans="1:5" x14ac:dyDescent="0.35">
      <c r="A87">
        <v>84</v>
      </c>
      <c r="B87" s="22">
        <f t="shared" ca="1" si="5"/>
        <v>0.3734213264899614</v>
      </c>
      <c r="C87" s="22">
        <f t="shared" ca="1" si="6"/>
        <v>10.771370441160784</v>
      </c>
      <c r="D87" s="22">
        <f t="shared" ca="1" si="8"/>
        <v>20.910826813064126</v>
      </c>
      <c r="E87" s="22">
        <f t="shared" ca="1" si="7"/>
        <v>20.56664706895921</v>
      </c>
    </row>
    <row r="88" spans="1:5" x14ac:dyDescent="0.35">
      <c r="A88">
        <v>85</v>
      </c>
      <c r="B88" s="22">
        <f t="shared" ca="1" si="5"/>
        <v>9.9988458493678545E-2</v>
      </c>
      <c r="C88" s="22">
        <f t="shared" ca="1" si="6"/>
        <v>9.4828921055650515</v>
      </c>
      <c r="D88" s="22">
        <f t="shared" ca="1" si="8"/>
        <v>20.254095692944954</v>
      </c>
      <c r="E88" s="22">
        <f t="shared" ca="1" si="7"/>
        <v>20.361383387036653</v>
      </c>
    </row>
    <row r="89" spans="1:5" x14ac:dyDescent="0.35">
      <c r="A89">
        <v>86</v>
      </c>
      <c r="B89" s="22">
        <f t="shared" ca="1" si="5"/>
        <v>0.77085857282124493</v>
      </c>
      <c r="C89" s="22">
        <f t="shared" ca="1" si="6"/>
        <v>11.184544888369205</v>
      </c>
      <c r="D89" s="22">
        <f t="shared" ca="1" si="8"/>
        <v>20.463604204504801</v>
      </c>
      <c r="E89" s="22">
        <f t="shared" ca="1" si="7"/>
        <v>20.840850493766819</v>
      </c>
    </row>
    <row r="90" spans="1:5" x14ac:dyDescent="0.35">
      <c r="A90">
        <v>87</v>
      </c>
      <c r="B90" s="22">
        <f t="shared" ca="1" si="5"/>
        <v>-2.3710083113513805</v>
      </c>
      <c r="C90" s="22">
        <f t="shared" ca="1" si="6"/>
        <v>6.6813557779532555</v>
      </c>
      <c r="D90" s="22">
        <f t="shared" ca="1" si="8"/>
        <v>18.053810169443391</v>
      </c>
      <c r="E90" s="22">
        <f t="shared" ca="1" si="7"/>
        <v>18.168592689623491</v>
      </c>
    </row>
    <row r="91" spans="1:5" x14ac:dyDescent="0.35">
      <c r="A91">
        <v>88</v>
      </c>
      <c r="B91" s="22">
        <f t="shared" ca="1" si="5"/>
        <v>0.99086685170341993</v>
      </c>
      <c r="C91" s="22">
        <f t="shared" ca="1" si="6"/>
        <v>13.645782229340814</v>
      </c>
      <c r="D91" s="22">
        <f t="shared" ca="1" si="8"/>
        <v>18.136297128826467</v>
      </c>
      <c r="E91" s="22">
        <f t="shared" ca="1" si="7"/>
        <v>19.331161033757454</v>
      </c>
    </row>
    <row r="92" spans="1:5" x14ac:dyDescent="0.35">
      <c r="A92">
        <v>89</v>
      </c>
      <c r="B92" s="22">
        <f t="shared" ca="1" si="5"/>
        <v>0.64952943700395049</v>
      </c>
      <c r="C92" s="22">
        <f t="shared" ca="1" si="6"/>
        <v>7.7329036535312987</v>
      </c>
      <c r="D92" s="22">
        <f t="shared" ca="1" si="8"/>
        <v>19.589048585867982</v>
      </c>
      <c r="E92" s="22">
        <f t="shared" ca="1" si="7"/>
        <v>21.343136233196343</v>
      </c>
    </row>
    <row r="93" spans="1:5" x14ac:dyDescent="0.35">
      <c r="A93">
        <v>90</v>
      </c>
      <c r="B93" s="22">
        <f t="shared" ca="1" si="5"/>
        <v>-5.3443233334054256E-2</v>
      </c>
      <c r="C93" s="22">
        <f t="shared" ca="1" si="6"/>
        <v>11.760233843840908</v>
      </c>
      <c r="D93" s="22">
        <f t="shared" ca="1" si="8"/>
        <v>20.716911938115796</v>
      </c>
      <c r="E93" s="22">
        <f t="shared" ca="1" si="7"/>
        <v>20.401227372568712</v>
      </c>
    </row>
    <row r="94" spans="1:5" x14ac:dyDescent="0.35">
      <c r="A94">
        <v>91</v>
      </c>
      <c r="B94" s="22">
        <f t="shared" ca="1" si="5"/>
        <v>-0.61325472903613742</v>
      </c>
      <c r="C94" s="22">
        <f t="shared" ca="1" si="6"/>
        <v>7.9785581958911358</v>
      </c>
      <c r="D94" s="22">
        <f t="shared" ca="1" si="8"/>
        <v>20.606396780406815</v>
      </c>
      <c r="E94" s="22">
        <f t="shared" ca="1" si="7"/>
        <v>19.349335007630025</v>
      </c>
    </row>
    <row r="95" spans="1:5" x14ac:dyDescent="0.35">
      <c r="A95">
        <v>92</v>
      </c>
      <c r="B95" s="22">
        <f t="shared" ca="1" si="5"/>
        <v>-2.9965662601635068</v>
      </c>
      <c r="C95" s="22">
        <f t="shared" ca="1" si="6"/>
        <v>8.6205871831235843</v>
      </c>
      <c r="D95" s="22">
        <f t="shared" ca="1" si="8"/>
        <v>17.289911197684294</v>
      </c>
      <c r="E95" s="22">
        <f t="shared" ca="1" si="7"/>
        <v>16.574155429511194</v>
      </c>
    </row>
    <row r="96" spans="1:5" x14ac:dyDescent="0.35">
      <c r="A96">
        <v>93</v>
      </c>
      <c r="B96" s="22">
        <f t="shared" ca="1" si="5"/>
        <v>0.89076190208355699</v>
      </c>
      <c r="C96" s="22">
        <f t="shared" ca="1" si="6"/>
        <v>11.99429215558469</v>
      </c>
      <c r="D96" s="22">
        <f t="shared" ca="1" si="8"/>
        <v>16.943168712788371</v>
      </c>
      <c r="E96" s="22">
        <f t="shared" ca="1" si="7"/>
        <v>18.793165519969104</v>
      </c>
    </row>
    <row r="97" spans="1:5" x14ac:dyDescent="0.35">
      <c r="A97">
        <v>94</v>
      </c>
      <c r="B97" s="22">
        <f t="shared" ca="1" si="5"/>
        <v>0.56195827139568444</v>
      </c>
      <c r="C97" s="22">
        <f t="shared" ca="1" si="6"/>
        <v>8.966524546927932</v>
      </c>
      <c r="D97" s="22">
        <f t="shared" ca="1" si="8"/>
        <v>18.485139759641566</v>
      </c>
      <c r="E97" s="22">
        <f t="shared" ca="1" si="7"/>
        <v>21.185491602854174</v>
      </c>
    </row>
    <row r="98" spans="1:5" x14ac:dyDescent="0.35">
      <c r="A98">
        <v>95</v>
      </c>
      <c r="B98" s="22">
        <f t="shared" ca="1" si="5"/>
        <v>0.59735457592232011</v>
      </c>
      <c r="C98" s="22">
        <f t="shared" ca="1" si="6"/>
        <v>11.424134938379975</v>
      </c>
      <c r="D98" s="22">
        <f t="shared" ca="1" si="8"/>
        <v>20.767818164504504</v>
      </c>
      <c r="E98" s="22">
        <f t="shared" ca="1" si="7"/>
        <v>20.990725365899301</v>
      </c>
    </row>
    <row r="99" spans="1:5" x14ac:dyDescent="0.35">
      <c r="A99">
        <v>96</v>
      </c>
      <c r="B99" s="22">
        <f t="shared" ca="1" si="5"/>
        <v>-0.31082657664238811</v>
      </c>
      <c r="C99" s="22">
        <f t="shared" ca="1" si="6"/>
        <v>8.5498654726536323</v>
      </c>
      <c r="D99" s="22">
        <f t="shared" ca="1" si="8"/>
        <v>21.747739205464367</v>
      </c>
      <c r="E99" s="22">
        <f t="shared" ca="1" si="7"/>
        <v>20.107321626503236</v>
      </c>
    </row>
    <row r="100" spans="1:5" x14ac:dyDescent="0.35">
      <c r="A100">
        <v>97</v>
      </c>
      <c r="B100" s="22">
        <f t="shared" ca="1" si="5"/>
        <v>-0.22976578346912815</v>
      </c>
      <c r="C100" s="22">
        <f t="shared" ca="1" si="6"/>
        <v>10.930341838407966</v>
      </c>
      <c r="D100" s="22">
        <f t="shared" ca="1" si="8"/>
        <v>21.5048224684814</v>
      </c>
      <c r="E100" s="22">
        <f t="shared" ca="1" si="7"/>
        <v>19.552655612881203</v>
      </c>
    </row>
    <row r="101" spans="1:5" x14ac:dyDescent="0.35">
      <c r="A101">
        <v>98</v>
      </c>
      <c r="B101" s="22">
        <f t="shared" ca="1" si="5"/>
        <v>-0.6784333028263414</v>
      </c>
      <c r="C101" s="22">
        <f t="shared" ca="1" si="6"/>
        <v>8.577293226447285</v>
      </c>
      <c r="D101" s="22">
        <f t="shared" ca="1" si="8"/>
        <v>20.054418462374421</v>
      </c>
      <c r="E101" s="22">
        <f t="shared" ca="1" si="7"/>
        <v>19.160730648745268</v>
      </c>
    </row>
    <row r="102" spans="1:5" x14ac:dyDescent="0.35">
      <c r="A102">
        <v>99</v>
      </c>
      <c r="B102" s="22">
        <f t="shared" ca="1" si="5"/>
        <v>1.1382405365405337</v>
      </c>
      <c r="C102" s="22">
        <f t="shared" ca="1" si="6"/>
        <v>12.276405955382705</v>
      </c>
      <c r="D102" s="22">
        <f t="shared" ca="1" si="8"/>
        <v>20.155608809690303</v>
      </c>
      <c r="E102" s="22">
        <f t="shared" ca="1" si="7"/>
        <v>20.663337224562092</v>
      </c>
    </row>
    <row r="103" spans="1:5" x14ac:dyDescent="0.35">
      <c r="A103">
        <v>100</v>
      </c>
      <c r="B103" s="22">
        <f t="shared" ca="1" si="5"/>
        <v>-0.55386651035670043</v>
      </c>
      <c r="C103" s="22">
        <f t="shared" ca="1" si="6"/>
        <v>7.6250087253371355</v>
      </c>
      <c r="D103" s="22">
        <f t="shared" ca="1" si="8"/>
        <v>19.6103320185786</v>
      </c>
      <c r="E103" s="22">
        <f t="shared" ca="1" si="7"/>
        <v>20.242901865221672</v>
      </c>
    </row>
    <row r="104" spans="1:5" x14ac:dyDescent="0.35">
      <c r="A104">
        <v>101</v>
      </c>
      <c r="B104" s="22">
        <f t="shared" ca="1" si="5"/>
        <v>0.79746331969185869</v>
      </c>
      <c r="C104" s="22">
        <f t="shared" ca="1" si="6"/>
        <v>12.697456339422152</v>
      </c>
      <c r="D104" s="22">
        <f t="shared" ca="1" si="8"/>
        <v>20.181968777060824</v>
      </c>
      <c r="E104" s="22">
        <f t="shared" ca="1" si="7"/>
        <v>20.409756762442168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3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4" bestFit="1" customWidth="1"/>
    <col min="2" max="3" width="9.08984375" customWidth="1"/>
    <col min="4" max="4" width="4.6328125" customWidth="1"/>
    <col min="6" max="6" width="13.453125" bestFit="1" customWidth="1"/>
  </cols>
  <sheetData>
    <row r="1" spans="1:6" x14ac:dyDescent="0.35">
      <c r="A1" t="s">
        <v>15</v>
      </c>
      <c r="B1" s="3" t="s">
        <v>8</v>
      </c>
      <c r="C1" s="3" t="s">
        <v>9</v>
      </c>
      <c r="E1" t="s">
        <v>31</v>
      </c>
      <c r="F1" s="4">
        <v>0.7</v>
      </c>
    </row>
    <row r="2" spans="1:6" x14ac:dyDescent="0.35">
      <c r="A2">
        <v>1</v>
      </c>
      <c r="B2" s="4">
        <v>0.25645400000000002</v>
      </c>
      <c r="C2" s="4">
        <v>0.39986699999999997</v>
      </c>
    </row>
    <row r="3" spans="1:6" x14ac:dyDescent="0.35">
      <c r="A3">
        <v>2</v>
      </c>
      <c r="B3" s="4">
        <v>0.23024</v>
      </c>
      <c r="C3" s="4">
        <v>0.40975800000000001</v>
      </c>
      <c r="E3">
        <f>B3+$F$1*B2</f>
        <v>0.40975780000000001</v>
      </c>
      <c r="F3" t="s">
        <v>30</v>
      </c>
    </row>
    <row r="4" spans="1:6" x14ac:dyDescent="0.35">
      <c r="A4">
        <v>3</v>
      </c>
      <c r="B4" s="4">
        <v>0.67518599999999995</v>
      </c>
      <c r="C4" s="4">
        <v>0.83635400000000004</v>
      </c>
      <c r="E4">
        <f>B4+$F$1*B3</f>
        <v>0.83635399999999993</v>
      </c>
      <c r="F4" t="s">
        <v>32</v>
      </c>
    </row>
    <row r="5" spans="1:6" x14ac:dyDescent="0.35">
      <c r="A5">
        <v>4</v>
      </c>
      <c r="B5" s="4">
        <v>4.75159E-2</v>
      </c>
      <c r="C5" s="4">
        <v>0.520146</v>
      </c>
    </row>
    <row r="6" spans="1:6" x14ac:dyDescent="0.35">
      <c r="A6">
        <v>5</v>
      </c>
      <c r="B6" s="4">
        <v>0.71682699999999999</v>
      </c>
      <c r="C6" s="4">
        <v>0.75008900000000001</v>
      </c>
    </row>
    <row r="7" spans="1:6" x14ac:dyDescent="0.35">
      <c r="A7">
        <v>6</v>
      </c>
      <c r="B7" s="4">
        <v>0.85461399999999998</v>
      </c>
      <c r="C7" s="4">
        <v>1.35639</v>
      </c>
    </row>
    <row r="8" spans="1:6" x14ac:dyDescent="0.35">
      <c r="A8">
        <v>7</v>
      </c>
      <c r="B8" s="4">
        <v>0.55798300000000001</v>
      </c>
      <c r="C8" s="4">
        <v>1.15621</v>
      </c>
    </row>
    <row r="9" spans="1:6" x14ac:dyDescent="0.35">
      <c r="A9">
        <v>8</v>
      </c>
      <c r="B9" s="4">
        <v>3.9031999999999997E-2</v>
      </c>
      <c r="C9" s="4">
        <v>0.42962</v>
      </c>
    </row>
    <row r="10" spans="1:6" x14ac:dyDescent="0.35">
      <c r="A10">
        <v>9</v>
      </c>
      <c r="B10" s="4">
        <v>0.184616</v>
      </c>
      <c r="C10" s="4">
        <v>0.21193799999999999</v>
      </c>
    </row>
    <row r="11" spans="1:6" x14ac:dyDescent="0.35">
      <c r="A11">
        <v>10</v>
      </c>
      <c r="B11" s="4">
        <v>1.67999E-2</v>
      </c>
      <c r="C11" s="4">
        <v>0.14603099999999999</v>
      </c>
    </row>
    <row r="12" spans="1:6" x14ac:dyDescent="0.35">
      <c r="A12">
        <v>11</v>
      </c>
      <c r="B12" s="4">
        <v>0.59606899999999996</v>
      </c>
      <c r="C12" s="4">
        <v>0.60782899999999995</v>
      </c>
    </row>
    <row r="13" spans="1:6" x14ac:dyDescent="0.35">
      <c r="A13">
        <v>12</v>
      </c>
      <c r="B13" s="4">
        <v>0.23567199999999999</v>
      </c>
      <c r="C13" s="4">
        <v>0.65292099999999997</v>
      </c>
    </row>
    <row r="14" spans="1:6" x14ac:dyDescent="0.35">
      <c r="A14">
        <v>13</v>
      </c>
      <c r="B14" s="4">
        <v>7.2448700000000005E-2</v>
      </c>
      <c r="C14" s="4">
        <v>0.23741899999999999</v>
      </c>
    </row>
    <row r="15" spans="1:6" x14ac:dyDescent="0.35">
      <c r="A15">
        <v>14</v>
      </c>
      <c r="B15" s="4">
        <v>0.85891700000000004</v>
      </c>
      <c r="C15" s="4">
        <v>0.90963099999999997</v>
      </c>
    </row>
    <row r="16" spans="1:6" x14ac:dyDescent="0.35">
      <c r="A16">
        <v>15</v>
      </c>
      <c r="B16" s="4">
        <v>0.83085600000000004</v>
      </c>
      <c r="C16" s="4">
        <v>1.4320999999999999</v>
      </c>
    </row>
    <row r="17" spans="1:3" x14ac:dyDescent="0.35">
      <c r="A17">
        <v>16</v>
      </c>
      <c r="B17" s="4">
        <v>0.21592700000000001</v>
      </c>
      <c r="C17" s="4">
        <v>0.79752699999999999</v>
      </c>
    </row>
    <row r="18" spans="1:3" x14ac:dyDescent="0.35">
      <c r="A18">
        <v>17</v>
      </c>
      <c r="B18" s="4">
        <v>0.22300700000000001</v>
      </c>
      <c r="C18" s="4">
        <v>0.37415599999999999</v>
      </c>
    </row>
    <row r="19" spans="1:3" x14ac:dyDescent="0.35">
      <c r="A19">
        <v>18</v>
      </c>
      <c r="B19" s="4">
        <v>0.254166</v>
      </c>
      <c r="C19" s="4">
        <v>0.410271</v>
      </c>
    </row>
    <row r="20" spans="1:3" x14ac:dyDescent="0.35">
      <c r="A20">
        <v>19</v>
      </c>
      <c r="B20" s="4">
        <v>0.76403799999999999</v>
      </c>
      <c r="C20" s="4">
        <v>0.94195399999999996</v>
      </c>
    </row>
    <row r="21" spans="1:3" x14ac:dyDescent="0.35">
      <c r="A21">
        <v>20</v>
      </c>
      <c r="B21" s="4">
        <v>0.28643800000000003</v>
      </c>
      <c r="C21" s="4">
        <v>0.82126500000000002</v>
      </c>
    </row>
    <row r="22" spans="1:3" x14ac:dyDescent="0.35">
      <c r="A22">
        <v>21</v>
      </c>
      <c r="B22" s="4">
        <v>0.18040500000000001</v>
      </c>
      <c r="C22" s="4">
        <v>0.380911</v>
      </c>
    </row>
    <row r="23" spans="1:3" x14ac:dyDescent="0.35">
      <c r="A23">
        <v>22</v>
      </c>
      <c r="B23" s="4">
        <v>0.16822799999999999</v>
      </c>
      <c r="C23" s="4">
        <v>0.29451100000000002</v>
      </c>
    </row>
    <row r="24" spans="1:3" x14ac:dyDescent="0.35">
      <c r="A24">
        <v>23</v>
      </c>
      <c r="B24" s="4">
        <v>0.58662400000000003</v>
      </c>
      <c r="C24" s="4">
        <v>0.70438400000000001</v>
      </c>
    </row>
    <row r="25" spans="1:3" x14ac:dyDescent="0.35">
      <c r="A25">
        <v>24</v>
      </c>
      <c r="B25" s="4">
        <v>0.543045</v>
      </c>
      <c r="C25" s="4">
        <v>0.95368200000000003</v>
      </c>
    </row>
    <row r="26" spans="1:3" x14ac:dyDescent="0.35">
      <c r="A26">
        <v>25</v>
      </c>
      <c r="B26" s="4">
        <v>0.196655</v>
      </c>
      <c r="C26" s="4">
        <v>0.57678700000000005</v>
      </c>
    </row>
    <row r="27" spans="1:3" x14ac:dyDescent="0.35">
      <c r="A27">
        <v>26</v>
      </c>
      <c r="B27" s="4">
        <v>0.40217599999999998</v>
      </c>
      <c r="C27" s="4">
        <v>0.53983499999999995</v>
      </c>
    </row>
    <row r="28" spans="1:3" x14ac:dyDescent="0.35">
      <c r="A28">
        <v>27</v>
      </c>
      <c r="B28" s="4">
        <v>0.50553899999999996</v>
      </c>
      <c r="C28" s="4">
        <v>0.78706200000000004</v>
      </c>
    </row>
    <row r="29" spans="1:3" x14ac:dyDescent="0.35">
      <c r="A29">
        <v>28</v>
      </c>
      <c r="B29" s="4">
        <v>0.61654699999999996</v>
      </c>
      <c r="C29" s="4">
        <v>0.97042399999999995</v>
      </c>
    </row>
    <row r="30" spans="1:3" x14ac:dyDescent="0.35">
      <c r="A30">
        <v>29</v>
      </c>
      <c r="B30" s="4">
        <v>0.46691899999999997</v>
      </c>
      <c r="C30" s="4">
        <v>0.89850200000000002</v>
      </c>
    </row>
    <row r="31" spans="1:3" x14ac:dyDescent="0.35">
      <c r="A31">
        <v>30</v>
      </c>
      <c r="B31" s="4">
        <v>0.61338800000000004</v>
      </c>
      <c r="C31" s="4">
        <v>0.94023100000000004</v>
      </c>
    </row>
    <row r="32" spans="1:3" x14ac:dyDescent="0.35">
      <c r="A32">
        <v>31</v>
      </c>
      <c r="B32" s="4">
        <v>0.39295999999999998</v>
      </c>
      <c r="C32" s="4">
        <v>0.82233100000000003</v>
      </c>
    </row>
    <row r="33" spans="1:3" x14ac:dyDescent="0.35">
      <c r="A33">
        <v>32</v>
      </c>
      <c r="B33" s="4">
        <v>0.70535300000000001</v>
      </c>
      <c r="C33" s="4">
        <v>0.98042399999999996</v>
      </c>
    </row>
    <row r="34" spans="1:3" x14ac:dyDescent="0.35">
      <c r="A34">
        <v>33</v>
      </c>
      <c r="B34" s="4">
        <v>5.96924E-2</v>
      </c>
      <c r="C34" s="4">
        <v>0.55343900000000001</v>
      </c>
    </row>
    <row r="35" spans="1:3" x14ac:dyDescent="0.35">
      <c r="A35">
        <v>34</v>
      </c>
      <c r="B35" s="4">
        <v>0.31718400000000002</v>
      </c>
      <c r="C35" s="4">
        <v>0.35896899999999998</v>
      </c>
    </row>
    <row r="36" spans="1:3" x14ac:dyDescent="0.35">
      <c r="A36">
        <v>35</v>
      </c>
      <c r="B36" s="4">
        <v>0.93118299999999998</v>
      </c>
      <c r="C36" s="4">
        <v>1.1532100000000001</v>
      </c>
    </row>
    <row r="37" spans="1:3" x14ac:dyDescent="0.35">
      <c r="A37">
        <v>36</v>
      </c>
      <c r="B37" s="4">
        <v>0.57911699999999999</v>
      </c>
      <c r="C37" s="4">
        <v>1.2309399999999999</v>
      </c>
    </row>
    <row r="38" spans="1:3" x14ac:dyDescent="0.35">
      <c r="A38">
        <v>37</v>
      </c>
      <c r="B38" s="4">
        <v>0.30058299999999999</v>
      </c>
      <c r="C38" s="4">
        <v>0.70596499999999995</v>
      </c>
    </row>
    <row r="39" spans="1:3" x14ac:dyDescent="0.35">
      <c r="A39">
        <v>38</v>
      </c>
      <c r="B39" s="4">
        <v>5.87921E-2</v>
      </c>
      <c r="C39" s="4">
        <v>0.26919999999999999</v>
      </c>
    </row>
    <row r="40" spans="1:3" x14ac:dyDescent="0.35">
      <c r="A40">
        <v>39</v>
      </c>
      <c r="B40" s="4">
        <v>0.31303399999999998</v>
      </c>
      <c r="C40" s="4">
        <v>0.35418899999999998</v>
      </c>
    </row>
    <row r="41" spans="1:3" x14ac:dyDescent="0.35">
      <c r="A41">
        <v>40</v>
      </c>
      <c r="B41" s="4">
        <v>0.41755700000000001</v>
      </c>
      <c r="C41" s="4">
        <v>0.63668100000000005</v>
      </c>
    </row>
    <row r="42" spans="1:3" x14ac:dyDescent="0.35">
      <c r="A42">
        <v>41</v>
      </c>
      <c r="B42" s="4">
        <v>0.97019999999999995</v>
      </c>
      <c r="C42" s="4">
        <v>1.2624899999999999</v>
      </c>
    </row>
    <row r="43" spans="1:3" x14ac:dyDescent="0.35">
      <c r="A43">
        <v>42</v>
      </c>
      <c r="B43" s="4">
        <v>0.207764</v>
      </c>
      <c r="C43" s="4">
        <v>0.886903</v>
      </c>
    </row>
    <row r="44" spans="1:3" x14ac:dyDescent="0.35">
      <c r="A44">
        <v>43</v>
      </c>
      <c r="B44" s="4">
        <v>0.13600200000000001</v>
      </c>
      <c r="C44" s="4">
        <v>0.28143600000000002</v>
      </c>
    </row>
    <row r="45" spans="1:3" x14ac:dyDescent="0.35">
      <c r="A45">
        <v>44</v>
      </c>
      <c r="B45" s="4">
        <v>0.96398899999999998</v>
      </c>
      <c r="C45" s="4">
        <v>1.0591900000000001</v>
      </c>
    </row>
    <row r="46" spans="1:3" x14ac:dyDescent="0.35">
      <c r="A46">
        <v>45</v>
      </c>
      <c r="B46" s="4">
        <v>0.96064799999999995</v>
      </c>
      <c r="C46" s="4">
        <v>1.63544</v>
      </c>
    </row>
    <row r="47" spans="1:3" x14ac:dyDescent="0.35">
      <c r="A47">
        <v>46</v>
      </c>
      <c r="B47" s="4">
        <v>0.771011</v>
      </c>
      <c r="C47" s="4">
        <v>1.44346</v>
      </c>
    </row>
    <row r="48" spans="1:3" x14ac:dyDescent="0.35">
      <c r="A48">
        <v>47</v>
      </c>
      <c r="B48" s="4">
        <v>0.40643299999999999</v>
      </c>
      <c r="C48" s="4">
        <v>0.94614100000000001</v>
      </c>
    </row>
    <row r="49" spans="1:3" x14ac:dyDescent="0.35">
      <c r="A49">
        <v>48</v>
      </c>
      <c r="B49" s="4">
        <v>8.3175700000000005E-2</v>
      </c>
      <c r="C49" s="4">
        <v>0.36767899999999998</v>
      </c>
    </row>
    <row r="50" spans="1:3" x14ac:dyDescent="0.35">
      <c r="A50">
        <v>49</v>
      </c>
      <c r="B50" s="4">
        <v>0.160187</v>
      </c>
      <c r="C50" s="4">
        <v>0.21840999999999999</v>
      </c>
    </row>
    <row r="51" spans="1:3" x14ac:dyDescent="0.35">
      <c r="A51">
        <v>50</v>
      </c>
      <c r="B51" s="4">
        <v>0.328934</v>
      </c>
      <c r="C51" s="4">
        <v>0.44106400000000001</v>
      </c>
    </row>
    <row r="52" spans="1:3" x14ac:dyDescent="0.35">
      <c r="A52">
        <v>51</v>
      </c>
      <c r="B52" s="4">
        <v>0.50087000000000004</v>
      </c>
      <c r="C52" s="4">
        <v>0.73112299999999997</v>
      </c>
    </row>
    <row r="53" spans="1:3" x14ac:dyDescent="0.35">
      <c r="A53">
        <v>52</v>
      </c>
      <c r="B53" s="4">
        <v>0.31446800000000003</v>
      </c>
      <c r="C53" s="4">
        <v>0.66507700000000003</v>
      </c>
    </row>
    <row r="54" spans="1:3" x14ac:dyDescent="0.35">
      <c r="A54">
        <v>53</v>
      </c>
      <c r="B54" s="4">
        <v>0.39263900000000002</v>
      </c>
      <c r="C54" s="4">
        <v>0.61276699999999995</v>
      </c>
    </row>
    <row r="55" spans="1:3" x14ac:dyDescent="0.35">
      <c r="A55">
        <v>54</v>
      </c>
      <c r="B55" s="4">
        <v>0.147339</v>
      </c>
      <c r="C55" s="4">
        <v>0.42218600000000001</v>
      </c>
    </row>
    <row r="56" spans="1:3" x14ac:dyDescent="0.35">
      <c r="A56">
        <v>55</v>
      </c>
      <c r="B56" s="4">
        <v>0.39483600000000002</v>
      </c>
      <c r="C56" s="4">
        <v>0.49797400000000003</v>
      </c>
    </row>
    <row r="57" spans="1:3" x14ac:dyDescent="0.35">
      <c r="A57">
        <v>56</v>
      </c>
      <c r="B57" s="4">
        <v>0.107941</v>
      </c>
      <c r="C57" s="4">
        <v>0.384326</v>
      </c>
    </row>
    <row r="58" spans="1:3" x14ac:dyDescent="0.35">
      <c r="A58">
        <v>57</v>
      </c>
      <c r="B58" s="4">
        <v>0.201599</v>
      </c>
      <c r="C58" s="4">
        <v>0.27715800000000002</v>
      </c>
    </row>
    <row r="59" spans="1:3" x14ac:dyDescent="0.35">
      <c r="A59">
        <v>58</v>
      </c>
      <c r="B59" s="4">
        <v>0.40118399999999999</v>
      </c>
      <c r="C59" s="4">
        <v>0.54230299999999998</v>
      </c>
    </row>
    <row r="60" spans="1:3" x14ac:dyDescent="0.35">
      <c r="A60">
        <v>59</v>
      </c>
      <c r="B60" s="4">
        <v>0.93106100000000003</v>
      </c>
      <c r="C60" s="4">
        <v>1.2118899999999999</v>
      </c>
    </row>
    <row r="61" spans="1:3" x14ac:dyDescent="0.35">
      <c r="A61">
        <v>60</v>
      </c>
      <c r="B61" s="4">
        <v>0.57188399999999995</v>
      </c>
      <c r="C61" s="4">
        <v>1.22363</v>
      </c>
    </row>
    <row r="62" spans="1:3" x14ac:dyDescent="0.35">
      <c r="A62">
        <v>61</v>
      </c>
      <c r="B62" s="4">
        <v>0.672516</v>
      </c>
      <c r="C62" s="4">
        <v>1.07283</v>
      </c>
    </row>
    <row r="63" spans="1:3" x14ac:dyDescent="0.35">
      <c r="A63">
        <v>62</v>
      </c>
      <c r="B63" s="4">
        <v>0.206207</v>
      </c>
      <c r="C63" s="4">
        <v>0.67696800000000001</v>
      </c>
    </row>
    <row r="64" spans="1:3" x14ac:dyDescent="0.35">
      <c r="A64">
        <v>63</v>
      </c>
      <c r="B64" s="4">
        <v>0.85505699999999996</v>
      </c>
      <c r="C64" s="4">
        <v>0.99940200000000001</v>
      </c>
    </row>
    <row r="65" spans="1:3" x14ac:dyDescent="0.35">
      <c r="A65">
        <v>64</v>
      </c>
      <c r="B65" s="4">
        <v>7.1411100000000005E-2</v>
      </c>
      <c r="C65" s="4">
        <v>0.66995099999999996</v>
      </c>
    </row>
    <row r="66" spans="1:3" x14ac:dyDescent="0.35">
      <c r="A66">
        <v>65</v>
      </c>
      <c r="B66" s="4">
        <v>0.28871200000000002</v>
      </c>
      <c r="C66" s="4">
        <v>0.33869899999999997</v>
      </c>
    </row>
    <row r="67" spans="1:3" x14ac:dyDescent="0.35">
      <c r="A67">
        <v>66</v>
      </c>
      <c r="B67" s="4">
        <v>0.62800599999999995</v>
      </c>
      <c r="C67" s="4">
        <v>0.83010399999999995</v>
      </c>
    </row>
    <row r="68" spans="1:3" x14ac:dyDescent="0.35">
      <c r="A68">
        <v>67</v>
      </c>
      <c r="B68" s="4">
        <v>2.3208599999999999E-2</v>
      </c>
      <c r="C68" s="4">
        <v>0.46281299999999997</v>
      </c>
    </row>
    <row r="69" spans="1:3" x14ac:dyDescent="0.35">
      <c r="A69">
        <v>68</v>
      </c>
      <c r="B69" s="4">
        <v>0.13549800000000001</v>
      </c>
      <c r="C69" s="4">
        <v>0.15174399999999999</v>
      </c>
    </row>
    <row r="70" spans="1:3" x14ac:dyDescent="0.35">
      <c r="A70">
        <v>69</v>
      </c>
      <c r="B70" s="4">
        <v>0.33892800000000001</v>
      </c>
      <c r="C70" s="4">
        <v>0.43377700000000002</v>
      </c>
    </row>
    <row r="71" spans="1:3" x14ac:dyDescent="0.35">
      <c r="A71">
        <v>70</v>
      </c>
      <c r="B71" s="4">
        <v>0.60969499999999999</v>
      </c>
      <c r="C71" s="4">
        <v>0.84694499999999995</v>
      </c>
    </row>
    <row r="72" spans="1:3" x14ac:dyDescent="0.35">
      <c r="A72">
        <v>71</v>
      </c>
      <c r="B72" s="4">
        <v>0.170074</v>
      </c>
      <c r="C72" s="4">
        <v>0.59686099999999997</v>
      </c>
    </row>
    <row r="73" spans="1:3" x14ac:dyDescent="0.35">
      <c r="A73">
        <v>72</v>
      </c>
      <c r="B73" s="4">
        <v>0.56990099999999999</v>
      </c>
      <c r="C73" s="4">
        <v>0.68895300000000004</v>
      </c>
    </row>
    <row r="74" spans="1:3" x14ac:dyDescent="0.35">
      <c r="A74">
        <v>73</v>
      </c>
      <c r="B74" s="4">
        <v>0.41642800000000002</v>
      </c>
      <c r="C74" s="4">
        <v>0.81535800000000003</v>
      </c>
    </row>
    <row r="75" spans="1:3" x14ac:dyDescent="0.35">
      <c r="A75">
        <v>74</v>
      </c>
      <c r="B75" s="4">
        <v>0.96992500000000004</v>
      </c>
      <c r="C75" s="4">
        <v>1.26142</v>
      </c>
    </row>
    <row r="76" spans="1:3" x14ac:dyDescent="0.35">
      <c r="A76">
        <v>75</v>
      </c>
      <c r="B76" s="4">
        <v>0.76258899999999996</v>
      </c>
      <c r="C76" s="4">
        <v>1.44154</v>
      </c>
    </row>
    <row r="77" spans="1:3" x14ac:dyDescent="0.35">
      <c r="A77">
        <v>76</v>
      </c>
      <c r="B77" s="4">
        <v>0.960785</v>
      </c>
      <c r="C77" s="4">
        <v>1.4945999999999999</v>
      </c>
    </row>
    <row r="78" spans="1:3" x14ac:dyDescent="0.35">
      <c r="A78">
        <v>77</v>
      </c>
      <c r="B78" s="4">
        <v>3.11127E-2</v>
      </c>
      <c r="C78" s="4">
        <v>0.70366200000000001</v>
      </c>
    </row>
    <row r="79" spans="1:3" x14ac:dyDescent="0.35">
      <c r="A79">
        <v>78</v>
      </c>
      <c r="B79" s="4">
        <v>0.151978</v>
      </c>
      <c r="C79" s="4">
        <v>0.17375599999999999</v>
      </c>
    </row>
    <row r="80" spans="1:3" x14ac:dyDescent="0.35">
      <c r="A80">
        <v>79</v>
      </c>
      <c r="B80" s="4">
        <v>0.29933199999999999</v>
      </c>
      <c r="C80" s="4">
        <v>0.40571600000000002</v>
      </c>
    </row>
    <row r="81" spans="1:3" x14ac:dyDescent="0.35">
      <c r="A81">
        <v>80</v>
      </c>
      <c r="B81" s="4">
        <v>6.2576300000000001E-2</v>
      </c>
      <c r="C81" s="4">
        <v>0.27210800000000002</v>
      </c>
    </row>
    <row r="82" spans="1:3" x14ac:dyDescent="0.35">
      <c r="A82">
        <v>81</v>
      </c>
      <c r="B82" s="4">
        <v>0.91728200000000004</v>
      </c>
      <c r="C82" s="4">
        <v>0.961086</v>
      </c>
    </row>
    <row r="83" spans="1:3" x14ac:dyDescent="0.35">
      <c r="A83">
        <v>82</v>
      </c>
      <c r="B83" s="4">
        <v>0.97262599999999999</v>
      </c>
      <c r="C83" s="4">
        <v>1.6147199999999999</v>
      </c>
    </row>
    <row r="84" spans="1:3" x14ac:dyDescent="0.35">
      <c r="A84">
        <v>83</v>
      </c>
      <c r="B84" s="4">
        <v>0.95283499999999999</v>
      </c>
      <c r="C84" s="4">
        <v>1.63367</v>
      </c>
    </row>
    <row r="85" spans="1:3" x14ac:dyDescent="0.35">
      <c r="A85">
        <v>84</v>
      </c>
      <c r="B85" s="4">
        <v>0.30329899999999999</v>
      </c>
      <c r="C85" s="4">
        <v>0.97028400000000004</v>
      </c>
    </row>
    <row r="86" spans="1:3" x14ac:dyDescent="0.35">
      <c r="A86">
        <v>85</v>
      </c>
      <c r="B86" s="4">
        <v>0.72199999999999998</v>
      </c>
      <c r="C86" s="4">
        <v>0.93430899999999995</v>
      </c>
    </row>
    <row r="87" spans="1:3" x14ac:dyDescent="0.35">
      <c r="A87">
        <v>86</v>
      </c>
      <c r="B87" s="4">
        <v>0.87870800000000004</v>
      </c>
      <c r="C87" s="4">
        <v>1.38411</v>
      </c>
    </row>
    <row r="88" spans="1:3" x14ac:dyDescent="0.35">
      <c r="A88">
        <v>87</v>
      </c>
      <c r="B88" s="4">
        <v>0.60487400000000002</v>
      </c>
      <c r="C88" s="4">
        <v>1.21997</v>
      </c>
    </row>
    <row r="89" spans="1:3" x14ac:dyDescent="0.35">
      <c r="A89">
        <v>88</v>
      </c>
      <c r="B89" s="4">
        <v>0.30035400000000001</v>
      </c>
      <c r="C89" s="4">
        <v>0.72376600000000002</v>
      </c>
    </row>
    <row r="90" spans="1:3" x14ac:dyDescent="0.35">
      <c r="A90">
        <v>89</v>
      </c>
      <c r="B90" s="4">
        <v>0.235764</v>
      </c>
      <c r="C90" s="4">
        <v>0.44601099999999999</v>
      </c>
    </row>
    <row r="91" spans="1:3" x14ac:dyDescent="0.35">
      <c r="A91">
        <v>90</v>
      </c>
      <c r="B91" s="4">
        <v>0.73428300000000002</v>
      </c>
      <c r="C91" s="4">
        <v>0.89931799999999995</v>
      </c>
    </row>
    <row r="92" spans="1:3" x14ac:dyDescent="0.35">
      <c r="A92">
        <v>91</v>
      </c>
      <c r="B92" s="4">
        <v>0.32977299999999998</v>
      </c>
      <c r="C92" s="4">
        <v>0.84377100000000005</v>
      </c>
    </row>
    <row r="93" spans="1:3" x14ac:dyDescent="0.35">
      <c r="A93">
        <v>92</v>
      </c>
      <c r="B93" s="4">
        <v>0.55375700000000005</v>
      </c>
      <c r="C93" s="4">
        <v>0.78459800000000002</v>
      </c>
    </row>
    <row r="94" spans="1:3" x14ac:dyDescent="0.35">
      <c r="A94">
        <v>93</v>
      </c>
      <c r="B94" s="4">
        <v>6.76422E-2</v>
      </c>
      <c r="C94" s="4">
        <v>0.45527200000000001</v>
      </c>
    </row>
    <row r="95" spans="1:3" x14ac:dyDescent="0.35">
      <c r="A95">
        <v>94</v>
      </c>
      <c r="B95" s="4">
        <v>0.95266700000000004</v>
      </c>
      <c r="C95" s="4">
        <v>1.0000199999999999</v>
      </c>
    </row>
    <row r="96" spans="1:3" x14ac:dyDescent="0.35">
      <c r="A96">
        <v>95</v>
      </c>
      <c r="B96" s="4">
        <v>0.60986300000000004</v>
      </c>
      <c r="C96" s="4">
        <v>1.2767299999999999</v>
      </c>
    </row>
    <row r="97" spans="1:3" x14ac:dyDescent="0.35">
      <c r="A97">
        <v>96</v>
      </c>
      <c r="B97" s="4">
        <v>0.123749</v>
      </c>
      <c r="C97" s="4">
        <v>0.55065299999999995</v>
      </c>
    </row>
    <row r="98" spans="1:3" x14ac:dyDescent="0.35">
      <c r="A98">
        <v>97</v>
      </c>
      <c r="B98" s="4">
        <v>6.2683100000000005E-2</v>
      </c>
      <c r="C98" s="4">
        <v>0.149307</v>
      </c>
    </row>
    <row r="99" spans="1:3" x14ac:dyDescent="0.35">
      <c r="A99">
        <v>98</v>
      </c>
      <c r="B99" s="4">
        <v>0.62062099999999998</v>
      </c>
      <c r="C99" s="4">
        <v>0.66449899999999995</v>
      </c>
    </row>
    <row r="100" spans="1:3" x14ac:dyDescent="0.35">
      <c r="A100">
        <v>99</v>
      </c>
      <c r="B100" s="4">
        <v>0.98837299999999995</v>
      </c>
      <c r="C100" s="4">
        <v>1.4228099999999999</v>
      </c>
    </row>
    <row r="101" spans="1:3" x14ac:dyDescent="0.35">
      <c r="A101">
        <v>100</v>
      </c>
      <c r="B101" s="4">
        <v>0.65075700000000003</v>
      </c>
      <c r="C101" s="4">
        <v>1.3426199999999999</v>
      </c>
    </row>
    <row r="102" spans="1:3" x14ac:dyDescent="0.35">
      <c r="A102">
        <v>101</v>
      </c>
      <c r="B102" s="4">
        <v>0.37666300000000003</v>
      </c>
      <c r="C102" s="4">
        <v>0.83219299999999996</v>
      </c>
    </row>
    <row r="103" spans="1:3" x14ac:dyDescent="0.35">
      <c r="A103">
        <v>102</v>
      </c>
      <c r="B103" s="4">
        <v>0.71632399999999996</v>
      </c>
      <c r="C103" s="4">
        <v>0.97998799999999997</v>
      </c>
    </row>
    <row r="104" spans="1:3" x14ac:dyDescent="0.35">
      <c r="A104">
        <v>103</v>
      </c>
      <c r="B104" s="4">
        <v>0.37498500000000001</v>
      </c>
      <c r="C104" s="4">
        <v>0.87641100000000005</v>
      </c>
    </row>
    <row r="105" spans="1:3" x14ac:dyDescent="0.35">
      <c r="A105">
        <v>104</v>
      </c>
      <c r="B105" s="4">
        <v>0.44219999999999998</v>
      </c>
      <c r="C105" s="4">
        <v>0.70468900000000001</v>
      </c>
    </row>
    <row r="106" spans="1:3" x14ac:dyDescent="0.35">
      <c r="A106">
        <v>105</v>
      </c>
      <c r="B106" s="4">
        <v>9.6206700000000006E-2</v>
      </c>
      <c r="C106" s="4">
        <v>0.405746</v>
      </c>
    </row>
    <row r="107" spans="1:3" x14ac:dyDescent="0.35">
      <c r="A107">
        <v>106</v>
      </c>
      <c r="B107" s="4">
        <v>0.98483299999999996</v>
      </c>
      <c r="C107" s="4">
        <v>1.0521799999999999</v>
      </c>
    </row>
    <row r="108" spans="1:3" x14ac:dyDescent="0.35">
      <c r="A108">
        <v>107</v>
      </c>
      <c r="B108" s="4">
        <v>0.23085</v>
      </c>
      <c r="C108" s="4">
        <v>0.92023299999999997</v>
      </c>
    </row>
    <row r="109" spans="1:3" x14ac:dyDescent="0.35">
      <c r="A109">
        <v>108</v>
      </c>
      <c r="B109" s="4">
        <v>0.105423</v>
      </c>
      <c r="C109" s="4">
        <v>0.26701799999999998</v>
      </c>
    </row>
    <row r="110" spans="1:3" x14ac:dyDescent="0.35">
      <c r="A110">
        <v>109</v>
      </c>
      <c r="B110" s="4">
        <v>0.85238599999999998</v>
      </c>
      <c r="C110" s="4">
        <v>0.92618299999999998</v>
      </c>
    </row>
    <row r="111" spans="1:3" x14ac:dyDescent="0.35">
      <c r="A111">
        <v>110</v>
      </c>
      <c r="B111" s="4">
        <v>0.19653300000000001</v>
      </c>
      <c r="C111" s="4">
        <v>0.79320400000000002</v>
      </c>
    </row>
    <row r="112" spans="1:3" x14ac:dyDescent="0.35">
      <c r="A112">
        <v>111</v>
      </c>
      <c r="B112" s="4">
        <v>0.26136799999999999</v>
      </c>
      <c r="C112" s="4">
        <v>0.39894099999999999</v>
      </c>
    </row>
    <row r="113" spans="1:3" x14ac:dyDescent="0.35">
      <c r="A113">
        <v>112</v>
      </c>
      <c r="B113" s="4">
        <v>5.3573599999999999E-2</v>
      </c>
      <c r="C113" s="4">
        <v>0.23653099999999999</v>
      </c>
    </row>
    <row r="114" spans="1:3" x14ac:dyDescent="0.35">
      <c r="A114">
        <v>113</v>
      </c>
      <c r="B114" s="4">
        <v>0.60353100000000004</v>
      </c>
      <c r="C114" s="4">
        <v>0.64103200000000005</v>
      </c>
    </row>
    <row r="115" spans="1:3" x14ac:dyDescent="0.35">
      <c r="A115">
        <v>114</v>
      </c>
      <c r="B115" s="4">
        <v>0.68577600000000005</v>
      </c>
      <c r="C115" s="4">
        <v>1.10825</v>
      </c>
    </row>
    <row r="116" spans="1:3" x14ac:dyDescent="0.35">
      <c r="A116">
        <v>115</v>
      </c>
      <c r="B116" s="4">
        <v>6.1569199999999998E-2</v>
      </c>
      <c r="C116" s="4">
        <v>0.54161199999999998</v>
      </c>
    </row>
    <row r="117" spans="1:3" x14ac:dyDescent="0.35">
      <c r="A117">
        <v>116</v>
      </c>
      <c r="B117" s="4">
        <v>0.95401000000000002</v>
      </c>
      <c r="C117" s="4">
        <v>0.99710799999999999</v>
      </c>
    </row>
    <row r="118" spans="1:3" x14ac:dyDescent="0.35">
      <c r="A118">
        <v>117</v>
      </c>
      <c r="B118" s="4">
        <v>0.26217699999999999</v>
      </c>
      <c r="C118" s="4">
        <v>0.92998400000000003</v>
      </c>
    </row>
    <row r="119" spans="1:3" x14ac:dyDescent="0.35">
      <c r="A119">
        <v>118</v>
      </c>
      <c r="B119" s="4">
        <v>0.441635</v>
      </c>
      <c r="C119" s="4">
        <v>0.62515900000000002</v>
      </c>
    </row>
    <row r="120" spans="1:3" x14ac:dyDescent="0.35">
      <c r="A120">
        <v>119</v>
      </c>
      <c r="B120" s="4">
        <v>0.61621099999999995</v>
      </c>
      <c r="C120" s="4">
        <v>0.92535599999999996</v>
      </c>
    </row>
    <row r="121" spans="1:3" x14ac:dyDescent="0.35">
      <c r="A121">
        <v>120</v>
      </c>
      <c r="B121" s="4">
        <v>0.84051500000000001</v>
      </c>
      <c r="C121" s="4">
        <v>1.27186</v>
      </c>
    </row>
    <row r="122" spans="1:3" x14ac:dyDescent="0.35">
      <c r="A122">
        <v>121</v>
      </c>
      <c r="B122" s="4">
        <v>0.57135000000000002</v>
      </c>
      <c r="C122" s="4">
        <v>1.15971</v>
      </c>
    </row>
    <row r="123" spans="1:3" x14ac:dyDescent="0.35">
      <c r="A123">
        <v>122</v>
      </c>
      <c r="B123" s="4">
        <v>0.70442199999999999</v>
      </c>
      <c r="C123" s="4">
        <v>1.1043700000000001</v>
      </c>
    </row>
    <row r="124" spans="1:3" x14ac:dyDescent="0.35">
      <c r="A124">
        <v>123</v>
      </c>
      <c r="B124" s="4">
        <v>0.29092400000000002</v>
      </c>
      <c r="C124" s="4">
        <v>0.78401900000000002</v>
      </c>
    </row>
    <row r="125" spans="1:3" x14ac:dyDescent="0.35">
      <c r="A125">
        <v>124</v>
      </c>
      <c r="B125" s="4">
        <v>0.56164599999999998</v>
      </c>
      <c r="C125" s="4">
        <v>0.76529199999999997</v>
      </c>
    </row>
    <row r="126" spans="1:3" x14ac:dyDescent="0.35">
      <c r="A126">
        <v>125</v>
      </c>
      <c r="B126" s="4">
        <v>0.68229700000000004</v>
      </c>
      <c r="C126" s="4">
        <v>1.07545</v>
      </c>
    </row>
    <row r="127" spans="1:3" x14ac:dyDescent="0.35">
      <c r="A127">
        <v>126</v>
      </c>
      <c r="B127" s="4">
        <v>0.36840800000000001</v>
      </c>
      <c r="C127" s="4">
        <v>0.84601599999999999</v>
      </c>
    </row>
    <row r="128" spans="1:3" x14ac:dyDescent="0.35">
      <c r="A128">
        <v>127</v>
      </c>
      <c r="B128" s="4">
        <v>1.8692E-2</v>
      </c>
      <c r="C128" s="4">
        <v>0.27657799999999999</v>
      </c>
    </row>
    <row r="129" spans="1:3" x14ac:dyDescent="0.35">
      <c r="A129">
        <v>128</v>
      </c>
      <c r="B129" s="4">
        <v>0.39724700000000002</v>
      </c>
      <c r="C129" s="4">
        <v>0.41033199999999997</v>
      </c>
    </row>
    <row r="130" spans="1:3" x14ac:dyDescent="0.35">
      <c r="A130">
        <v>129</v>
      </c>
      <c r="B130" s="4">
        <v>0.59713700000000003</v>
      </c>
      <c r="C130" s="4">
        <v>0.87521099999999996</v>
      </c>
    </row>
    <row r="131" spans="1:3" x14ac:dyDescent="0.35">
      <c r="A131">
        <v>130</v>
      </c>
      <c r="B131" s="4">
        <v>0.13552900000000001</v>
      </c>
      <c r="C131" s="4">
        <v>0.55352500000000004</v>
      </c>
    </row>
    <row r="132" spans="1:3" x14ac:dyDescent="0.35">
      <c r="A132">
        <v>131</v>
      </c>
      <c r="B132" s="4">
        <v>0.91000400000000004</v>
      </c>
      <c r="C132" s="4">
        <v>1.0048699999999999</v>
      </c>
    </row>
    <row r="133" spans="1:3" x14ac:dyDescent="0.35">
      <c r="A133">
        <v>132</v>
      </c>
      <c r="B133" s="4">
        <v>0.65901200000000004</v>
      </c>
      <c r="C133" s="4">
        <v>1.2960100000000001</v>
      </c>
    </row>
    <row r="134" spans="1:3" x14ac:dyDescent="0.35">
      <c r="A134">
        <v>133</v>
      </c>
      <c r="B134" s="4">
        <v>0.17923</v>
      </c>
      <c r="C134" s="4">
        <v>0.64053800000000005</v>
      </c>
    </row>
    <row r="135" spans="1:3" x14ac:dyDescent="0.35">
      <c r="A135">
        <v>134</v>
      </c>
      <c r="B135" s="4">
        <v>0.35272199999999998</v>
      </c>
      <c r="C135" s="4">
        <v>0.47818300000000002</v>
      </c>
    </row>
    <row r="136" spans="1:3" x14ac:dyDescent="0.35">
      <c r="A136">
        <v>135</v>
      </c>
      <c r="B136" s="4">
        <v>0.37620500000000001</v>
      </c>
      <c r="C136" s="4">
        <v>0.62311099999999997</v>
      </c>
    </row>
    <row r="137" spans="1:3" x14ac:dyDescent="0.35">
      <c r="A137">
        <v>136</v>
      </c>
      <c r="B137" s="4">
        <v>0.98384099999999997</v>
      </c>
      <c r="C137" s="4">
        <v>1.24718</v>
      </c>
    </row>
    <row r="138" spans="1:3" x14ac:dyDescent="0.35">
      <c r="A138">
        <v>137</v>
      </c>
      <c r="B138" s="4">
        <v>0.51414499999999996</v>
      </c>
      <c r="C138" s="4">
        <v>1.2028300000000001</v>
      </c>
    </row>
    <row r="139" spans="1:3" x14ac:dyDescent="0.35">
      <c r="A139">
        <v>138</v>
      </c>
      <c r="B139" s="4">
        <v>0.36144999999999999</v>
      </c>
      <c r="C139" s="4">
        <v>0.72135199999999999</v>
      </c>
    </row>
    <row r="140" spans="1:3" x14ac:dyDescent="0.35">
      <c r="A140">
        <v>139</v>
      </c>
      <c r="B140" s="4">
        <v>0.93125899999999995</v>
      </c>
      <c r="C140" s="4">
        <v>1.1842699999999999</v>
      </c>
    </row>
    <row r="141" spans="1:3" x14ac:dyDescent="0.35">
      <c r="A141">
        <v>140</v>
      </c>
      <c r="B141" s="4">
        <v>0.82319600000000004</v>
      </c>
      <c r="C141" s="4">
        <v>1.4750799999999999</v>
      </c>
    </row>
    <row r="142" spans="1:3" x14ac:dyDescent="0.35">
      <c r="A142">
        <v>141</v>
      </c>
      <c r="B142" s="4">
        <v>0.678925</v>
      </c>
      <c r="C142" s="4">
        <v>1.2551600000000001</v>
      </c>
    </row>
    <row r="143" spans="1:3" x14ac:dyDescent="0.35">
      <c r="A143">
        <v>142</v>
      </c>
      <c r="B143" s="4">
        <v>0.83641100000000002</v>
      </c>
      <c r="C143" s="4">
        <v>1.31166</v>
      </c>
    </row>
    <row r="144" spans="1:3" x14ac:dyDescent="0.35">
      <c r="A144">
        <v>143</v>
      </c>
      <c r="B144" s="4">
        <v>0.79666099999999995</v>
      </c>
      <c r="C144" s="4">
        <v>1.38215</v>
      </c>
    </row>
    <row r="145" spans="1:3" x14ac:dyDescent="0.35">
      <c r="A145">
        <v>144</v>
      </c>
      <c r="B145" s="4">
        <v>0.630386</v>
      </c>
      <c r="C145" s="4">
        <v>1.1880500000000001</v>
      </c>
    </row>
    <row r="146" spans="1:3" x14ac:dyDescent="0.35">
      <c r="A146">
        <v>145</v>
      </c>
      <c r="B146" s="4">
        <v>0.94140599999999997</v>
      </c>
      <c r="C146" s="4">
        <v>1.3826799999999999</v>
      </c>
    </row>
    <row r="147" spans="1:3" x14ac:dyDescent="0.35">
      <c r="A147">
        <v>146</v>
      </c>
      <c r="B147" s="4">
        <v>0.46701100000000001</v>
      </c>
      <c r="C147" s="4">
        <v>1.12599</v>
      </c>
    </row>
    <row r="148" spans="1:3" x14ac:dyDescent="0.35">
      <c r="A148">
        <v>147</v>
      </c>
      <c r="B148" s="4">
        <v>0.15026900000000001</v>
      </c>
      <c r="C148" s="4">
        <v>0.47717599999999999</v>
      </c>
    </row>
    <row r="149" spans="1:3" x14ac:dyDescent="0.35">
      <c r="A149">
        <v>148</v>
      </c>
      <c r="B149" s="4">
        <v>0.59996000000000005</v>
      </c>
      <c r="C149" s="4">
        <v>0.705148</v>
      </c>
    </row>
    <row r="150" spans="1:3" x14ac:dyDescent="0.35">
      <c r="A150">
        <v>149</v>
      </c>
      <c r="B150" s="4">
        <v>0.67808500000000005</v>
      </c>
      <c r="C150" s="4">
        <v>1.09806</v>
      </c>
    </row>
    <row r="151" spans="1:3" x14ac:dyDescent="0.35">
      <c r="A151">
        <v>150</v>
      </c>
      <c r="B151" s="4">
        <v>0.64474500000000001</v>
      </c>
      <c r="C151" s="4">
        <v>1.1194</v>
      </c>
    </row>
    <row r="152" spans="1:3" x14ac:dyDescent="0.35">
      <c r="A152">
        <v>151</v>
      </c>
      <c r="B152" s="4">
        <v>0.352356</v>
      </c>
      <c r="C152" s="4">
        <v>0.80367699999999997</v>
      </c>
    </row>
    <row r="153" spans="1:3" x14ac:dyDescent="0.35">
      <c r="A153">
        <v>152</v>
      </c>
      <c r="B153" s="4">
        <v>0.16555800000000001</v>
      </c>
      <c r="C153" s="4">
        <v>0.41220699999999999</v>
      </c>
    </row>
    <row r="154" spans="1:3" x14ac:dyDescent="0.35">
      <c r="A154">
        <v>153</v>
      </c>
      <c r="B154" s="4">
        <v>0.777451</v>
      </c>
      <c r="C154" s="4">
        <v>0.89334100000000005</v>
      </c>
    </row>
    <row r="155" spans="1:3" x14ac:dyDescent="0.35">
      <c r="A155">
        <v>154</v>
      </c>
      <c r="B155" s="4">
        <v>0.64390599999999998</v>
      </c>
      <c r="C155" s="4">
        <v>1.1881200000000001</v>
      </c>
    </row>
    <row r="156" spans="1:3" x14ac:dyDescent="0.35">
      <c r="A156">
        <v>155</v>
      </c>
      <c r="B156" s="4">
        <v>0.17330899999999999</v>
      </c>
      <c r="C156" s="4">
        <v>0.62404300000000001</v>
      </c>
    </row>
    <row r="157" spans="1:3" x14ac:dyDescent="0.35">
      <c r="A157">
        <v>156</v>
      </c>
      <c r="B157" s="4">
        <v>0.89170799999999995</v>
      </c>
      <c r="C157" s="4">
        <v>1.01302</v>
      </c>
    </row>
    <row r="158" spans="1:3" x14ac:dyDescent="0.35">
      <c r="A158">
        <v>157</v>
      </c>
      <c r="B158" s="4">
        <v>0.104019</v>
      </c>
      <c r="C158" s="4">
        <v>0.72821499999999995</v>
      </c>
    </row>
    <row r="159" spans="1:3" x14ac:dyDescent="0.35">
      <c r="A159">
        <v>158</v>
      </c>
      <c r="B159" s="4">
        <v>0.28259299999999998</v>
      </c>
      <c r="C159" s="4">
        <v>0.355406</v>
      </c>
    </row>
    <row r="160" spans="1:3" x14ac:dyDescent="0.35">
      <c r="A160">
        <v>159</v>
      </c>
      <c r="B160" s="4">
        <v>0.70375100000000002</v>
      </c>
      <c r="C160" s="4">
        <v>0.90156599999999998</v>
      </c>
    </row>
    <row r="161" spans="1:3" x14ac:dyDescent="0.35">
      <c r="A161">
        <v>160</v>
      </c>
      <c r="B161" s="4">
        <v>9.5916699999999994E-2</v>
      </c>
      <c r="C161" s="4">
        <v>0.58854200000000001</v>
      </c>
    </row>
    <row r="162" spans="1:3" x14ac:dyDescent="0.35">
      <c r="A162">
        <v>161</v>
      </c>
      <c r="B162" s="4">
        <v>0.27873199999999998</v>
      </c>
      <c r="C162" s="4">
        <v>0.34587400000000001</v>
      </c>
    </row>
    <row r="163" spans="1:3" x14ac:dyDescent="0.35">
      <c r="A163">
        <v>162</v>
      </c>
      <c r="B163" s="4">
        <v>0.71731599999999995</v>
      </c>
      <c r="C163" s="4">
        <v>0.91242800000000002</v>
      </c>
    </row>
    <row r="164" spans="1:3" x14ac:dyDescent="0.35">
      <c r="A164">
        <v>163</v>
      </c>
      <c r="B164" s="4">
        <v>4.6707199999999997E-2</v>
      </c>
      <c r="C164" s="4">
        <v>0.54882799999999998</v>
      </c>
    </row>
    <row r="165" spans="1:3" x14ac:dyDescent="0.35">
      <c r="A165">
        <v>164</v>
      </c>
      <c r="B165" s="4">
        <v>0.106964</v>
      </c>
      <c r="C165" s="4">
        <v>0.13965900000000001</v>
      </c>
    </row>
    <row r="166" spans="1:3" x14ac:dyDescent="0.35">
      <c r="A166">
        <v>165</v>
      </c>
      <c r="B166" s="4">
        <v>0.79794299999999996</v>
      </c>
      <c r="C166" s="4">
        <v>0.87281799999999998</v>
      </c>
    </row>
    <row r="167" spans="1:3" x14ac:dyDescent="0.35">
      <c r="A167">
        <v>166</v>
      </c>
      <c r="B167" s="4">
        <v>3.7200900000000002E-2</v>
      </c>
      <c r="C167" s="4">
        <v>0.59576099999999999</v>
      </c>
    </row>
    <row r="168" spans="1:3" x14ac:dyDescent="0.35">
      <c r="A168">
        <v>167</v>
      </c>
      <c r="B168" s="4">
        <v>0.46722399999999997</v>
      </c>
      <c r="C168" s="4">
        <v>0.49326500000000001</v>
      </c>
    </row>
    <row r="169" spans="1:3" x14ac:dyDescent="0.35">
      <c r="A169">
        <v>168</v>
      </c>
      <c r="B169" s="4">
        <v>0.74517800000000001</v>
      </c>
      <c r="C169" s="4">
        <v>1.0722400000000001</v>
      </c>
    </row>
    <row r="170" spans="1:3" x14ac:dyDescent="0.35">
      <c r="A170">
        <v>169</v>
      </c>
      <c r="B170" s="4">
        <v>0.24679599999999999</v>
      </c>
      <c r="C170" s="4">
        <v>0.76841999999999999</v>
      </c>
    </row>
    <row r="171" spans="1:3" x14ac:dyDescent="0.35">
      <c r="A171">
        <v>170</v>
      </c>
      <c r="B171" s="4">
        <v>0.137543</v>
      </c>
      <c r="C171" s="4">
        <v>0.31030000000000002</v>
      </c>
    </row>
    <row r="172" spans="1:3" x14ac:dyDescent="0.35">
      <c r="A172">
        <v>171</v>
      </c>
      <c r="B172" s="4">
        <v>0.78579699999999997</v>
      </c>
      <c r="C172" s="4">
        <v>0.882077</v>
      </c>
    </row>
    <row r="173" spans="1:3" x14ac:dyDescent="0.35">
      <c r="A173">
        <v>172</v>
      </c>
      <c r="B173" s="4">
        <v>0.92581199999999997</v>
      </c>
      <c r="C173" s="4">
        <v>1.47587</v>
      </c>
    </row>
    <row r="174" spans="1:3" x14ac:dyDescent="0.35">
      <c r="A174">
        <v>173</v>
      </c>
      <c r="B174" s="4">
        <v>0.34550500000000001</v>
      </c>
      <c r="C174" s="4">
        <v>0.99357300000000004</v>
      </c>
    </row>
    <row r="175" spans="1:3" x14ac:dyDescent="0.35">
      <c r="A175">
        <v>174</v>
      </c>
      <c r="B175" s="4">
        <v>0.92215000000000003</v>
      </c>
      <c r="C175" s="4">
        <v>1.1639999999999999</v>
      </c>
    </row>
    <row r="176" spans="1:3" x14ac:dyDescent="0.35">
      <c r="A176">
        <v>175</v>
      </c>
      <c r="B176" s="4">
        <v>0.61090100000000003</v>
      </c>
      <c r="C176" s="4">
        <v>1.25641</v>
      </c>
    </row>
    <row r="177" spans="1:3" x14ac:dyDescent="0.35">
      <c r="A177">
        <v>176</v>
      </c>
      <c r="B177" s="4">
        <v>0.42929099999999998</v>
      </c>
      <c r="C177" s="4">
        <v>0.85692100000000004</v>
      </c>
    </row>
    <row r="178" spans="1:3" x14ac:dyDescent="0.35">
      <c r="A178">
        <v>177</v>
      </c>
      <c r="B178" s="4">
        <v>0.18368499999999999</v>
      </c>
      <c r="C178" s="4">
        <v>0.48418899999999998</v>
      </c>
    </row>
    <row r="179" spans="1:3" x14ac:dyDescent="0.35">
      <c r="A179">
        <v>178</v>
      </c>
      <c r="B179" s="4">
        <v>0.26377899999999999</v>
      </c>
      <c r="C179" s="4">
        <v>0.39235799999999998</v>
      </c>
    </row>
    <row r="180" spans="1:3" x14ac:dyDescent="0.35">
      <c r="A180">
        <v>179</v>
      </c>
      <c r="B180" s="4">
        <v>0.36302200000000001</v>
      </c>
      <c r="C180" s="4">
        <v>0.54766700000000001</v>
      </c>
    </row>
    <row r="181" spans="1:3" x14ac:dyDescent="0.35">
      <c r="A181">
        <v>180</v>
      </c>
      <c r="B181" s="4">
        <v>0.50907899999999995</v>
      </c>
      <c r="C181" s="4">
        <v>0.76319400000000004</v>
      </c>
    </row>
    <row r="182" spans="1:3" x14ac:dyDescent="0.35">
      <c r="A182">
        <v>181</v>
      </c>
      <c r="B182" s="4">
        <v>0.20716899999999999</v>
      </c>
      <c r="C182" s="4">
        <v>0.56352400000000002</v>
      </c>
    </row>
    <row r="183" spans="1:3" x14ac:dyDescent="0.35">
      <c r="A183">
        <v>182</v>
      </c>
      <c r="B183" s="4">
        <v>0.971939</v>
      </c>
      <c r="C183" s="4">
        <v>1.11696</v>
      </c>
    </row>
    <row r="184" spans="1:3" x14ac:dyDescent="0.35">
      <c r="A184">
        <v>183</v>
      </c>
      <c r="B184" s="4">
        <v>0.49621599999999999</v>
      </c>
      <c r="C184" s="4">
        <v>1.1765699999999999</v>
      </c>
    </row>
    <row r="185" spans="1:3" x14ac:dyDescent="0.35">
      <c r="A185">
        <v>184</v>
      </c>
      <c r="B185" s="4">
        <v>0.106735</v>
      </c>
      <c r="C185" s="4">
        <v>0.45408599999999999</v>
      </c>
    </row>
    <row r="186" spans="1:3" x14ac:dyDescent="0.35">
      <c r="A186">
        <v>185</v>
      </c>
      <c r="B186" s="4">
        <v>0.13792399999999999</v>
      </c>
      <c r="C186" s="4">
        <v>0.21263899999999999</v>
      </c>
    </row>
    <row r="187" spans="1:3" x14ac:dyDescent="0.35">
      <c r="A187">
        <v>186</v>
      </c>
      <c r="B187" s="4">
        <v>0.259048</v>
      </c>
      <c r="C187" s="4">
        <v>0.35559499999999999</v>
      </c>
    </row>
    <row r="188" spans="1:3" x14ac:dyDescent="0.35">
      <c r="A188">
        <v>187</v>
      </c>
      <c r="B188" s="4">
        <v>0.88268999999999997</v>
      </c>
      <c r="C188" s="4">
        <v>1.06402</v>
      </c>
    </row>
    <row r="189" spans="1:3" x14ac:dyDescent="0.35">
      <c r="A189">
        <v>188</v>
      </c>
      <c r="B189" s="4">
        <v>0.55232199999999998</v>
      </c>
      <c r="C189" s="4">
        <v>1.17021</v>
      </c>
    </row>
    <row r="190" spans="1:3" x14ac:dyDescent="0.35">
      <c r="A190">
        <v>189</v>
      </c>
      <c r="B190" s="4">
        <v>0.115463</v>
      </c>
      <c r="C190" s="4">
        <v>0.50208900000000001</v>
      </c>
    </row>
    <row r="191" spans="1:3" x14ac:dyDescent="0.35">
      <c r="A191">
        <v>190</v>
      </c>
      <c r="B191" s="4">
        <v>0.65508999999999995</v>
      </c>
      <c r="C191" s="4">
        <v>0.73591499999999999</v>
      </c>
    </row>
    <row r="192" spans="1:3" x14ac:dyDescent="0.35">
      <c r="A192">
        <v>191</v>
      </c>
      <c r="B192" s="4">
        <v>0.32397500000000001</v>
      </c>
      <c r="C192" s="4">
        <v>0.78253799999999996</v>
      </c>
    </row>
    <row r="193" spans="1:6" x14ac:dyDescent="0.35">
      <c r="A193">
        <v>192</v>
      </c>
      <c r="B193" s="4">
        <v>0.162109</v>
      </c>
      <c r="C193" s="4">
        <v>0.38889200000000002</v>
      </c>
    </row>
    <row r="194" spans="1:6" x14ac:dyDescent="0.35">
      <c r="A194">
        <v>193</v>
      </c>
      <c r="B194" s="4">
        <v>0.70201100000000005</v>
      </c>
      <c r="C194" s="4">
        <v>0.81548799999999999</v>
      </c>
    </row>
    <row r="195" spans="1:6" x14ac:dyDescent="0.35">
      <c r="A195">
        <v>194</v>
      </c>
      <c r="B195" s="4">
        <v>0.85465999999999998</v>
      </c>
      <c r="C195" s="4">
        <v>1.3460700000000001</v>
      </c>
    </row>
    <row r="196" spans="1:6" x14ac:dyDescent="0.35">
      <c r="A196">
        <v>195</v>
      </c>
      <c r="B196" s="4">
        <v>0.48085</v>
      </c>
      <c r="C196" s="4">
        <v>1.07911</v>
      </c>
    </row>
    <row r="197" spans="1:6" x14ac:dyDescent="0.35">
      <c r="A197">
        <v>196</v>
      </c>
      <c r="B197" s="4">
        <v>0.84347499999999997</v>
      </c>
      <c r="C197" s="4">
        <v>1.18007</v>
      </c>
    </row>
    <row r="198" spans="1:6" x14ac:dyDescent="0.35">
      <c r="A198">
        <v>197</v>
      </c>
      <c r="B198" s="4">
        <v>0.40860000000000002</v>
      </c>
      <c r="C198" s="4">
        <v>0.99903299999999995</v>
      </c>
    </row>
    <row r="199" spans="1:6" x14ac:dyDescent="0.35">
      <c r="A199">
        <v>198</v>
      </c>
      <c r="B199" s="4">
        <v>0.58171099999999998</v>
      </c>
      <c r="C199" s="4">
        <v>0.86773100000000003</v>
      </c>
      <c r="E199" s="7"/>
      <c r="F199" s="8"/>
    </row>
    <row r="200" spans="1:6" x14ac:dyDescent="0.35">
      <c r="A200">
        <v>199</v>
      </c>
      <c r="B200" s="4">
        <v>0.97593700000000005</v>
      </c>
      <c r="C200" s="4">
        <v>1.38313</v>
      </c>
      <c r="E200" s="7"/>
      <c r="F200" s="9"/>
    </row>
    <row r="201" spans="1:6" x14ac:dyDescent="0.35">
      <c r="A201">
        <v>200</v>
      </c>
      <c r="B201" s="4">
        <v>0.68396000000000001</v>
      </c>
      <c r="C201" s="4">
        <v>1.3671199999999999</v>
      </c>
      <c r="E201" s="7"/>
      <c r="F201" s="9"/>
    </row>
    <row r="202" spans="1:6" x14ac:dyDescent="0.35">
      <c r="C202" s="4"/>
      <c r="E202" s="7"/>
      <c r="F202" s="9"/>
    </row>
    <row r="203" spans="1:6" x14ac:dyDescent="0.35">
      <c r="C203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03"/>
  <sheetViews>
    <sheetView workbookViewId="0">
      <pane ySplit="1" topLeftCell="A2" activePane="bottomLeft" state="frozen"/>
      <selection pane="bottomLeft" activeCell="V26" sqref="V26"/>
    </sheetView>
  </sheetViews>
  <sheetFormatPr defaultRowHeight="14.5" x14ac:dyDescent="0.35"/>
  <cols>
    <col min="1" max="1" width="4" bestFit="1" customWidth="1"/>
    <col min="2" max="2" width="9.08984375" customWidth="1"/>
    <col min="4" max="4" width="4.6328125" customWidth="1"/>
    <col min="6" max="6" width="13.453125" bestFit="1" customWidth="1"/>
    <col min="14" max="14" width="4" bestFit="1" customWidth="1"/>
    <col min="16" max="16" width="10" bestFit="1" customWidth="1"/>
    <col min="18" max="18" width="3.36328125" customWidth="1"/>
    <col min="19" max="19" width="9" customWidth="1"/>
    <col min="20" max="20" width="12" bestFit="1" customWidth="1"/>
  </cols>
  <sheetData>
    <row r="1" spans="1:28" ht="29" x14ac:dyDescent="0.35">
      <c r="A1" t="s">
        <v>15</v>
      </c>
      <c r="B1" s="3" t="s">
        <v>8</v>
      </c>
      <c r="C1" s="3" t="s">
        <v>10</v>
      </c>
      <c r="E1" t="s">
        <v>33</v>
      </c>
      <c r="F1" s="4">
        <v>0.5</v>
      </c>
      <c r="N1" t="s">
        <v>15</v>
      </c>
      <c r="O1" s="3" t="s">
        <v>37</v>
      </c>
      <c r="P1" s="10" t="s">
        <v>44</v>
      </c>
      <c r="Q1" t="s">
        <v>40</v>
      </c>
    </row>
    <row r="2" spans="1:28" x14ac:dyDescent="0.35">
      <c r="A2">
        <v>1</v>
      </c>
      <c r="B2" s="4">
        <v>0.25645400000000002</v>
      </c>
      <c r="C2" s="4">
        <v>0.24</v>
      </c>
      <c r="N2">
        <v>1</v>
      </c>
      <c r="O2" s="4">
        <v>0.24</v>
      </c>
      <c r="S2" t="s">
        <v>36</v>
      </c>
      <c r="T2">
        <v>0.8</v>
      </c>
    </row>
    <row r="3" spans="1:28" x14ac:dyDescent="0.35">
      <c r="A3">
        <v>2</v>
      </c>
      <c r="B3" s="4">
        <v>0.23024</v>
      </c>
      <c r="C3" s="4">
        <v>0.35024</v>
      </c>
      <c r="E3">
        <f>$F$1*C2+B3</f>
        <v>0.35024</v>
      </c>
      <c r="F3" t="s">
        <v>34</v>
      </c>
      <c r="N3">
        <v>2</v>
      </c>
      <c r="O3" s="4">
        <v>0.35024</v>
      </c>
      <c r="P3">
        <f>$T$2+$T$3*O2</f>
        <v>0.89600000000000002</v>
      </c>
      <c r="Q3">
        <f>O3-P3</f>
        <v>-0.54576000000000002</v>
      </c>
      <c r="S3" t="s">
        <v>33</v>
      </c>
      <c r="T3">
        <v>0.4</v>
      </c>
    </row>
    <row r="4" spans="1:28" x14ac:dyDescent="0.35">
      <c r="A4">
        <v>3</v>
      </c>
      <c r="B4" s="4">
        <v>0.67518599999999995</v>
      </c>
      <c r="C4" s="4">
        <v>0.85030600000000001</v>
      </c>
      <c r="E4">
        <f>$F$1*C3+B4</f>
        <v>0.85030600000000001</v>
      </c>
      <c r="F4" t="s">
        <v>35</v>
      </c>
      <c r="N4">
        <v>3</v>
      </c>
      <c r="O4" s="4">
        <v>0.85030600000000001</v>
      </c>
      <c r="P4">
        <f t="shared" ref="P4:P67" si="0">$T$2+$T$3*O3</f>
        <v>0.94009600000000004</v>
      </c>
      <c r="Q4">
        <f t="shared" ref="Q4:Q67" si="1">O4-P4</f>
        <v>-8.9790000000000036E-2</v>
      </c>
      <c r="S4" t="s">
        <v>38</v>
      </c>
      <c r="T4" s="12">
        <f t="array" ref="T4">SUM(Q3:Q201^2)</f>
        <v>27.866155711580173</v>
      </c>
    </row>
    <row r="5" spans="1:28" x14ac:dyDescent="0.35">
      <c r="A5">
        <v>4</v>
      </c>
      <c r="B5" s="4">
        <v>4.75159E-2</v>
      </c>
      <c r="C5" s="4">
        <v>0.47266900000000001</v>
      </c>
      <c r="N5">
        <v>4</v>
      </c>
      <c r="O5" s="4">
        <v>0.47266900000000001</v>
      </c>
      <c r="P5">
        <f t="shared" si="0"/>
        <v>1.1401224000000001</v>
      </c>
      <c r="Q5">
        <f t="shared" si="1"/>
        <v>-0.66745340000000009</v>
      </c>
    </row>
    <row r="6" spans="1:28" x14ac:dyDescent="0.35">
      <c r="A6">
        <v>5</v>
      </c>
      <c r="B6" s="4">
        <v>0.71682699999999999</v>
      </c>
      <c r="C6" s="4">
        <v>0.95316199999999995</v>
      </c>
      <c r="N6">
        <v>5</v>
      </c>
      <c r="O6" s="4">
        <v>0.95316199999999995</v>
      </c>
      <c r="P6">
        <f t="shared" si="0"/>
        <v>0.98906760000000005</v>
      </c>
      <c r="Q6">
        <f t="shared" si="1"/>
        <v>-3.5905600000000093E-2</v>
      </c>
    </row>
    <row r="7" spans="1:28" x14ac:dyDescent="0.35">
      <c r="A7">
        <v>6</v>
      </c>
      <c r="B7" s="4">
        <v>0.85461399999999998</v>
      </c>
      <c r="C7" s="4">
        <v>1.3311999999999999</v>
      </c>
      <c r="N7">
        <v>6</v>
      </c>
      <c r="O7" s="4">
        <v>1.3311999999999999</v>
      </c>
      <c r="P7">
        <f t="shared" si="0"/>
        <v>1.1812648000000001</v>
      </c>
      <c r="Q7">
        <f t="shared" si="1"/>
        <v>0.14993519999999982</v>
      </c>
    </row>
    <row r="8" spans="1:28" x14ac:dyDescent="0.35">
      <c r="A8">
        <v>7</v>
      </c>
      <c r="B8" s="4">
        <v>0.55798300000000001</v>
      </c>
      <c r="C8" s="4">
        <v>1.2235799999999999</v>
      </c>
      <c r="N8">
        <v>7</v>
      </c>
      <c r="O8" s="4">
        <v>1.2235799999999999</v>
      </c>
      <c r="P8">
        <f t="shared" si="0"/>
        <v>1.3324799999999999</v>
      </c>
      <c r="Q8">
        <f t="shared" si="1"/>
        <v>-0.1089</v>
      </c>
    </row>
    <row r="9" spans="1:28" x14ac:dyDescent="0.35">
      <c r="A9">
        <v>8</v>
      </c>
      <c r="B9" s="4">
        <v>3.9031999999999997E-2</v>
      </c>
      <c r="C9" s="4">
        <v>0.65082200000000001</v>
      </c>
      <c r="N9">
        <v>8</v>
      </c>
      <c r="O9" s="4">
        <v>0.65082200000000001</v>
      </c>
      <c r="P9">
        <f t="shared" si="0"/>
        <v>1.2894320000000001</v>
      </c>
      <c r="Q9">
        <f t="shared" si="1"/>
        <v>-0.63861000000000012</v>
      </c>
      <c r="S9" t="s">
        <v>39</v>
      </c>
    </row>
    <row r="10" spans="1:28" x14ac:dyDescent="0.35">
      <c r="A10">
        <v>9</v>
      </c>
      <c r="B10" s="4">
        <v>0.184616</v>
      </c>
      <c r="C10" s="4">
        <v>0.51002700000000001</v>
      </c>
      <c r="N10">
        <v>9</v>
      </c>
      <c r="O10" s="4">
        <v>0.51002700000000001</v>
      </c>
      <c r="P10">
        <f t="shared" si="0"/>
        <v>1.0603288000000002</v>
      </c>
      <c r="Q10">
        <f t="shared" si="1"/>
        <v>-0.55030180000000017</v>
      </c>
      <c r="S10" s="15">
        <f>T4</f>
        <v>27.866155711580173</v>
      </c>
      <c r="T10" s="16">
        <v>0.1</v>
      </c>
      <c r="U10" s="16">
        <v>0.2</v>
      </c>
      <c r="V10" s="16">
        <v>0.3</v>
      </c>
      <c r="W10" s="16">
        <v>0.4</v>
      </c>
      <c r="X10" s="16">
        <v>0.5</v>
      </c>
      <c r="Y10" s="16">
        <v>0.6</v>
      </c>
      <c r="Z10" s="16">
        <v>0.7</v>
      </c>
      <c r="AA10" s="16">
        <v>0.8</v>
      </c>
      <c r="AB10" s="16">
        <v>0.9</v>
      </c>
    </row>
    <row r="11" spans="1:28" x14ac:dyDescent="0.35">
      <c r="A11">
        <v>10</v>
      </c>
      <c r="B11" s="4">
        <v>1.67999E-2</v>
      </c>
      <c r="C11" s="4">
        <v>0.271814</v>
      </c>
      <c r="N11">
        <v>10</v>
      </c>
      <c r="O11" s="4">
        <v>0.271814</v>
      </c>
      <c r="P11">
        <f t="shared" si="0"/>
        <v>1.0040108000000001</v>
      </c>
      <c r="Q11">
        <f t="shared" si="1"/>
        <v>-0.73219680000000009</v>
      </c>
      <c r="S11" s="14">
        <v>0.1</v>
      </c>
      <c r="T11" s="12">
        <f t="dataTable" ref="T11:AB19" dt2D="1" dtr="1" r1="T3" r2="T2"/>
        <v>131.51192394166955</v>
      </c>
      <c r="U11" s="12">
        <v>103.93103727603142</v>
      </c>
      <c r="V11" s="12">
        <v>80.278879146001628</v>
      </c>
      <c r="W11" s="12">
        <v>60.555449551580146</v>
      </c>
      <c r="X11" s="12">
        <v>44.760748492767014</v>
      </c>
      <c r="Y11" s="12">
        <v>32.894775969562154</v>
      </c>
      <c r="Z11" s="12">
        <v>24.957531981965623</v>
      </c>
      <c r="AA11" s="12">
        <v>20.949016529977445</v>
      </c>
      <c r="AB11" s="12">
        <v>20.869229613597565</v>
      </c>
    </row>
    <row r="12" spans="1:28" x14ac:dyDescent="0.35">
      <c r="A12">
        <v>11</v>
      </c>
      <c r="B12" s="4">
        <v>0.59606899999999996</v>
      </c>
      <c r="C12" s="4">
        <v>0.73197599999999996</v>
      </c>
      <c r="N12">
        <v>11</v>
      </c>
      <c r="O12" s="4">
        <v>0.73197599999999996</v>
      </c>
      <c r="P12">
        <f t="shared" si="0"/>
        <v>0.90872560000000002</v>
      </c>
      <c r="Q12">
        <f t="shared" si="1"/>
        <v>-0.17674960000000006</v>
      </c>
      <c r="S12" s="14">
        <v>0.2</v>
      </c>
      <c r="T12" s="12">
        <v>103.73380026166951</v>
      </c>
      <c r="U12" s="12">
        <v>79.875655116031396</v>
      </c>
      <c r="V12" s="12">
        <v>59.946238506001627</v>
      </c>
      <c r="W12" s="12">
        <v>43.945550431580173</v>
      </c>
      <c r="X12" s="12">
        <v>31.873590892766995</v>
      </c>
      <c r="Y12" s="12">
        <v>23.730359889562155</v>
      </c>
      <c r="Z12" s="12">
        <v>19.515857421965627</v>
      </c>
      <c r="AA12" s="12">
        <v>19.230083489977449</v>
      </c>
      <c r="AB12" s="12">
        <v>22.873038093597565</v>
      </c>
    </row>
    <row r="13" spans="1:28" x14ac:dyDescent="0.35">
      <c r="A13">
        <v>12</v>
      </c>
      <c r="B13" s="4">
        <v>0.23567199999999999</v>
      </c>
      <c r="C13" s="4">
        <v>0.60165999999999997</v>
      </c>
      <c r="N13">
        <v>12</v>
      </c>
      <c r="O13" s="4">
        <v>0.60165999999999997</v>
      </c>
      <c r="P13">
        <f t="shared" si="0"/>
        <v>1.0927904000000002</v>
      </c>
      <c r="Q13">
        <f t="shared" si="1"/>
        <v>-0.49113040000000019</v>
      </c>
      <c r="S13" s="14">
        <v>0.3</v>
      </c>
      <c r="T13" s="12">
        <v>79.935676581669497</v>
      </c>
      <c r="U13" s="12">
        <v>59.800272956031449</v>
      </c>
      <c r="V13" s="12">
        <v>43.593597866001666</v>
      </c>
      <c r="W13" s="12">
        <v>31.315651311580165</v>
      </c>
      <c r="X13" s="12">
        <v>22.966433292767011</v>
      </c>
      <c r="Y13" s="12">
        <v>18.54594380956215</v>
      </c>
      <c r="Z13" s="12">
        <v>18.054182861965632</v>
      </c>
      <c r="AA13" s="12">
        <v>21.49115044997744</v>
      </c>
      <c r="AB13" s="12">
        <v>28.856846573597569</v>
      </c>
    </row>
    <row r="14" spans="1:28" x14ac:dyDescent="0.35">
      <c r="A14">
        <v>13</v>
      </c>
      <c r="B14" s="4">
        <v>7.2448700000000005E-2</v>
      </c>
      <c r="C14" s="4">
        <v>0.37327900000000003</v>
      </c>
      <c r="N14">
        <v>13</v>
      </c>
      <c r="O14" s="4">
        <v>0.37327900000000003</v>
      </c>
      <c r="P14">
        <f t="shared" si="0"/>
        <v>1.040664</v>
      </c>
      <c r="Q14">
        <f t="shared" si="1"/>
        <v>-0.66738500000000001</v>
      </c>
      <c r="S14" s="14">
        <v>0.4</v>
      </c>
      <c r="T14" s="12">
        <v>60.117552901669541</v>
      </c>
      <c r="U14" s="12">
        <v>43.704890796031442</v>
      </c>
      <c r="V14" s="12">
        <v>31.220957226001627</v>
      </c>
      <c r="W14" s="12">
        <v>22.665752191580168</v>
      </c>
      <c r="X14" s="12">
        <v>18.03927569276701</v>
      </c>
      <c r="Y14" s="12">
        <v>17.341527729562156</v>
      </c>
      <c r="Z14" s="12">
        <v>20.572508301965623</v>
      </c>
      <c r="AA14" s="12">
        <v>27.732217409977441</v>
      </c>
      <c r="AB14" s="12">
        <v>38.820655053597591</v>
      </c>
    </row>
    <row r="15" spans="1:28" x14ac:dyDescent="0.35">
      <c r="A15">
        <v>14</v>
      </c>
      <c r="B15" s="4">
        <v>0.85891700000000004</v>
      </c>
      <c r="C15" s="4">
        <v>1.04556</v>
      </c>
      <c r="N15">
        <v>14</v>
      </c>
      <c r="O15" s="4">
        <v>1.04556</v>
      </c>
      <c r="P15">
        <f t="shared" si="0"/>
        <v>0.94931160000000003</v>
      </c>
      <c r="Q15">
        <f t="shared" si="1"/>
        <v>9.6248400000000012E-2</v>
      </c>
      <c r="S15" s="14">
        <v>0.5</v>
      </c>
      <c r="T15" s="12">
        <v>44.279429221669552</v>
      </c>
      <c r="U15" s="12">
        <v>31.589508636031447</v>
      </c>
      <c r="V15" s="12">
        <v>22.828316586001648</v>
      </c>
      <c r="W15" s="12">
        <v>17.995853071580154</v>
      </c>
      <c r="X15" s="13">
        <v>17.092118092767006</v>
      </c>
      <c r="Y15" s="12">
        <v>20.117111649562155</v>
      </c>
      <c r="Z15" s="12">
        <v>27.070833741965618</v>
      </c>
      <c r="AA15" s="12">
        <v>37.95328436997746</v>
      </c>
      <c r="AB15" s="12">
        <v>52.764463533597585</v>
      </c>
    </row>
    <row r="16" spans="1:28" x14ac:dyDescent="0.35">
      <c r="A16">
        <v>15</v>
      </c>
      <c r="B16" s="4">
        <v>0.83085600000000004</v>
      </c>
      <c r="C16" s="4">
        <v>1.3536300000000001</v>
      </c>
      <c r="N16">
        <v>15</v>
      </c>
      <c r="O16" s="4">
        <v>1.3536300000000001</v>
      </c>
      <c r="P16">
        <f t="shared" si="0"/>
        <v>1.2182240000000002</v>
      </c>
      <c r="Q16">
        <f t="shared" si="1"/>
        <v>0.13540599999999992</v>
      </c>
      <c r="S16" s="14">
        <v>0.6</v>
      </c>
      <c r="T16" s="12">
        <v>32.421305541669554</v>
      </c>
      <c r="U16" s="12">
        <v>23.454126476031448</v>
      </c>
      <c r="V16" s="12">
        <v>18.415675946001649</v>
      </c>
      <c r="W16" s="12">
        <v>17.305953951580157</v>
      </c>
      <c r="X16" s="12">
        <v>20.124960492766998</v>
      </c>
      <c r="Y16" s="12">
        <v>26.872695569562143</v>
      </c>
      <c r="Z16" s="12">
        <v>37.549159181965621</v>
      </c>
      <c r="AA16" s="12">
        <v>52.154351329977438</v>
      </c>
      <c r="AB16" s="12">
        <v>70.68827201359754</v>
      </c>
    </row>
    <row r="17" spans="1:28" x14ac:dyDescent="0.35">
      <c r="A17">
        <v>16</v>
      </c>
      <c r="B17" s="4">
        <v>0.21592700000000001</v>
      </c>
      <c r="C17" s="4">
        <v>0.89274399999999998</v>
      </c>
      <c r="N17">
        <v>16</v>
      </c>
      <c r="O17" s="4">
        <v>0.89274399999999998</v>
      </c>
      <c r="P17">
        <f t="shared" si="0"/>
        <v>1.3414520000000001</v>
      </c>
      <c r="Q17">
        <f t="shared" si="1"/>
        <v>-0.44870800000000011</v>
      </c>
      <c r="S17" s="14">
        <v>0.7</v>
      </c>
      <c r="T17" s="12">
        <v>24.543181861669542</v>
      </c>
      <c r="U17" s="12">
        <v>19.298744316031442</v>
      </c>
      <c r="V17" s="12">
        <v>17.983035306001653</v>
      </c>
      <c r="W17" s="12">
        <v>20.596054831580176</v>
      </c>
      <c r="X17" s="12">
        <v>27.137802892766992</v>
      </c>
      <c r="Y17" s="12">
        <v>37.608279489562143</v>
      </c>
      <c r="Z17" s="12">
        <v>52.00748462196561</v>
      </c>
      <c r="AA17" s="12">
        <v>70.335418289977426</v>
      </c>
      <c r="AB17" s="12">
        <v>92.592080493597535</v>
      </c>
    </row>
    <row r="18" spans="1:28" x14ac:dyDescent="0.35">
      <c r="A18">
        <v>17</v>
      </c>
      <c r="B18" s="4">
        <v>0.22300700000000001</v>
      </c>
      <c r="C18" s="4">
        <v>0.66937899999999995</v>
      </c>
      <c r="N18">
        <v>17</v>
      </c>
      <c r="O18" s="4">
        <v>0.66937899999999995</v>
      </c>
      <c r="P18">
        <f t="shared" si="0"/>
        <v>1.1570976000000002</v>
      </c>
      <c r="Q18">
        <f t="shared" si="1"/>
        <v>-0.48771860000000022</v>
      </c>
      <c r="S18" s="14">
        <v>0.8</v>
      </c>
      <c r="T18" s="12">
        <v>20.645058181669569</v>
      </c>
      <c r="U18" s="12">
        <v>19.123362156031448</v>
      </c>
      <c r="V18" s="12">
        <v>21.530394666001648</v>
      </c>
      <c r="W18" s="12">
        <v>27.866155711580173</v>
      </c>
      <c r="X18" s="12">
        <v>38.130645292767007</v>
      </c>
      <c r="Y18" s="12">
        <v>52.323863409562136</v>
      </c>
      <c r="Z18" s="12">
        <v>70.445810061965631</v>
      </c>
      <c r="AA18" s="12">
        <v>92.496485249977397</v>
      </c>
      <c r="AB18" s="12">
        <v>118.47588897359761</v>
      </c>
    </row>
    <row r="19" spans="1:28" x14ac:dyDescent="0.35">
      <c r="A19">
        <v>18</v>
      </c>
      <c r="B19" s="4">
        <v>0.254166</v>
      </c>
      <c r="C19" s="4">
        <v>0.58885500000000002</v>
      </c>
      <c r="N19">
        <v>18</v>
      </c>
      <c r="O19" s="4">
        <v>0.58885500000000002</v>
      </c>
      <c r="P19">
        <f t="shared" si="0"/>
        <v>1.0677516</v>
      </c>
      <c r="Q19">
        <f t="shared" si="1"/>
        <v>-0.47889660000000001</v>
      </c>
      <c r="S19" s="14">
        <v>0.9</v>
      </c>
      <c r="T19" s="12">
        <v>20.726934501669568</v>
      </c>
      <c r="U19" s="12">
        <v>22.92797999603145</v>
      </c>
      <c r="V19" s="12">
        <v>29.057754026001646</v>
      </c>
      <c r="W19" s="12">
        <v>39.116256591580175</v>
      </c>
      <c r="X19" s="12">
        <v>53.103487692767054</v>
      </c>
      <c r="Y19" s="12">
        <v>71.019447329562155</v>
      </c>
      <c r="Z19" s="12">
        <v>92.86413550196562</v>
      </c>
      <c r="AA19" s="12">
        <v>118.63755220997749</v>
      </c>
      <c r="AB19" s="12">
        <v>148.33969745359749</v>
      </c>
    </row>
    <row r="20" spans="1:28" x14ac:dyDescent="0.35">
      <c r="A20">
        <v>19</v>
      </c>
      <c r="B20" s="4">
        <v>0.76403799999999999</v>
      </c>
      <c r="C20" s="4">
        <v>1.05847</v>
      </c>
      <c r="N20">
        <v>19</v>
      </c>
      <c r="O20" s="4">
        <v>1.05847</v>
      </c>
      <c r="P20">
        <f t="shared" si="0"/>
        <v>1.035542</v>
      </c>
      <c r="Q20">
        <f t="shared" si="1"/>
        <v>2.2928000000000059E-2</v>
      </c>
    </row>
    <row r="21" spans="1:28" x14ac:dyDescent="0.35">
      <c r="A21">
        <v>20</v>
      </c>
      <c r="B21" s="4">
        <v>0.28643800000000003</v>
      </c>
      <c r="C21" s="4">
        <v>0.81567100000000003</v>
      </c>
      <c r="N21">
        <v>20</v>
      </c>
      <c r="O21" s="4">
        <v>0.81567100000000003</v>
      </c>
      <c r="P21">
        <f t="shared" si="0"/>
        <v>1.2233880000000001</v>
      </c>
      <c r="Q21">
        <f t="shared" si="1"/>
        <v>-0.40771700000000011</v>
      </c>
    </row>
    <row r="22" spans="1:28" x14ac:dyDescent="0.35">
      <c r="A22">
        <v>21</v>
      </c>
      <c r="B22" s="4">
        <v>0.18040500000000001</v>
      </c>
      <c r="C22" s="4">
        <v>0.58823999999999999</v>
      </c>
      <c r="N22">
        <v>21</v>
      </c>
      <c r="O22" s="4">
        <v>0.58823999999999999</v>
      </c>
      <c r="P22">
        <f t="shared" si="0"/>
        <v>1.1262684000000001</v>
      </c>
      <c r="Q22">
        <f t="shared" si="1"/>
        <v>-0.53802840000000007</v>
      </c>
    </row>
    <row r="23" spans="1:28" x14ac:dyDescent="0.35">
      <c r="A23">
        <v>22</v>
      </c>
      <c r="B23" s="4">
        <v>0.16822799999999999</v>
      </c>
      <c r="C23" s="4">
        <v>0.46234799999999998</v>
      </c>
      <c r="N23">
        <v>22</v>
      </c>
      <c r="O23" s="4">
        <v>0.46234799999999998</v>
      </c>
      <c r="P23">
        <f t="shared" si="0"/>
        <v>1.035296</v>
      </c>
      <c r="Q23">
        <f t="shared" si="1"/>
        <v>-0.57294800000000001</v>
      </c>
    </row>
    <row r="24" spans="1:28" x14ac:dyDescent="0.35">
      <c r="A24">
        <v>23</v>
      </c>
      <c r="B24" s="4">
        <v>0.58662400000000003</v>
      </c>
      <c r="C24" s="4">
        <v>0.81779800000000002</v>
      </c>
      <c r="N24">
        <v>23</v>
      </c>
      <c r="O24" s="4">
        <v>0.81779800000000002</v>
      </c>
      <c r="P24">
        <f t="shared" si="0"/>
        <v>0.98493920000000001</v>
      </c>
      <c r="Q24">
        <f t="shared" si="1"/>
        <v>-0.16714119999999999</v>
      </c>
    </row>
    <row r="25" spans="1:28" x14ac:dyDescent="0.35">
      <c r="A25">
        <v>24</v>
      </c>
      <c r="B25" s="4">
        <v>0.543045</v>
      </c>
      <c r="C25" s="4">
        <v>0.95194400000000001</v>
      </c>
      <c r="N25">
        <v>24</v>
      </c>
      <c r="O25" s="4">
        <v>0.95194400000000001</v>
      </c>
      <c r="P25">
        <f t="shared" si="0"/>
        <v>1.1271192000000001</v>
      </c>
      <c r="Q25">
        <f t="shared" si="1"/>
        <v>-0.17517520000000009</v>
      </c>
    </row>
    <row r="26" spans="1:28" x14ac:dyDescent="0.35">
      <c r="A26">
        <v>25</v>
      </c>
      <c r="B26" s="4">
        <v>0.196655</v>
      </c>
      <c r="C26" s="4">
        <v>0.67262699999999997</v>
      </c>
      <c r="N26">
        <v>25</v>
      </c>
      <c r="O26" s="4">
        <v>0.67262699999999997</v>
      </c>
      <c r="P26">
        <f t="shared" si="0"/>
        <v>1.1807776000000001</v>
      </c>
      <c r="Q26">
        <f t="shared" si="1"/>
        <v>-0.50815060000000012</v>
      </c>
      <c r="S26" s="18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x14ac:dyDescent="0.35">
      <c r="A27">
        <v>26</v>
      </c>
      <c r="B27" s="4">
        <v>0.40217599999999998</v>
      </c>
      <c r="C27" s="4">
        <v>0.73848999999999998</v>
      </c>
      <c r="N27">
        <v>26</v>
      </c>
      <c r="O27" s="4">
        <v>0.73848999999999998</v>
      </c>
      <c r="P27">
        <f t="shared" si="0"/>
        <v>1.0690508000000001</v>
      </c>
      <c r="Q27">
        <f t="shared" si="1"/>
        <v>-0.3305608000000001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x14ac:dyDescent="0.35">
      <c r="A28">
        <v>27</v>
      </c>
      <c r="B28" s="4">
        <v>0.50553899999999996</v>
      </c>
      <c r="C28" s="4">
        <v>0.87478400000000001</v>
      </c>
      <c r="N28">
        <v>27</v>
      </c>
      <c r="O28" s="4">
        <v>0.87478400000000001</v>
      </c>
      <c r="P28">
        <f t="shared" si="0"/>
        <v>1.095396</v>
      </c>
      <c r="Q28">
        <f t="shared" si="1"/>
        <v>-0.22061200000000003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x14ac:dyDescent="0.35">
      <c r="A29">
        <v>28</v>
      </c>
      <c r="B29" s="4">
        <v>0.61654699999999996</v>
      </c>
      <c r="C29" s="4">
        <v>1.0539400000000001</v>
      </c>
      <c r="N29">
        <v>28</v>
      </c>
      <c r="O29" s="4">
        <v>1.0539400000000001</v>
      </c>
      <c r="P29">
        <f t="shared" si="0"/>
        <v>1.1499136000000001</v>
      </c>
      <c r="Q29">
        <f t="shared" si="1"/>
        <v>-9.5973599999999992E-2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x14ac:dyDescent="0.35">
      <c r="A30">
        <v>29</v>
      </c>
      <c r="B30" s="4">
        <v>0.46691899999999997</v>
      </c>
      <c r="C30" s="4">
        <v>0.99388799999999999</v>
      </c>
      <c r="N30">
        <v>29</v>
      </c>
      <c r="O30" s="4">
        <v>0.99388799999999999</v>
      </c>
      <c r="P30">
        <f t="shared" si="0"/>
        <v>1.2215760000000002</v>
      </c>
      <c r="Q30">
        <f t="shared" si="1"/>
        <v>-0.22768800000000022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x14ac:dyDescent="0.35">
      <c r="A31">
        <v>30</v>
      </c>
      <c r="B31" s="4">
        <v>0.61338800000000004</v>
      </c>
      <c r="C31" s="4">
        <v>1.11033</v>
      </c>
      <c r="N31">
        <v>30</v>
      </c>
      <c r="O31" s="4">
        <v>1.11033</v>
      </c>
      <c r="P31">
        <f t="shared" si="0"/>
        <v>1.1975552</v>
      </c>
      <c r="Q31">
        <f t="shared" si="1"/>
        <v>-8.7225200000000003E-2</v>
      </c>
      <c r="S31" s="17"/>
      <c r="T31" s="17"/>
      <c r="U31" s="17"/>
      <c r="V31" s="17"/>
      <c r="W31" s="17"/>
      <c r="Y31" s="17"/>
      <c r="Z31" s="17"/>
      <c r="AA31" s="17"/>
      <c r="AB31" s="17"/>
    </row>
    <row r="32" spans="1:28" x14ac:dyDescent="0.35">
      <c r="A32">
        <v>31</v>
      </c>
      <c r="B32" s="4">
        <v>0.39295999999999998</v>
      </c>
      <c r="C32" s="4">
        <v>0.94812600000000002</v>
      </c>
      <c r="N32">
        <v>31</v>
      </c>
      <c r="O32" s="4">
        <v>0.94812600000000002</v>
      </c>
      <c r="P32">
        <f t="shared" si="0"/>
        <v>1.244132</v>
      </c>
      <c r="Q32">
        <f t="shared" si="1"/>
        <v>-0.29600599999999999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x14ac:dyDescent="0.35">
      <c r="A33">
        <v>32</v>
      </c>
      <c r="B33" s="4">
        <v>0.70535300000000001</v>
      </c>
      <c r="C33" s="4">
        <v>1.1794199999999999</v>
      </c>
      <c r="N33">
        <v>32</v>
      </c>
      <c r="O33" s="4">
        <v>1.1794199999999999</v>
      </c>
      <c r="P33">
        <f t="shared" si="0"/>
        <v>1.1792504000000001</v>
      </c>
      <c r="Q33">
        <f t="shared" si="1"/>
        <v>1.6959999999976993E-4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x14ac:dyDescent="0.35">
      <c r="A34">
        <v>33</v>
      </c>
      <c r="B34" s="4">
        <v>5.96924E-2</v>
      </c>
      <c r="C34" s="4">
        <v>0.64939999999999998</v>
      </c>
      <c r="N34">
        <v>33</v>
      </c>
      <c r="O34" s="4">
        <v>0.64939999999999998</v>
      </c>
      <c r="P34">
        <f t="shared" si="0"/>
        <v>1.271768</v>
      </c>
      <c r="Q34">
        <f t="shared" si="1"/>
        <v>-0.62236800000000003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x14ac:dyDescent="0.35">
      <c r="A35">
        <v>34</v>
      </c>
      <c r="B35" s="4">
        <v>0.31718400000000002</v>
      </c>
      <c r="C35" s="4">
        <v>0.64188500000000004</v>
      </c>
      <c r="N35">
        <v>34</v>
      </c>
      <c r="O35" s="4">
        <v>0.64188500000000004</v>
      </c>
      <c r="P35">
        <f t="shared" si="0"/>
        <v>1.05976</v>
      </c>
      <c r="Q35">
        <f t="shared" si="1"/>
        <v>-0.417875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x14ac:dyDescent="0.35">
      <c r="A36">
        <v>35</v>
      </c>
      <c r="B36" s="4">
        <v>0.93118299999999998</v>
      </c>
      <c r="C36" s="4">
        <v>1.25213</v>
      </c>
      <c r="N36">
        <v>35</v>
      </c>
      <c r="O36" s="4">
        <v>1.25213</v>
      </c>
      <c r="P36">
        <f t="shared" si="0"/>
        <v>1.0567540000000002</v>
      </c>
      <c r="Q36">
        <f t="shared" si="1"/>
        <v>0.19537599999999977</v>
      </c>
    </row>
    <row r="37" spans="1:28" x14ac:dyDescent="0.35">
      <c r="A37">
        <v>36</v>
      </c>
      <c r="B37" s="4">
        <v>0.57911699999999999</v>
      </c>
      <c r="C37" s="4">
        <v>1.2051799999999999</v>
      </c>
      <c r="N37">
        <v>36</v>
      </c>
      <c r="O37" s="4">
        <v>1.2051799999999999</v>
      </c>
      <c r="P37">
        <f t="shared" si="0"/>
        <v>1.3008519999999999</v>
      </c>
      <c r="Q37">
        <f t="shared" si="1"/>
        <v>-9.5671999999999979E-2</v>
      </c>
    </row>
    <row r="38" spans="1:28" x14ac:dyDescent="0.35">
      <c r="A38">
        <v>37</v>
      </c>
      <c r="B38" s="4">
        <v>0.30058299999999999</v>
      </c>
      <c r="C38" s="4">
        <v>0.903173</v>
      </c>
      <c r="N38">
        <v>37</v>
      </c>
      <c r="O38" s="4">
        <v>0.903173</v>
      </c>
      <c r="P38">
        <f t="shared" si="0"/>
        <v>1.2820720000000001</v>
      </c>
      <c r="Q38">
        <f t="shared" si="1"/>
        <v>-0.3788990000000001</v>
      </c>
    </row>
    <row r="39" spans="1:28" x14ac:dyDescent="0.35">
      <c r="A39">
        <v>38</v>
      </c>
      <c r="B39" s="4">
        <v>5.87921E-2</v>
      </c>
      <c r="C39" s="4">
        <v>0.510378</v>
      </c>
      <c r="N39">
        <v>38</v>
      </c>
      <c r="O39" s="4">
        <v>0.510378</v>
      </c>
      <c r="P39">
        <f t="shared" si="0"/>
        <v>1.1612692</v>
      </c>
      <c r="Q39">
        <f t="shared" si="1"/>
        <v>-0.6508912</v>
      </c>
    </row>
    <row r="40" spans="1:28" x14ac:dyDescent="0.35">
      <c r="A40">
        <v>39</v>
      </c>
      <c r="B40" s="4">
        <v>0.31303399999999998</v>
      </c>
      <c r="C40" s="4">
        <v>0.56822300000000003</v>
      </c>
      <c r="N40">
        <v>39</v>
      </c>
      <c r="O40" s="4">
        <v>0.56822300000000003</v>
      </c>
      <c r="P40">
        <f t="shared" si="0"/>
        <v>1.0041512000000001</v>
      </c>
      <c r="Q40">
        <f t="shared" si="1"/>
        <v>-0.4359282000000001</v>
      </c>
    </row>
    <row r="41" spans="1:28" x14ac:dyDescent="0.35">
      <c r="A41">
        <v>40</v>
      </c>
      <c r="B41" s="4">
        <v>0.41755700000000001</v>
      </c>
      <c r="C41" s="4">
        <v>0.70166799999999996</v>
      </c>
      <c r="N41">
        <v>40</v>
      </c>
      <c r="O41" s="4">
        <v>0.70166799999999996</v>
      </c>
      <c r="P41">
        <f t="shared" si="0"/>
        <v>1.0272892</v>
      </c>
      <c r="Q41">
        <f t="shared" si="1"/>
        <v>-0.32562120000000006</v>
      </c>
    </row>
    <row r="42" spans="1:28" x14ac:dyDescent="0.35">
      <c r="A42">
        <v>41</v>
      </c>
      <c r="B42" s="4">
        <v>0.97019999999999995</v>
      </c>
      <c r="C42" s="4">
        <v>1.3210299999999999</v>
      </c>
      <c r="N42">
        <v>41</v>
      </c>
      <c r="O42" s="4">
        <v>1.3210299999999999</v>
      </c>
      <c r="P42">
        <f t="shared" si="0"/>
        <v>1.0806672000000002</v>
      </c>
      <c r="Q42">
        <f t="shared" si="1"/>
        <v>0.24036279999999977</v>
      </c>
    </row>
    <row r="43" spans="1:28" x14ac:dyDescent="0.35">
      <c r="A43">
        <v>42</v>
      </c>
      <c r="B43" s="4">
        <v>0.207764</v>
      </c>
      <c r="C43" s="4">
        <v>0.86828099999999997</v>
      </c>
      <c r="N43">
        <v>42</v>
      </c>
      <c r="O43" s="4">
        <v>0.86828099999999997</v>
      </c>
      <c r="P43">
        <f t="shared" si="0"/>
        <v>1.3284120000000001</v>
      </c>
      <c r="Q43">
        <f t="shared" si="1"/>
        <v>-0.46013100000000018</v>
      </c>
    </row>
    <row r="44" spans="1:28" x14ac:dyDescent="0.35">
      <c r="A44">
        <v>43</v>
      </c>
      <c r="B44" s="4">
        <v>0.13600200000000001</v>
      </c>
      <c r="C44" s="4">
        <v>0.57014200000000004</v>
      </c>
      <c r="N44">
        <v>43</v>
      </c>
      <c r="O44" s="4">
        <v>0.57014200000000004</v>
      </c>
      <c r="P44">
        <f t="shared" si="0"/>
        <v>1.1473124000000001</v>
      </c>
      <c r="Q44">
        <f t="shared" si="1"/>
        <v>-0.57717040000000008</v>
      </c>
    </row>
    <row r="45" spans="1:28" x14ac:dyDescent="0.35">
      <c r="A45">
        <v>44</v>
      </c>
      <c r="B45" s="4">
        <v>0.96398899999999998</v>
      </c>
      <c r="C45" s="4">
        <v>1.2490600000000001</v>
      </c>
      <c r="N45">
        <v>44</v>
      </c>
      <c r="O45" s="4">
        <v>1.2490600000000001</v>
      </c>
      <c r="P45">
        <f t="shared" si="0"/>
        <v>1.0280568000000001</v>
      </c>
      <c r="Q45">
        <f t="shared" si="1"/>
        <v>0.22100319999999996</v>
      </c>
    </row>
    <row r="46" spans="1:28" x14ac:dyDescent="0.35">
      <c r="A46">
        <v>45</v>
      </c>
      <c r="B46" s="4">
        <v>0.96064799999999995</v>
      </c>
      <c r="C46" s="4">
        <v>1.58518</v>
      </c>
      <c r="N46">
        <v>45</v>
      </c>
      <c r="O46" s="4">
        <v>1.58518</v>
      </c>
      <c r="P46">
        <f t="shared" si="0"/>
        <v>1.2996240000000001</v>
      </c>
      <c r="Q46">
        <f t="shared" si="1"/>
        <v>0.28555599999999992</v>
      </c>
    </row>
    <row r="47" spans="1:28" x14ac:dyDescent="0.35">
      <c r="A47">
        <v>46</v>
      </c>
      <c r="B47" s="4">
        <v>0.771011</v>
      </c>
      <c r="C47" s="4">
        <v>1.5636000000000001</v>
      </c>
      <c r="N47">
        <v>46</v>
      </c>
      <c r="O47" s="4">
        <v>1.5636000000000001</v>
      </c>
      <c r="P47">
        <f t="shared" si="0"/>
        <v>1.434072</v>
      </c>
      <c r="Q47">
        <f t="shared" si="1"/>
        <v>0.12952800000000009</v>
      </c>
    </row>
    <row r="48" spans="1:28" x14ac:dyDescent="0.35">
      <c r="A48">
        <v>47</v>
      </c>
      <c r="B48" s="4">
        <v>0.40643299999999999</v>
      </c>
      <c r="C48" s="4">
        <v>1.1882299999999999</v>
      </c>
      <c r="N48">
        <v>47</v>
      </c>
      <c r="O48" s="4">
        <v>1.1882299999999999</v>
      </c>
      <c r="P48">
        <f t="shared" si="0"/>
        <v>1.42544</v>
      </c>
      <c r="Q48">
        <f t="shared" si="1"/>
        <v>-0.23721000000000014</v>
      </c>
    </row>
    <row r="49" spans="1:17" x14ac:dyDescent="0.35">
      <c r="A49">
        <v>48</v>
      </c>
      <c r="B49" s="4">
        <v>8.3175700000000005E-2</v>
      </c>
      <c r="C49" s="4">
        <v>0.67729200000000001</v>
      </c>
      <c r="N49">
        <v>48</v>
      </c>
      <c r="O49" s="4">
        <v>0.67729200000000001</v>
      </c>
      <c r="P49">
        <f t="shared" si="0"/>
        <v>1.2752920000000001</v>
      </c>
      <c r="Q49">
        <f t="shared" si="1"/>
        <v>-0.59800000000000009</v>
      </c>
    </row>
    <row r="50" spans="1:17" x14ac:dyDescent="0.35">
      <c r="A50">
        <v>49</v>
      </c>
      <c r="B50" s="4">
        <v>0.160187</v>
      </c>
      <c r="C50" s="4">
        <v>0.49883300000000003</v>
      </c>
      <c r="N50">
        <v>49</v>
      </c>
      <c r="O50" s="4">
        <v>0.49883300000000003</v>
      </c>
      <c r="P50">
        <f t="shared" si="0"/>
        <v>1.0709168</v>
      </c>
      <c r="Q50">
        <f t="shared" si="1"/>
        <v>-0.57208379999999992</v>
      </c>
    </row>
    <row r="51" spans="1:17" x14ac:dyDescent="0.35">
      <c r="A51">
        <v>50</v>
      </c>
      <c r="B51" s="4">
        <v>0.328934</v>
      </c>
      <c r="C51" s="4">
        <v>0.57835000000000003</v>
      </c>
      <c r="N51">
        <v>50</v>
      </c>
      <c r="O51" s="4">
        <v>0.57835000000000003</v>
      </c>
      <c r="P51">
        <f t="shared" si="0"/>
        <v>0.99953320000000012</v>
      </c>
      <c r="Q51">
        <f t="shared" si="1"/>
        <v>-0.42118320000000009</v>
      </c>
    </row>
    <row r="52" spans="1:17" x14ac:dyDescent="0.35">
      <c r="A52">
        <v>51</v>
      </c>
      <c r="B52" s="4">
        <v>0.50087000000000004</v>
      </c>
      <c r="C52" s="4">
        <v>0.790045</v>
      </c>
      <c r="N52">
        <v>51</v>
      </c>
      <c r="O52" s="4">
        <v>0.790045</v>
      </c>
      <c r="P52">
        <f t="shared" si="0"/>
        <v>1.0313400000000001</v>
      </c>
      <c r="Q52">
        <f t="shared" si="1"/>
        <v>-0.24129500000000015</v>
      </c>
    </row>
    <row r="53" spans="1:17" x14ac:dyDescent="0.35">
      <c r="A53">
        <v>52</v>
      </c>
      <c r="B53" s="4">
        <v>0.31446800000000003</v>
      </c>
      <c r="C53" s="4">
        <v>0.70949099999999998</v>
      </c>
      <c r="N53">
        <v>52</v>
      </c>
      <c r="O53" s="4">
        <v>0.70949099999999998</v>
      </c>
      <c r="P53">
        <f t="shared" si="0"/>
        <v>1.116018</v>
      </c>
      <c r="Q53">
        <f t="shared" si="1"/>
        <v>-0.40652699999999997</v>
      </c>
    </row>
    <row r="54" spans="1:17" x14ac:dyDescent="0.35">
      <c r="A54">
        <v>53</v>
      </c>
      <c r="B54" s="4">
        <v>0.39263900000000002</v>
      </c>
      <c r="C54" s="4">
        <v>0.74738499999999997</v>
      </c>
      <c r="N54">
        <v>53</v>
      </c>
      <c r="O54" s="4">
        <v>0.74738499999999997</v>
      </c>
      <c r="P54">
        <f t="shared" si="0"/>
        <v>1.0837964</v>
      </c>
      <c r="Q54">
        <f t="shared" si="1"/>
        <v>-0.33641140000000003</v>
      </c>
    </row>
    <row r="55" spans="1:17" x14ac:dyDescent="0.35">
      <c r="A55">
        <v>54</v>
      </c>
      <c r="B55" s="4">
        <v>0.147339</v>
      </c>
      <c r="C55" s="4">
        <v>0.52103100000000002</v>
      </c>
      <c r="N55">
        <v>54</v>
      </c>
      <c r="O55" s="4">
        <v>0.52103100000000002</v>
      </c>
      <c r="P55">
        <f t="shared" si="0"/>
        <v>1.098954</v>
      </c>
      <c r="Q55">
        <f t="shared" si="1"/>
        <v>-0.57792299999999996</v>
      </c>
    </row>
    <row r="56" spans="1:17" x14ac:dyDescent="0.35">
      <c r="A56">
        <v>55</v>
      </c>
      <c r="B56" s="4">
        <v>0.39483600000000002</v>
      </c>
      <c r="C56" s="4">
        <v>0.65535200000000005</v>
      </c>
      <c r="N56">
        <v>55</v>
      </c>
      <c r="O56" s="4">
        <v>0.65535200000000005</v>
      </c>
      <c r="P56">
        <f t="shared" si="0"/>
        <v>1.0084124000000001</v>
      </c>
      <c r="Q56">
        <f t="shared" si="1"/>
        <v>-0.35306040000000005</v>
      </c>
    </row>
    <row r="57" spans="1:17" x14ac:dyDescent="0.35">
      <c r="A57">
        <v>56</v>
      </c>
      <c r="B57" s="4">
        <v>0.107941</v>
      </c>
      <c r="C57" s="4">
        <v>0.43561699999999998</v>
      </c>
      <c r="N57">
        <v>56</v>
      </c>
      <c r="O57" s="4">
        <v>0.43561699999999998</v>
      </c>
      <c r="P57">
        <f t="shared" si="0"/>
        <v>1.0621408000000001</v>
      </c>
      <c r="Q57">
        <f t="shared" si="1"/>
        <v>-0.62652380000000019</v>
      </c>
    </row>
    <row r="58" spans="1:17" x14ac:dyDescent="0.35">
      <c r="A58">
        <v>57</v>
      </c>
      <c r="B58" s="4">
        <v>0.201599</v>
      </c>
      <c r="C58" s="4">
        <v>0.41940699999999997</v>
      </c>
      <c r="N58">
        <v>57</v>
      </c>
      <c r="O58" s="4">
        <v>0.41940699999999997</v>
      </c>
      <c r="P58">
        <f t="shared" si="0"/>
        <v>0.97424680000000008</v>
      </c>
      <c r="Q58">
        <f t="shared" si="1"/>
        <v>-0.55483980000000011</v>
      </c>
    </row>
    <row r="59" spans="1:17" x14ac:dyDescent="0.35">
      <c r="A59">
        <v>58</v>
      </c>
      <c r="B59" s="4">
        <v>0.40118399999999999</v>
      </c>
      <c r="C59" s="4">
        <v>0.61088799999999999</v>
      </c>
      <c r="N59">
        <v>58</v>
      </c>
      <c r="O59" s="4">
        <v>0.61088799999999999</v>
      </c>
      <c r="P59">
        <f t="shared" si="0"/>
        <v>0.96776280000000003</v>
      </c>
      <c r="Q59">
        <f t="shared" si="1"/>
        <v>-0.35687480000000005</v>
      </c>
    </row>
    <row r="60" spans="1:17" x14ac:dyDescent="0.35">
      <c r="A60">
        <v>59</v>
      </c>
      <c r="B60" s="4">
        <v>0.93106100000000003</v>
      </c>
      <c r="C60" s="4">
        <v>1.2364999999999999</v>
      </c>
      <c r="N60">
        <v>59</v>
      </c>
      <c r="O60" s="4">
        <v>1.2364999999999999</v>
      </c>
      <c r="P60">
        <f t="shared" si="0"/>
        <v>1.0443552</v>
      </c>
      <c r="Q60">
        <f t="shared" si="1"/>
        <v>0.19214479999999989</v>
      </c>
    </row>
    <row r="61" spans="1:17" x14ac:dyDescent="0.35">
      <c r="A61">
        <v>60</v>
      </c>
      <c r="B61" s="4">
        <v>0.57188399999999995</v>
      </c>
      <c r="C61" s="4">
        <v>1.19014</v>
      </c>
      <c r="N61">
        <v>60</v>
      </c>
      <c r="O61" s="4">
        <v>1.19014</v>
      </c>
      <c r="P61">
        <f t="shared" si="0"/>
        <v>1.2946</v>
      </c>
      <c r="Q61">
        <f t="shared" si="1"/>
        <v>-0.10446</v>
      </c>
    </row>
    <row r="62" spans="1:17" x14ac:dyDescent="0.35">
      <c r="A62">
        <v>61</v>
      </c>
      <c r="B62" s="4">
        <v>0.672516</v>
      </c>
      <c r="C62" s="4">
        <v>1.2675799999999999</v>
      </c>
      <c r="N62">
        <v>61</v>
      </c>
      <c r="O62" s="4">
        <v>1.2675799999999999</v>
      </c>
      <c r="P62">
        <f t="shared" si="0"/>
        <v>1.2760560000000001</v>
      </c>
      <c r="Q62">
        <f t="shared" si="1"/>
        <v>-8.4760000000001501E-3</v>
      </c>
    </row>
    <row r="63" spans="1:17" x14ac:dyDescent="0.35">
      <c r="A63">
        <v>62</v>
      </c>
      <c r="B63" s="4">
        <v>0.206207</v>
      </c>
      <c r="C63" s="4">
        <v>0.83999900000000005</v>
      </c>
      <c r="N63">
        <v>62</v>
      </c>
      <c r="O63" s="4">
        <v>0.83999900000000005</v>
      </c>
      <c r="P63">
        <f t="shared" si="0"/>
        <v>1.307032</v>
      </c>
      <c r="Q63">
        <f t="shared" si="1"/>
        <v>-0.46703299999999992</v>
      </c>
    </row>
    <row r="64" spans="1:17" x14ac:dyDescent="0.35">
      <c r="A64">
        <v>63</v>
      </c>
      <c r="B64" s="4">
        <v>0.85505699999999996</v>
      </c>
      <c r="C64" s="4">
        <v>1.2750600000000001</v>
      </c>
      <c r="N64">
        <v>63</v>
      </c>
      <c r="O64" s="4">
        <v>1.2750600000000001</v>
      </c>
      <c r="P64">
        <f t="shared" si="0"/>
        <v>1.1359996000000001</v>
      </c>
      <c r="Q64">
        <f t="shared" si="1"/>
        <v>0.13906039999999997</v>
      </c>
    </row>
    <row r="65" spans="1:17" x14ac:dyDescent="0.35">
      <c r="A65">
        <v>64</v>
      </c>
      <c r="B65" s="4">
        <v>7.1411100000000005E-2</v>
      </c>
      <c r="C65" s="4">
        <v>0.70893899999999999</v>
      </c>
      <c r="N65">
        <v>64</v>
      </c>
      <c r="O65" s="4">
        <v>0.70893899999999999</v>
      </c>
      <c r="P65">
        <f t="shared" si="0"/>
        <v>1.3100240000000001</v>
      </c>
      <c r="Q65">
        <f t="shared" si="1"/>
        <v>-0.60108500000000009</v>
      </c>
    </row>
    <row r="66" spans="1:17" x14ac:dyDescent="0.35">
      <c r="A66">
        <v>65</v>
      </c>
      <c r="B66" s="4">
        <v>0.28871200000000002</v>
      </c>
      <c r="C66" s="4">
        <v>0.643181</v>
      </c>
      <c r="N66">
        <v>65</v>
      </c>
      <c r="O66" s="4">
        <v>0.643181</v>
      </c>
      <c r="P66">
        <f t="shared" si="0"/>
        <v>1.0835756000000001</v>
      </c>
      <c r="Q66">
        <f t="shared" si="1"/>
        <v>-0.44039460000000008</v>
      </c>
    </row>
    <row r="67" spans="1:17" x14ac:dyDescent="0.35">
      <c r="A67">
        <v>66</v>
      </c>
      <c r="B67" s="4">
        <v>0.62800599999999995</v>
      </c>
      <c r="C67" s="4">
        <v>0.94959700000000002</v>
      </c>
      <c r="N67">
        <v>66</v>
      </c>
      <c r="O67" s="4">
        <v>0.94959700000000002</v>
      </c>
      <c r="P67">
        <f t="shared" si="0"/>
        <v>1.0572724</v>
      </c>
      <c r="Q67">
        <f t="shared" si="1"/>
        <v>-0.10767539999999998</v>
      </c>
    </row>
    <row r="68" spans="1:17" x14ac:dyDescent="0.35">
      <c r="A68">
        <v>67</v>
      </c>
      <c r="B68" s="4">
        <v>2.3208599999999999E-2</v>
      </c>
      <c r="C68" s="4">
        <v>0.49800699999999998</v>
      </c>
      <c r="N68">
        <v>67</v>
      </c>
      <c r="O68" s="4">
        <v>0.49800699999999998</v>
      </c>
      <c r="P68">
        <f t="shared" ref="P68:P131" si="2">$T$2+$T$3*O67</f>
        <v>1.1798388000000002</v>
      </c>
      <c r="Q68">
        <f t="shared" ref="Q68:Q131" si="3">O68-P68</f>
        <v>-0.68183180000000021</v>
      </c>
    </row>
    <row r="69" spans="1:17" x14ac:dyDescent="0.35">
      <c r="A69">
        <v>68</v>
      </c>
      <c r="B69" s="4">
        <v>0.13549800000000001</v>
      </c>
      <c r="C69" s="4">
        <v>0.38450200000000001</v>
      </c>
      <c r="N69">
        <v>68</v>
      </c>
      <c r="O69" s="4">
        <v>0.38450200000000001</v>
      </c>
      <c r="P69">
        <f t="shared" si="2"/>
        <v>0.99920280000000006</v>
      </c>
      <c r="Q69">
        <f t="shared" si="3"/>
        <v>-0.61470080000000005</v>
      </c>
    </row>
    <row r="70" spans="1:17" x14ac:dyDescent="0.35">
      <c r="A70">
        <v>69</v>
      </c>
      <c r="B70" s="4">
        <v>0.33892800000000001</v>
      </c>
      <c r="C70" s="4">
        <v>0.53117899999999996</v>
      </c>
      <c r="N70">
        <v>69</v>
      </c>
      <c r="O70" s="4">
        <v>0.53117899999999996</v>
      </c>
      <c r="P70">
        <f t="shared" si="2"/>
        <v>0.9538008</v>
      </c>
      <c r="Q70">
        <f t="shared" si="3"/>
        <v>-0.42262180000000005</v>
      </c>
    </row>
    <row r="71" spans="1:17" x14ac:dyDescent="0.35">
      <c r="A71">
        <v>70</v>
      </c>
      <c r="B71" s="4">
        <v>0.60969499999999999</v>
      </c>
      <c r="C71" s="4">
        <v>0.87528499999999998</v>
      </c>
      <c r="N71">
        <v>70</v>
      </c>
      <c r="O71" s="4">
        <v>0.87528499999999998</v>
      </c>
      <c r="P71">
        <f t="shared" si="2"/>
        <v>1.0124716</v>
      </c>
      <c r="Q71">
        <f t="shared" si="3"/>
        <v>-0.13718660000000005</v>
      </c>
    </row>
    <row r="72" spans="1:17" x14ac:dyDescent="0.35">
      <c r="A72">
        <v>71</v>
      </c>
      <c r="B72" s="4">
        <v>0.170074</v>
      </c>
      <c r="C72" s="4">
        <v>0.60771699999999995</v>
      </c>
      <c r="N72">
        <v>71</v>
      </c>
      <c r="O72" s="4">
        <v>0.60771699999999995</v>
      </c>
      <c r="P72">
        <f t="shared" si="2"/>
        <v>1.1501140000000001</v>
      </c>
      <c r="Q72">
        <f t="shared" si="3"/>
        <v>-0.54239700000000013</v>
      </c>
    </row>
    <row r="73" spans="1:17" x14ac:dyDescent="0.35">
      <c r="A73">
        <v>72</v>
      </c>
      <c r="B73" s="4">
        <v>0.56990099999999999</v>
      </c>
      <c r="C73" s="4">
        <v>0.87375899999999995</v>
      </c>
      <c r="N73">
        <v>72</v>
      </c>
      <c r="O73" s="4">
        <v>0.87375899999999995</v>
      </c>
      <c r="P73">
        <f t="shared" si="2"/>
        <v>1.0430868</v>
      </c>
      <c r="Q73">
        <f t="shared" si="3"/>
        <v>-0.16932780000000003</v>
      </c>
    </row>
    <row r="74" spans="1:17" x14ac:dyDescent="0.35">
      <c r="A74">
        <v>73</v>
      </c>
      <c r="B74" s="4">
        <v>0.41642800000000002</v>
      </c>
      <c r="C74" s="4">
        <v>0.85330700000000004</v>
      </c>
      <c r="N74">
        <v>73</v>
      </c>
      <c r="O74" s="4">
        <v>0.85330700000000004</v>
      </c>
      <c r="P74">
        <f t="shared" si="2"/>
        <v>1.1495036000000001</v>
      </c>
      <c r="Q74">
        <f t="shared" si="3"/>
        <v>-0.29619660000000003</v>
      </c>
    </row>
    <row r="75" spans="1:17" x14ac:dyDescent="0.35">
      <c r="A75">
        <v>74</v>
      </c>
      <c r="B75" s="4">
        <v>0.96992500000000004</v>
      </c>
      <c r="C75" s="4">
        <v>1.3965799999999999</v>
      </c>
      <c r="N75">
        <v>74</v>
      </c>
      <c r="O75" s="4">
        <v>1.3965799999999999</v>
      </c>
      <c r="P75">
        <f t="shared" si="2"/>
        <v>1.1413228000000002</v>
      </c>
      <c r="Q75">
        <f t="shared" si="3"/>
        <v>0.25525719999999974</v>
      </c>
    </row>
    <row r="76" spans="1:17" x14ac:dyDescent="0.35">
      <c r="A76">
        <v>75</v>
      </c>
      <c r="B76" s="4">
        <v>0.76258899999999996</v>
      </c>
      <c r="C76" s="4">
        <v>1.46088</v>
      </c>
      <c r="N76">
        <v>75</v>
      </c>
      <c r="O76" s="4">
        <v>1.46088</v>
      </c>
      <c r="P76">
        <f t="shared" si="2"/>
        <v>1.3586320000000001</v>
      </c>
      <c r="Q76">
        <f t="shared" si="3"/>
        <v>0.10224799999999989</v>
      </c>
    </row>
    <row r="77" spans="1:17" x14ac:dyDescent="0.35">
      <c r="A77">
        <v>76</v>
      </c>
      <c r="B77" s="4">
        <v>0.960785</v>
      </c>
      <c r="C77" s="4">
        <v>1.6912199999999999</v>
      </c>
      <c r="N77">
        <v>76</v>
      </c>
      <c r="O77" s="4">
        <v>1.6912199999999999</v>
      </c>
      <c r="P77">
        <f t="shared" si="2"/>
        <v>1.384352</v>
      </c>
      <c r="Q77">
        <f t="shared" si="3"/>
        <v>0.30686799999999992</v>
      </c>
    </row>
    <row r="78" spans="1:17" x14ac:dyDescent="0.35">
      <c r="A78">
        <v>77</v>
      </c>
      <c r="B78" s="4">
        <v>3.11127E-2</v>
      </c>
      <c r="C78" s="4">
        <v>0.87672499999999998</v>
      </c>
      <c r="N78">
        <v>77</v>
      </c>
      <c r="O78" s="4">
        <v>0.87672499999999998</v>
      </c>
      <c r="P78">
        <f t="shared" si="2"/>
        <v>1.476488</v>
      </c>
      <c r="Q78">
        <f t="shared" si="3"/>
        <v>-0.59976300000000005</v>
      </c>
    </row>
    <row r="79" spans="1:17" x14ac:dyDescent="0.35">
      <c r="A79">
        <v>78</v>
      </c>
      <c r="B79" s="4">
        <v>0.151978</v>
      </c>
      <c r="C79" s="4">
        <v>0.59033999999999998</v>
      </c>
      <c r="N79">
        <v>78</v>
      </c>
      <c r="O79" s="4">
        <v>0.59033999999999998</v>
      </c>
      <c r="P79">
        <f t="shared" si="2"/>
        <v>1.15069</v>
      </c>
      <c r="Q79">
        <f t="shared" si="3"/>
        <v>-0.56035000000000001</v>
      </c>
    </row>
    <row r="80" spans="1:17" x14ac:dyDescent="0.35">
      <c r="A80">
        <v>79</v>
      </c>
      <c r="B80" s="4">
        <v>0.29933199999999999</v>
      </c>
      <c r="C80" s="4">
        <v>0.59450199999999997</v>
      </c>
      <c r="N80">
        <v>79</v>
      </c>
      <c r="O80" s="4">
        <v>0.59450199999999997</v>
      </c>
      <c r="P80">
        <f t="shared" si="2"/>
        <v>1.0361359999999999</v>
      </c>
      <c r="Q80">
        <f t="shared" si="3"/>
        <v>-0.44163399999999997</v>
      </c>
    </row>
    <row r="81" spans="1:17" x14ac:dyDescent="0.35">
      <c r="A81">
        <v>80</v>
      </c>
      <c r="B81" s="4">
        <v>6.2576300000000001E-2</v>
      </c>
      <c r="C81" s="4">
        <v>0.35982700000000001</v>
      </c>
      <c r="N81">
        <v>80</v>
      </c>
      <c r="O81" s="4">
        <v>0.35982700000000001</v>
      </c>
      <c r="P81">
        <f t="shared" si="2"/>
        <v>1.0378008000000001</v>
      </c>
      <c r="Q81">
        <f t="shared" si="3"/>
        <v>-0.67797380000000007</v>
      </c>
    </row>
    <row r="82" spans="1:17" x14ac:dyDescent="0.35">
      <c r="A82">
        <v>81</v>
      </c>
      <c r="B82" s="4">
        <v>0.91728200000000004</v>
      </c>
      <c r="C82" s="4">
        <v>1.0972</v>
      </c>
      <c r="N82">
        <v>81</v>
      </c>
      <c r="O82" s="4">
        <v>1.0972</v>
      </c>
      <c r="P82">
        <f t="shared" si="2"/>
        <v>0.94393080000000007</v>
      </c>
      <c r="Q82">
        <f t="shared" si="3"/>
        <v>0.15326919999999988</v>
      </c>
    </row>
    <row r="83" spans="1:17" x14ac:dyDescent="0.35">
      <c r="A83">
        <v>82</v>
      </c>
      <c r="B83" s="4">
        <v>0.97262599999999999</v>
      </c>
      <c r="C83" s="4">
        <v>1.52122</v>
      </c>
      <c r="N83">
        <v>82</v>
      </c>
      <c r="O83" s="4">
        <v>1.52122</v>
      </c>
      <c r="P83">
        <f t="shared" si="2"/>
        <v>1.23888</v>
      </c>
      <c r="Q83">
        <f t="shared" si="3"/>
        <v>0.28234000000000004</v>
      </c>
    </row>
    <row r="84" spans="1:17" x14ac:dyDescent="0.35">
      <c r="A84">
        <v>83</v>
      </c>
      <c r="B84" s="4">
        <v>0.95283499999999999</v>
      </c>
      <c r="C84" s="4">
        <v>1.7134499999999999</v>
      </c>
      <c r="N84">
        <v>83</v>
      </c>
      <c r="O84" s="4">
        <v>1.7134499999999999</v>
      </c>
      <c r="P84">
        <f t="shared" si="2"/>
        <v>1.4084880000000002</v>
      </c>
      <c r="Q84">
        <f t="shared" si="3"/>
        <v>0.30496199999999973</v>
      </c>
    </row>
    <row r="85" spans="1:17" x14ac:dyDescent="0.35">
      <c r="A85">
        <v>84</v>
      </c>
      <c r="B85" s="4">
        <v>0.30329899999999999</v>
      </c>
      <c r="C85" s="4">
        <v>1.1600200000000001</v>
      </c>
      <c r="N85">
        <v>84</v>
      </c>
      <c r="O85" s="4">
        <v>1.1600200000000001</v>
      </c>
      <c r="P85">
        <f t="shared" si="2"/>
        <v>1.4853800000000001</v>
      </c>
      <c r="Q85">
        <f t="shared" si="3"/>
        <v>-0.32536000000000009</v>
      </c>
    </row>
    <row r="86" spans="1:17" x14ac:dyDescent="0.35">
      <c r="A86">
        <v>85</v>
      </c>
      <c r="B86" s="4">
        <v>0.72199999999999998</v>
      </c>
      <c r="C86" s="4">
        <v>1.3020099999999999</v>
      </c>
      <c r="N86">
        <v>85</v>
      </c>
      <c r="O86" s="4">
        <v>1.3020099999999999</v>
      </c>
      <c r="P86">
        <f t="shared" si="2"/>
        <v>1.264008</v>
      </c>
      <c r="Q86">
        <f t="shared" si="3"/>
        <v>3.8001999999999869E-2</v>
      </c>
    </row>
    <row r="87" spans="1:17" x14ac:dyDescent="0.35">
      <c r="A87">
        <v>86</v>
      </c>
      <c r="B87" s="4">
        <v>0.87870800000000004</v>
      </c>
      <c r="C87" s="4">
        <v>1.5297099999999999</v>
      </c>
      <c r="N87">
        <v>86</v>
      </c>
      <c r="O87" s="4">
        <v>1.5297099999999999</v>
      </c>
      <c r="P87">
        <f t="shared" si="2"/>
        <v>1.3208039999999999</v>
      </c>
      <c r="Q87">
        <f t="shared" si="3"/>
        <v>0.20890600000000004</v>
      </c>
    </row>
    <row r="88" spans="1:17" x14ac:dyDescent="0.35">
      <c r="A88">
        <v>87</v>
      </c>
      <c r="B88" s="4">
        <v>0.60487400000000002</v>
      </c>
      <c r="C88" s="4">
        <v>1.3697299999999999</v>
      </c>
      <c r="N88">
        <v>87</v>
      </c>
      <c r="O88" s="4">
        <v>1.3697299999999999</v>
      </c>
      <c r="P88">
        <f t="shared" si="2"/>
        <v>1.4118840000000001</v>
      </c>
      <c r="Q88">
        <f t="shared" si="3"/>
        <v>-4.2154000000000247E-2</v>
      </c>
    </row>
    <row r="89" spans="1:17" x14ac:dyDescent="0.35">
      <c r="A89">
        <v>88</v>
      </c>
      <c r="B89" s="4">
        <v>0.30035400000000001</v>
      </c>
      <c r="C89" s="4">
        <v>0.98521899999999996</v>
      </c>
      <c r="N89">
        <v>88</v>
      </c>
      <c r="O89" s="4">
        <v>0.98521899999999996</v>
      </c>
      <c r="P89">
        <f t="shared" si="2"/>
        <v>1.3478919999999999</v>
      </c>
      <c r="Q89">
        <f t="shared" si="3"/>
        <v>-0.36267299999999991</v>
      </c>
    </row>
    <row r="90" spans="1:17" x14ac:dyDescent="0.35">
      <c r="A90">
        <v>89</v>
      </c>
      <c r="B90" s="4">
        <v>0.235764</v>
      </c>
      <c r="C90" s="4">
        <v>0.72837300000000005</v>
      </c>
      <c r="N90">
        <v>89</v>
      </c>
      <c r="O90" s="4">
        <v>0.72837300000000005</v>
      </c>
      <c r="P90">
        <f t="shared" si="2"/>
        <v>1.1940876</v>
      </c>
      <c r="Q90">
        <f t="shared" si="3"/>
        <v>-0.46571459999999998</v>
      </c>
    </row>
    <row r="91" spans="1:17" x14ac:dyDescent="0.35">
      <c r="A91">
        <v>90</v>
      </c>
      <c r="B91" s="4">
        <v>0.73428300000000002</v>
      </c>
      <c r="C91" s="4">
        <v>1.0984700000000001</v>
      </c>
      <c r="N91">
        <v>90</v>
      </c>
      <c r="O91" s="4">
        <v>1.0984700000000001</v>
      </c>
      <c r="P91">
        <f t="shared" si="2"/>
        <v>1.0913492</v>
      </c>
      <c r="Q91">
        <f t="shared" si="3"/>
        <v>7.1208000000000382E-3</v>
      </c>
    </row>
    <row r="92" spans="1:17" x14ac:dyDescent="0.35">
      <c r="A92">
        <v>91</v>
      </c>
      <c r="B92" s="4">
        <v>0.32977299999999998</v>
      </c>
      <c r="C92" s="4">
        <v>0.87900800000000001</v>
      </c>
      <c r="N92">
        <v>91</v>
      </c>
      <c r="O92" s="4">
        <v>0.87900800000000001</v>
      </c>
      <c r="P92">
        <f t="shared" si="2"/>
        <v>1.2393880000000002</v>
      </c>
      <c r="Q92">
        <f t="shared" si="3"/>
        <v>-0.36038000000000014</v>
      </c>
    </row>
    <row r="93" spans="1:17" x14ac:dyDescent="0.35">
      <c r="A93">
        <v>92</v>
      </c>
      <c r="B93" s="4">
        <v>0.55375700000000005</v>
      </c>
      <c r="C93" s="4">
        <v>0.99326099999999995</v>
      </c>
      <c r="N93">
        <v>92</v>
      </c>
      <c r="O93" s="4">
        <v>0.99326099999999995</v>
      </c>
      <c r="P93">
        <f t="shared" si="2"/>
        <v>1.1516032</v>
      </c>
      <c r="Q93">
        <f t="shared" si="3"/>
        <v>-0.1583422000000001</v>
      </c>
    </row>
    <row r="94" spans="1:17" x14ac:dyDescent="0.35">
      <c r="A94">
        <v>93</v>
      </c>
      <c r="B94" s="4">
        <v>6.76422E-2</v>
      </c>
      <c r="C94" s="4">
        <v>0.56427300000000002</v>
      </c>
      <c r="N94">
        <v>93</v>
      </c>
      <c r="O94" s="4">
        <v>0.56427300000000002</v>
      </c>
      <c r="P94">
        <f t="shared" si="2"/>
        <v>1.1973044000000002</v>
      </c>
      <c r="Q94">
        <f t="shared" si="3"/>
        <v>-0.63303140000000013</v>
      </c>
    </row>
    <row r="95" spans="1:17" x14ac:dyDescent="0.35">
      <c r="A95">
        <v>94</v>
      </c>
      <c r="B95" s="4">
        <v>0.95266700000000004</v>
      </c>
      <c r="C95" s="4">
        <v>1.2347999999999999</v>
      </c>
      <c r="N95">
        <v>94</v>
      </c>
      <c r="O95" s="4">
        <v>1.2347999999999999</v>
      </c>
      <c r="P95">
        <f t="shared" si="2"/>
        <v>1.0257092000000001</v>
      </c>
      <c r="Q95">
        <f t="shared" si="3"/>
        <v>0.2090907999999998</v>
      </c>
    </row>
    <row r="96" spans="1:17" x14ac:dyDescent="0.35">
      <c r="A96">
        <v>95</v>
      </c>
      <c r="B96" s="4">
        <v>0.60986300000000004</v>
      </c>
      <c r="C96" s="4">
        <v>1.2272700000000001</v>
      </c>
      <c r="N96">
        <v>95</v>
      </c>
      <c r="O96" s="4">
        <v>1.2272700000000001</v>
      </c>
      <c r="P96">
        <f t="shared" si="2"/>
        <v>1.29392</v>
      </c>
      <c r="Q96">
        <f t="shared" si="3"/>
        <v>-6.6649999999999876E-2</v>
      </c>
    </row>
    <row r="97" spans="1:17" x14ac:dyDescent="0.35">
      <c r="A97">
        <v>96</v>
      </c>
      <c r="B97" s="4">
        <v>0.123749</v>
      </c>
      <c r="C97" s="4">
        <v>0.73738099999999995</v>
      </c>
      <c r="N97">
        <v>96</v>
      </c>
      <c r="O97" s="4">
        <v>0.73738099999999995</v>
      </c>
      <c r="P97">
        <f t="shared" si="2"/>
        <v>1.2909080000000002</v>
      </c>
      <c r="Q97">
        <f t="shared" si="3"/>
        <v>-0.55352700000000021</v>
      </c>
    </row>
    <row r="98" spans="1:17" x14ac:dyDescent="0.35">
      <c r="A98">
        <v>97</v>
      </c>
      <c r="B98" s="4">
        <v>6.2683100000000005E-2</v>
      </c>
      <c r="C98" s="4">
        <v>0.43137399999999998</v>
      </c>
      <c r="N98">
        <v>97</v>
      </c>
      <c r="O98" s="4">
        <v>0.43137399999999998</v>
      </c>
      <c r="P98">
        <f t="shared" si="2"/>
        <v>1.0949523999999999</v>
      </c>
      <c r="Q98">
        <f t="shared" si="3"/>
        <v>-0.66357840000000001</v>
      </c>
    </row>
    <row r="99" spans="1:17" x14ac:dyDescent="0.35">
      <c r="A99">
        <v>98</v>
      </c>
      <c r="B99" s="4">
        <v>0.62062099999999998</v>
      </c>
      <c r="C99" s="4">
        <v>0.83630800000000005</v>
      </c>
      <c r="N99">
        <v>98</v>
      </c>
      <c r="O99" s="4">
        <v>0.83630800000000005</v>
      </c>
      <c r="P99">
        <f t="shared" si="2"/>
        <v>0.97254960000000001</v>
      </c>
      <c r="Q99">
        <f t="shared" si="3"/>
        <v>-0.13624159999999996</v>
      </c>
    </row>
    <row r="100" spans="1:17" x14ac:dyDescent="0.35">
      <c r="A100">
        <v>99</v>
      </c>
      <c r="B100" s="4">
        <v>0.98837299999999995</v>
      </c>
      <c r="C100" s="4">
        <v>1.4065300000000001</v>
      </c>
      <c r="N100">
        <v>99</v>
      </c>
      <c r="O100" s="4">
        <v>1.4065300000000001</v>
      </c>
      <c r="P100">
        <f t="shared" si="2"/>
        <v>1.1345232000000001</v>
      </c>
      <c r="Q100">
        <f t="shared" si="3"/>
        <v>0.27200679999999999</v>
      </c>
    </row>
    <row r="101" spans="1:17" x14ac:dyDescent="0.35">
      <c r="A101">
        <v>100</v>
      </c>
      <c r="B101" s="4">
        <v>0.65075700000000003</v>
      </c>
      <c r="C101" s="4">
        <v>1.35402</v>
      </c>
      <c r="N101">
        <v>100</v>
      </c>
      <c r="O101" s="4">
        <v>1.35402</v>
      </c>
      <c r="P101">
        <f t="shared" si="2"/>
        <v>1.3626119999999999</v>
      </c>
      <c r="Q101">
        <f t="shared" si="3"/>
        <v>-8.591999999999933E-3</v>
      </c>
    </row>
    <row r="102" spans="1:17" x14ac:dyDescent="0.35">
      <c r="A102">
        <v>101</v>
      </c>
      <c r="B102" s="4">
        <v>0.37666300000000003</v>
      </c>
      <c r="C102" s="4">
        <v>1.0536700000000001</v>
      </c>
      <c r="N102">
        <v>101</v>
      </c>
      <c r="O102" s="4">
        <v>1.0536700000000001</v>
      </c>
      <c r="P102">
        <f t="shared" si="2"/>
        <v>1.3416079999999999</v>
      </c>
      <c r="Q102">
        <f t="shared" si="3"/>
        <v>-0.28793799999999981</v>
      </c>
    </row>
    <row r="103" spans="1:17" x14ac:dyDescent="0.35">
      <c r="A103">
        <v>102</v>
      </c>
      <c r="B103" s="4">
        <v>0.71632399999999996</v>
      </c>
      <c r="C103" s="4">
        <v>1.24316</v>
      </c>
      <c r="N103">
        <v>102</v>
      </c>
      <c r="O103" s="4">
        <v>1.24316</v>
      </c>
      <c r="P103">
        <f t="shared" si="2"/>
        <v>1.2214680000000002</v>
      </c>
      <c r="Q103">
        <f t="shared" si="3"/>
        <v>2.1691999999999823E-2</v>
      </c>
    </row>
    <row r="104" spans="1:17" x14ac:dyDescent="0.35">
      <c r="A104">
        <v>103</v>
      </c>
      <c r="B104" s="4">
        <v>0.37498500000000001</v>
      </c>
      <c r="C104" s="4">
        <v>0.99656500000000003</v>
      </c>
      <c r="N104">
        <v>103</v>
      </c>
      <c r="O104" s="4">
        <v>0.99656500000000003</v>
      </c>
      <c r="P104">
        <f t="shared" si="2"/>
        <v>1.2972640000000002</v>
      </c>
      <c r="Q104">
        <f t="shared" si="3"/>
        <v>-0.30069900000000016</v>
      </c>
    </row>
    <row r="105" spans="1:17" x14ac:dyDescent="0.35">
      <c r="A105">
        <v>104</v>
      </c>
      <c r="B105" s="4">
        <v>0.44219999999999998</v>
      </c>
      <c r="C105" s="4">
        <v>0.94048200000000004</v>
      </c>
      <c r="N105">
        <v>104</v>
      </c>
      <c r="O105" s="4">
        <v>0.94048200000000004</v>
      </c>
      <c r="P105">
        <f t="shared" si="2"/>
        <v>1.198626</v>
      </c>
      <c r="Q105">
        <f t="shared" si="3"/>
        <v>-0.25814399999999993</v>
      </c>
    </row>
    <row r="106" spans="1:17" x14ac:dyDescent="0.35">
      <c r="A106">
        <v>105</v>
      </c>
      <c r="B106" s="4">
        <v>9.6206700000000006E-2</v>
      </c>
      <c r="C106" s="4">
        <v>0.56644799999999995</v>
      </c>
      <c r="N106">
        <v>105</v>
      </c>
      <c r="O106" s="4">
        <v>0.56644799999999995</v>
      </c>
      <c r="P106">
        <f t="shared" si="2"/>
        <v>1.1761928000000001</v>
      </c>
      <c r="Q106">
        <f t="shared" si="3"/>
        <v>-0.6097448000000002</v>
      </c>
    </row>
    <row r="107" spans="1:17" x14ac:dyDescent="0.35">
      <c r="A107">
        <v>106</v>
      </c>
      <c r="B107" s="4">
        <v>0.98483299999999996</v>
      </c>
      <c r="C107" s="4">
        <v>1.26806</v>
      </c>
      <c r="N107">
        <v>106</v>
      </c>
      <c r="O107" s="4">
        <v>1.26806</v>
      </c>
      <c r="P107">
        <f t="shared" si="2"/>
        <v>1.0265792</v>
      </c>
      <c r="Q107">
        <f t="shared" si="3"/>
        <v>0.24148079999999994</v>
      </c>
    </row>
    <row r="108" spans="1:17" x14ac:dyDescent="0.35">
      <c r="A108">
        <v>107</v>
      </c>
      <c r="B108" s="4">
        <v>0.23085</v>
      </c>
      <c r="C108" s="4">
        <v>0.86487899999999995</v>
      </c>
      <c r="N108">
        <v>107</v>
      </c>
      <c r="O108" s="4">
        <v>0.86487899999999995</v>
      </c>
      <c r="P108">
        <f t="shared" si="2"/>
        <v>1.3072240000000002</v>
      </c>
      <c r="Q108">
        <f t="shared" si="3"/>
        <v>-0.44234500000000021</v>
      </c>
    </row>
    <row r="109" spans="1:17" x14ac:dyDescent="0.35">
      <c r="A109">
        <v>108</v>
      </c>
      <c r="B109" s="4">
        <v>0.105423</v>
      </c>
      <c r="C109" s="4">
        <v>0.53786199999999995</v>
      </c>
      <c r="N109">
        <v>108</v>
      </c>
      <c r="O109" s="4">
        <v>0.53786199999999995</v>
      </c>
      <c r="P109">
        <f t="shared" si="2"/>
        <v>1.1459516000000001</v>
      </c>
      <c r="Q109">
        <f t="shared" si="3"/>
        <v>-0.60808960000000012</v>
      </c>
    </row>
    <row r="110" spans="1:17" x14ac:dyDescent="0.35">
      <c r="A110">
        <v>109</v>
      </c>
      <c r="B110" s="4">
        <v>0.85238599999999998</v>
      </c>
      <c r="C110" s="4">
        <v>1.1213200000000001</v>
      </c>
      <c r="N110">
        <v>109</v>
      </c>
      <c r="O110" s="4">
        <v>1.1213200000000001</v>
      </c>
      <c r="P110">
        <f t="shared" si="2"/>
        <v>1.0151448000000001</v>
      </c>
      <c r="Q110">
        <f t="shared" si="3"/>
        <v>0.10617520000000003</v>
      </c>
    </row>
    <row r="111" spans="1:17" x14ac:dyDescent="0.35">
      <c r="A111">
        <v>110</v>
      </c>
      <c r="B111" s="4">
        <v>0.19653300000000001</v>
      </c>
      <c r="C111" s="4">
        <v>0.75719199999999998</v>
      </c>
      <c r="N111">
        <v>110</v>
      </c>
      <c r="O111" s="4">
        <v>0.75719199999999998</v>
      </c>
      <c r="P111">
        <f t="shared" si="2"/>
        <v>1.2485280000000001</v>
      </c>
      <c r="Q111">
        <f t="shared" si="3"/>
        <v>-0.49133600000000011</v>
      </c>
    </row>
    <row r="112" spans="1:17" x14ac:dyDescent="0.35">
      <c r="A112">
        <v>111</v>
      </c>
      <c r="B112" s="4">
        <v>0.26136799999999999</v>
      </c>
      <c r="C112" s="4">
        <v>0.63996399999999998</v>
      </c>
      <c r="N112">
        <v>111</v>
      </c>
      <c r="O112" s="4">
        <v>0.63996399999999998</v>
      </c>
      <c r="P112">
        <f t="shared" si="2"/>
        <v>1.1028768</v>
      </c>
      <c r="Q112">
        <f t="shared" si="3"/>
        <v>-0.46291280000000001</v>
      </c>
    </row>
    <row r="113" spans="1:17" x14ac:dyDescent="0.35">
      <c r="A113">
        <v>112</v>
      </c>
      <c r="B113" s="4">
        <v>5.3573599999999999E-2</v>
      </c>
      <c r="C113" s="4">
        <v>0.373556</v>
      </c>
      <c r="N113">
        <v>112</v>
      </c>
      <c r="O113" s="4">
        <v>0.373556</v>
      </c>
      <c r="P113">
        <f t="shared" si="2"/>
        <v>1.0559856000000001</v>
      </c>
      <c r="Q113">
        <f t="shared" si="3"/>
        <v>-0.68242960000000008</v>
      </c>
    </row>
    <row r="114" spans="1:17" x14ac:dyDescent="0.35">
      <c r="A114">
        <v>113</v>
      </c>
      <c r="B114" s="4">
        <v>0.60353100000000004</v>
      </c>
      <c r="C114" s="4">
        <v>0.79030900000000004</v>
      </c>
      <c r="N114">
        <v>113</v>
      </c>
      <c r="O114" s="4">
        <v>0.79030900000000004</v>
      </c>
      <c r="P114">
        <f t="shared" si="2"/>
        <v>0.9494224</v>
      </c>
      <c r="Q114">
        <f t="shared" si="3"/>
        <v>-0.15911339999999996</v>
      </c>
    </row>
    <row r="115" spans="1:17" x14ac:dyDescent="0.35">
      <c r="A115">
        <v>114</v>
      </c>
      <c r="B115" s="4">
        <v>0.68577600000000005</v>
      </c>
      <c r="C115" s="4">
        <v>1.0809299999999999</v>
      </c>
      <c r="N115">
        <v>114</v>
      </c>
      <c r="O115" s="4">
        <v>1.0809299999999999</v>
      </c>
      <c r="P115">
        <f t="shared" si="2"/>
        <v>1.1161236000000001</v>
      </c>
      <c r="Q115">
        <f t="shared" si="3"/>
        <v>-3.5193600000000158E-2</v>
      </c>
    </row>
    <row r="116" spans="1:17" x14ac:dyDescent="0.35">
      <c r="A116">
        <v>115</v>
      </c>
      <c r="B116" s="4">
        <v>6.1569199999999998E-2</v>
      </c>
      <c r="C116" s="4">
        <v>0.60203399999999996</v>
      </c>
      <c r="N116">
        <v>115</v>
      </c>
      <c r="O116" s="4">
        <v>0.60203399999999996</v>
      </c>
      <c r="P116">
        <f t="shared" si="2"/>
        <v>1.232372</v>
      </c>
      <c r="Q116">
        <f t="shared" si="3"/>
        <v>-0.63033800000000006</v>
      </c>
    </row>
    <row r="117" spans="1:17" x14ac:dyDescent="0.35">
      <c r="A117">
        <v>116</v>
      </c>
      <c r="B117" s="4">
        <v>0.95401000000000002</v>
      </c>
      <c r="C117" s="4">
        <v>1.2550300000000001</v>
      </c>
      <c r="N117">
        <v>116</v>
      </c>
      <c r="O117" s="4">
        <v>1.2550300000000001</v>
      </c>
      <c r="P117">
        <f t="shared" si="2"/>
        <v>1.0408136000000001</v>
      </c>
      <c r="Q117">
        <f t="shared" si="3"/>
        <v>0.21421639999999997</v>
      </c>
    </row>
    <row r="118" spans="1:17" x14ac:dyDescent="0.35">
      <c r="A118">
        <v>117</v>
      </c>
      <c r="B118" s="4">
        <v>0.26217699999999999</v>
      </c>
      <c r="C118" s="4">
        <v>0.88968999999999998</v>
      </c>
      <c r="N118">
        <v>117</v>
      </c>
      <c r="O118" s="4">
        <v>0.88968999999999998</v>
      </c>
      <c r="P118">
        <f t="shared" si="2"/>
        <v>1.3020119999999999</v>
      </c>
      <c r="Q118">
        <f t="shared" si="3"/>
        <v>-0.41232199999999997</v>
      </c>
    </row>
    <row r="119" spans="1:17" x14ac:dyDescent="0.35">
      <c r="A119">
        <v>118</v>
      </c>
      <c r="B119" s="4">
        <v>0.441635</v>
      </c>
      <c r="C119" s="4">
        <v>0.88648000000000005</v>
      </c>
      <c r="N119">
        <v>118</v>
      </c>
      <c r="O119" s="4">
        <v>0.88648000000000005</v>
      </c>
      <c r="P119">
        <f t="shared" si="2"/>
        <v>1.1558760000000001</v>
      </c>
      <c r="Q119">
        <f t="shared" si="3"/>
        <v>-0.26939600000000008</v>
      </c>
    </row>
    <row r="120" spans="1:17" x14ac:dyDescent="0.35">
      <c r="A120">
        <v>119</v>
      </c>
      <c r="B120" s="4">
        <v>0.61621099999999995</v>
      </c>
      <c r="C120" s="4">
        <v>1.05945</v>
      </c>
      <c r="N120">
        <v>119</v>
      </c>
      <c r="O120" s="4">
        <v>1.05945</v>
      </c>
      <c r="P120">
        <f t="shared" si="2"/>
        <v>1.1545920000000001</v>
      </c>
      <c r="Q120">
        <f t="shared" si="3"/>
        <v>-9.514200000000006E-2</v>
      </c>
    </row>
    <row r="121" spans="1:17" x14ac:dyDescent="0.35">
      <c r="A121">
        <v>120</v>
      </c>
      <c r="B121" s="4">
        <v>0.84051500000000001</v>
      </c>
      <c r="C121" s="4">
        <v>1.3702399999999999</v>
      </c>
      <c r="N121">
        <v>120</v>
      </c>
      <c r="O121" s="4">
        <v>1.3702399999999999</v>
      </c>
      <c r="P121">
        <f t="shared" si="2"/>
        <v>1.2237800000000001</v>
      </c>
      <c r="Q121">
        <f t="shared" si="3"/>
        <v>0.14645999999999981</v>
      </c>
    </row>
    <row r="122" spans="1:17" x14ac:dyDescent="0.35">
      <c r="A122">
        <v>121</v>
      </c>
      <c r="B122" s="4">
        <v>0.57135000000000002</v>
      </c>
      <c r="C122" s="4">
        <v>1.25647</v>
      </c>
      <c r="N122">
        <v>121</v>
      </c>
      <c r="O122" s="4">
        <v>1.25647</v>
      </c>
      <c r="P122">
        <f t="shared" si="2"/>
        <v>1.348096</v>
      </c>
      <c r="Q122">
        <f t="shared" si="3"/>
        <v>-9.1625999999999985E-2</v>
      </c>
    </row>
    <row r="123" spans="1:17" x14ac:dyDescent="0.35">
      <c r="A123">
        <v>122</v>
      </c>
      <c r="B123" s="4">
        <v>0.70442199999999999</v>
      </c>
      <c r="C123" s="4">
        <v>1.33266</v>
      </c>
      <c r="N123">
        <v>122</v>
      </c>
      <c r="O123" s="4">
        <v>1.33266</v>
      </c>
      <c r="P123">
        <f t="shared" si="2"/>
        <v>1.3025880000000001</v>
      </c>
      <c r="Q123">
        <f t="shared" si="3"/>
        <v>3.0071999999999877E-2</v>
      </c>
    </row>
    <row r="124" spans="1:17" x14ac:dyDescent="0.35">
      <c r="A124">
        <v>123</v>
      </c>
      <c r="B124" s="4">
        <v>0.29092400000000002</v>
      </c>
      <c r="C124" s="4">
        <v>0.95725300000000002</v>
      </c>
      <c r="N124">
        <v>123</v>
      </c>
      <c r="O124" s="4">
        <v>0.95725300000000002</v>
      </c>
      <c r="P124">
        <f t="shared" si="2"/>
        <v>1.333064</v>
      </c>
      <c r="Q124">
        <f t="shared" si="3"/>
        <v>-0.37581100000000001</v>
      </c>
    </row>
    <row r="125" spans="1:17" x14ac:dyDescent="0.35">
      <c r="A125">
        <v>124</v>
      </c>
      <c r="B125" s="4">
        <v>0.56164599999999998</v>
      </c>
      <c r="C125" s="4">
        <v>1.04027</v>
      </c>
      <c r="N125">
        <v>124</v>
      </c>
      <c r="O125" s="4">
        <v>1.04027</v>
      </c>
      <c r="P125">
        <f t="shared" si="2"/>
        <v>1.1829012000000001</v>
      </c>
      <c r="Q125">
        <f t="shared" si="3"/>
        <v>-0.14263120000000007</v>
      </c>
    </row>
    <row r="126" spans="1:17" x14ac:dyDescent="0.35">
      <c r="A126">
        <v>125</v>
      </c>
      <c r="B126" s="4">
        <v>0.68229700000000004</v>
      </c>
      <c r="C126" s="4">
        <v>1.2024300000000001</v>
      </c>
      <c r="N126">
        <v>125</v>
      </c>
      <c r="O126" s="4">
        <v>1.2024300000000001</v>
      </c>
      <c r="P126">
        <f t="shared" si="2"/>
        <v>1.2161080000000002</v>
      </c>
      <c r="Q126">
        <f t="shared" si="3"/>
        <v>-1.3678000000000079E-2</v>
      </c>
    </row>
    <row r="127" spans="1:17" x14ac:dyDescent="0.35">
      <c r="A127">
        <v>126</v>
      </c>
      <c r="B127" s="4">
        <v>0.36840800000000001</v>
      </c>
      <c r="C127" s="4">
        <v>0.96962499999999996</v>
      </c>
      <c r="N127">
        <v>126</v>
      </c>
      <c r="O127" s="4">
        <v>0.96962499999999996</v>
      </c>
      <c r="P127">
        <f t="shared" si="2"/>
        <v>1.2809720000000002</v>
      </c>
      <c r="Q127">
        <f t="shared" si="3"/>
        <v>-0.31134700000000026</v>
      </c>
    </row>
    <row r="128" spans="1:17" x14ac:dyDescent="0.35">
      <c r="A128">
        <v>127</v>
      </c>
      <c r="B128" s="4">
        <v>1.8692E-2</v>
      </c>
      <c r="C128" s="4">
        <v>0.50350399999999995</v>
      </c>
      <c r="N128">
        <v>127</v>
      </c>
      <c r="O128" s="4">
        <v>0.50350399999999995</v>
      </c>
      <c r="P128">
        <f t="shared" si="2"/>
        <v>1.1878500000000001</v>
      </c>
      <c r="Q128">
        <f t="shared" si="3"/>
        <v>-0.68434600000000012</v>
      </c>
    </row>
    <row r="129" spans="1:17" x14ac:dyDescent="0.35">
      <c r="A129">
        <v>128</v>
      </c>
      <c r="B129" s="4">
        <v>0.39724700000000002</v>
      </c>
      <c r="C129" s="4">
        <v>0.64899899999999999</v>
      </c>
      <c r="N129">
        <v>128</v>
      </c>
      <c r="O129" s="4">
        <v>0.64899899999999999</v>
      </c>
      <c r="P129">
        <f t="shared" si="2"/>
        <v>1.0014016000000001</v>
      </c>
      <c r="Q129">
        <f t="shared" si="3"/>
        <v>-0.35240260000000012</v>
      </c>
    </row>
    <row r="130" spans="1:17" x14ac:dyDescent="0.35">
      <c r="A130">
        <v>129</v>
      </c>
      <c r="B130" s="4">
        <v>0.59713700000000003</v>
      </c>
      <c r="C130" s="4">
        <v>0.92163700000000004</v>
      </c>
      <c r="N130">
        <v>129</v>
      </c>
      <c r="O130" s="4">
        <v>0.92163700000000004</v>
      </c>
      <c r="P130">
        <f t="shared" si="2"/>
        <v>1.0595996000000001</v>
      </c>
      <c r="Q130">
        <f t="shared" si="3"/>
        <v>-0.13796260000000005</v>
      </c>
    </row>
    <row r="131" spans="1:17" x14ac:dyDescent="0.35">
      <c r="A131">
        <v>130</v>
      </c>
      <c r="B131" s="4">
        <v>0.13552900000000001</v>
      </c>
      <c r="C131" s="4">
        <v>0.59634699999999996</v>
      </c>
      <c r="N131">
        <v>130</v>
      </c>
      <c r="O131" s="4">
        <v>0.59634699999999996</v>
      </c>
      <c r="P131">
        <f t="shared" si="2"/>
        <v>1.1686548000000001</v>
      </c>
      <c r="Q131">
        <f t="shared" si="3"/>
        <v>-0.57230780000000014</v>
      </c>
    </row>
    <row r="132" spans="1:17" x14ac:dyDescent="0.35">
      <c r="A132">
        <v>131</v>
      </c>
      <c r="B132" s="4">
        <v>0.91000400000000004</v>
      </c>
      <c r="C132" s="4">
        <v>1.20818</v>
      </c>
      <c r="N132">
        <v>131</v>
      </c>
      <c r="O132" s="4">
        <v>1.20818</v>
      </c>
      <c r="P132">
        <f t="shared" ref="P132:P195" si="4">$T$2+$T$3*O131</f>
        <v>1.0385388</v>
      </c>
      <c r="Q132">
        <f t="shared" ref="Q132:Q195" si="5">O132-P132</f>
        <v>0.16964120000000005</v>
      </c>
    </row>
    <row r="133" spans="1:17" x14ac:dyDescent="0.35">
      <c r="A133">
        <v>132</v>
      </c>
      <c r="B133" s="4">
        <v>0.65901200000000004</v>
      </c>
      <c r="C133" s="4">
        <v>1.2630999999999999</v>
      </c>
      <c r="N133">
        <v>132</v>
      </c>
      <c r="O133" s="4">
        <v>1.2630999999999999</v>
      </c>
      <c r="P133">
        <f t="shared" si="4"/>
        <v>1.2832720000000002</v>
      </c>
      <c r="Q133">
        <f t="shared" si="5"/>
        <v>-2.0172000000000301E-2</v>
      </c>
    </row>
    <row r="134" spans="1:17" x14ac:dyDescent="0.35">
      <c r="A134">
        <v>133</v>
      </c>
      <c r="B134" s="4">
        <v>0.17923</v>
      </c>
      <c r="C134" s="4">
        <v>0.81077999999999995</v>
      </c>
      <c r="N134">
        <v>133</v>
      </c>
      <c r="O134" s="4">
        <v>0.81077999999999995</v>
      </c>
      <c r="P134">
        <f t="shared" si="4"/>
        <v>1.30524</v>
      </c>
      <c r="Q134">
        <f t="shared" si="5"/>
        <v>-0.49446000000000001</v>
      </c>
    </row>
    <row r="135" spans="1:17" x14ac:dyDescent="0.35">
      <c r="A135">
        <v>134</v>
      </c>
      <c r="B135" s="4">
        <v>0.35272199999999998</v>
      </c>
      <c r="C135" s="4">
        <v>0.75811200000000001</v>
      </c>
      <c r="N135">
        <v>134</v>
      </c>
      <c r="O135" s="4">
        <v>0.75811200000000001</v>
      </c>
      <c r="P135">
        <f t="shared" si="4"/>
        <v>1.124312</v>
      </c>
      <c r="Q135">
        <f t="shared" si="5"/>
        <v>-0.36619999999999997</v>
      </c>
    </row>
    <row r="136" spans="1:17" x14ac:dyDescent="0.35">
      <c r="A136">
        <v>135</v>
      </c>
      <c r="B136" s="4">
        <v>0.37620500000000001</v>
      </c>
      <c r="C136" s="4">
        <v>0.75526199999999999</v>
      </c>
      <c r="N136">
        <v>135</v>
      </c>
      <c r="O136" s="4">
        <v>0.75526199999999999</v>
      </c>
      <c r="P136">
        <f t="shared" si="4"/>
        <v>1.1032448000000001</v>
      </c>
      <c r="Q136">
        <f t="shared" si="5"/>
        <v>-0.34798280000000015</v>
      </c>
    </row>
    <row r="137" spans="1:17" x14ac:dyDescent="0.35">
      <c r="A137">
        <v>136</v>
      </c>
      <c r="B137" s="4">
        <v>0.98384099999999997</v>
      </c>
      <c r="C137" s="4">
        <v>1.36147</v>
      </c>
      <c r="N137">
        <v>136</v>
      </c>
      <c r="O137" s="4">
        <v>1.36147</v>
      </c>
      <c r="P137">
        <f t="shared" si="4"/>
        <v>1.1021048</v>
      </c>
      <c r="Q137">
        <f t="shared" si="5"/>
        <v>0.25936519999999996</v>
      </c>
    </row>
    <row r="138" spans="1:17" x14ac:dyDescent="0.35">
      <c r="A138">
        <v>137</v>
      </c>
      <c r="B138" s="4">
        <v>0.51414499999999996</v>
      </c>
      <c r="C138" s="4">
        <v>1.1948799999999999</v>
      </c>
      <c r="N138">
        <v>137</v>
      </c>
      <c r="O138" s="4">
        <v>1.1948799999999999</v>
      </c>
      <c r="P138">
        <f t="shared" si="4"/>
        <v>1.3445879999999999</v>
      </c>
      <c r="Q138">
        <f t="shared" si="5"/>
        <v>-0.14970799999999995</v>
      </c>
    </row>
    <row r="139" spans="1:17" x14ac:dyDescent="0.35">
      <c r="A139">
        <v>138</v>
      </c>
      <c r="B139" s="4">
        <v>0.36144999999999999</v>
      </c>
      <c r="C139" s="4">
        <v>0.95889100000000005</v>
      </c>
      <c r="N139">
        <v>138</v>
      </c>
      <c r="O139" s="4">
        <v>0.95889100000000005</v>
      </c>
      <c r="P139">
        <f t="shared" si="4"/>
        <v>1.277952</v>
      </c>
      <c r="Q139">
        <f t="shared" si="5"/>
        <v>-0.31906099999999993</v>
      </c>
    </row>
    <row r="140" spans="1:17" x14ac:dyDescent="0.35">
      <c r="A140">
        <v>139</v>
      </c>
      <c r="B140" s="4">
        <v>0.93125899999999995</v>
      </c>
      <c r="C140" s="4">
        <v>1.4107000000000001</v>
      </c>
      <c r="N140">
        <v>139</v>
      </c>
      <c r="O140" s="4">
        <v>1.4107000000000001</v>
      </c>
      <c r="P140">
        <f t="shared" si="4"/>
        <v>1.1835564000000001</v>
      </c>
      <c r="Q140">
        <f t="shared" si="5"/>
        <v>0.2271436</v>
      </c>
    </row>
    <row r="141" spans="1:17" x14ac:dyDescent="0.35">
      <c r="A141">
        <v>140</v>
      </c>
      <c r="B141" s="4">
        <v>0.82319600000000004</v>
      </c>
      <c r="C141" s="4">
        <v>1.5285500000000001</v>
      </c>
      <c r="N141">
        <v>140</v>
      </c>
      <c r="O141" s="4">
        <v>1.5285500000000001</v>
      </c>
      <c r="P141">
        <f t="shared" si="4"/>
        <v>1.3642799999999999</v>
      </c>
      <c r="Q141">
        <f t="shared" si="5"/>
        <v>0.16427000000000014</v>
      </c>
    </row>
    <row r="142" spans="1:17" x14ac:dyDescent="0.35">
      <c r="A142">
        <v>141</v>
      </c>
      <c r="B142" s="4">
        <v>0.678925</v>
      </c>
      <c r="C142" s="4">
        <v>1.4432</v>
      </c>
      <c r="N142">
        <v>141</v>
      </c>
      <c r="O142" s="4">
        <v>1.4432</v>
      </c>
      <c r="P142">
        <f t="shared" si="4"/>
        <v>1.4114200000000001</v>
      </c>
      <c r="Q142">
        <f t="shared" si="5"/>
        <v>3.1779999999999919E-2</v>
      </c>
    </row>
    <row r="143" spans="1:17" x14ac:dyDescent="0.35">
      <c r="A143">
        <v>142</v>
      </c>
      <c r="B143" s="4">
        <v>0.83641100000000002</v>
      </c>
      <c r="C143" s="4">
        <v>1.5580099999999999</v>
      </c>
      <c r="N143">
        <v>142</v>
      </c>
      <c r="O143" s="4">
        <v>1.5580099999999999</v>
      </c>
      <c r="P143">
        <f t="shared" si="4"/>
        <v>1.3772800000000001</v>
      </c>
      <c r="Q143">
        <f t="shared" si="5"/>
        <v>0.18072999999999984</v>
      </c>
    </row>
    <row r="144" spans="1:17" x14ac:dyDescent="0.35">
      <c r="A144">
        <v>143</v>
      </c>
      <c r="B144" s="4">
        <v>0.79666099999999995</v>
      </c>
      <c r="C144" s="4">
        <v>1.5756699999999999</v>
      </c>
      <c r="N144">
        <v>143</v>
      </c>
      <c r="O144" s="4">
        <v>1.5756699999999999</v>
      </c>
      <c r="P144">
        <f t="shared" si="4"/>
        <v>1.4232040000000001</v>
      </c>
      <c r="Q144">
        <f t="shared" si="5"/>
        <v>0.15246599999999977</v>
      </c>
    </row>
    <row r="145" spans="1:17" x14ac:dyDescent="0.35">
      <c r="A145">
        <v>144</v>
      </c>
      <c r="B145" s="4">
        <v>0.630386</v>
      </c>
      <c r="C145" s="4">
        <v>1.41822</v>
      </c>
      <c r="N145">
        <v>144</v>
      </c>
      <c r="O145" s="4">
        <v>1.41822</v>
      </c>
      <c r="P145">
        <f t="shared" si="4"/>
        <v>1.4302680000000001</v>
      </c>
      <c r="Q145">
        <f t="shared" si="5"/>
        <v>-1.2048000000000059E-2</v>
      </c>
    </row>
    <row r="146" spans="1:17" x14ac:dyDescent="0.35">
      <c r="A146">
        <v>145</v>
      </c>
      <c r="B146" s="4">
        <v>0.94140599999999997</v>
      </c>
      <c r="C146" s="4">
        <v>1.65052</v>
      </c>
      <c r="N146">
        <v>145</v>
      </c>
      <c r="O146" s="4">
        <v>1.65052</v>
      </c>
      <c r="P146">
        <f t="shared" si="4"/>
        <v>1.3672880000000001</v>
      </c>
      <c r="Q146">
        <f t="shared" si="5"/>
        <v>0.28323199999999993</v>
      </c>
    </row>
    <row r="147" spans="1:17" x14ac:dyDescent="0.35">
      <c r="A147">
        <v>146</v>
      </c>
      <c r="B147" s="4">
        <v>0.46701100000000001</v>
      </c>
      <c r="C147" s="4">
        <v>1.29227</v>
      </c>
      <c r="N147">
        <v>146</v>
      </c>
      <c r="O147" s="4">
        <v>1.29227</v>
      </c>
      <c r="P147">
        <f t="shared" si="4"/>
        <v>1.4602080000000002</v>
      </c>
      <c r="Q147">
        <f t="shared" si="5"/>
        <v>-0.16793800000000014</v>
      </c>
    </row>
    <row r="148" spans="1:17" x14ac:dyDescent="0.35">
      <c r="A148">
        <v>147</v>
      </c>
      <c r="B148" s="4">
        <v>0.15026900000000001</v>
      </c>
      <c r="C148" s="4">
        <v>0.79640299999999997</v>
      </c>
      <c r="N148">
        <v>147</v>
      </c>
      <c r="O148" s="4">
        <v>0.79640299999999997</v>
      </c>
      <c r="P148">
        <f t="shared" si="4"/>
        <v>1.3169080000000002</v>
      </c>
      <c r="Q148">
        <f t="shared" si="5"/>
        <v>-0.52050500000000022</v>
      </c>
    </row>
    <row r="149" spans="1:17" x14ac:dyDescent="0.35">
      <c r="A149">
        <v>148</v>
      </c>
      <c r="B149" s="4">
        <v>0.59996000000000005</v>
      </c>
      <c r="C149" s="4">
        <v>0.99816199999999999</v>
      </c>
      <c r="N149">
        <v>148</v>
      </c>
      <c r="O149" s="4">
        <v>0.99816199999999999</v>
      </c>
      <c r="P149">
        <f t="shared" si="4"/>
        <v>1.1185612</v>
      </c>
      <c r="Q149">
        <f t="shared" si="5"/>
        <v>-0.12039920000000004</v>
      </c>
    </row>
    <row r="150" spans="1:17" x14ac:dyDescent="0.35">
      <c r="A150">
        <v>149</v>
      </c>
      <c r="B150" s="4">
        <v>0.67808500000000005</v>
      </c>
      <c r="C150" s="4">
        <v>1.17717</v>
      </c>
      <c r="N150">
        <v>149</v>
      </c>
      <c r="O150" s="4">
        <v>1.17717</v>
      </c>
      <c r="P150">
        <f t="shared" si="4"/>
        <v>1.1992648000000001</v>
      </c>
      <c r="Q150">
        <f t="shared" si="5"/>
        <v>-2.2094800000000081E-2</v>
      </c>
    </row>
    <row r="151" spans="1:17" x14ac:dyDescent="0.35">
      <c r="A151">
        <v>150</v>
      </c>
      <c r="B151" s="4">
        <v>0.64474500000000001</v>
      </c>
      <c r="C151" s="4">
        <v>1.23333</v>
      </c>
      <c r="N151">
        <v>150</v>
      </c>
      <c r="O151" s="4">
        <v>1.23333</v>
      </c>
      <c r="P151">
        <f t="shared" si="4"/>
        <v>1.2708680000000001</v>
      </c>
      <c r="Q151">
        <f t="shared" si="5"/>
        <v>-3.7538000000000071E-2</v>
      </c>
    </row>
    <row r="152" spans="1:17" x14ac:dyDescent="0.35">
      <c r="A152">
        <v>151</v>
      </c>
      <c r="B152" s="4">
        <v>0.352356</v>
      </c>
      <c r="C152" s="4">
        <v>0.96901999999999999</v>
      </c>
      <c r="N152">
        <v>151</v>
      </c>
      <c r="O152" s="4">
        <v>0.96901999999999999</v>
      </c>
      <c r="P152">
        <f t="shared" si="4"/>
        <v>1.2933320000000001</v>
      </c>
      <c r="Q152">
        <f t="shared" si="5"/>
        <v>-0.32431200000000016</v>
      </c>
    </row>
    <row r="153" spans="1:17" x14ac:dyDescent="0.35">
      <c r="A153">
        <v>152</v>
      </c>
      <c r="B153" s="4">
        <v>0.16555800000000001</v>
      </c>
      <c r="C153" s="4">
        <v>0.65006799999999998</v>
      </c>
      <c r="N153">
        <v>152</v>
      </c>
      <c r="O153" s="4">
        <v>0.65006799999999998</v>
      </c>
      <c r="P153">
        <f t="shared" si="4"/>
        <v>1.187608</v>
      </c>
      <c r="Q153">
        <f t="shared" si="5"/>
        <v>-0.53754000000000002</v>
      </c>
    </row>
    <row r="154" spans="1:17" x14ac:dyDescent="0.35">
      <c r="A154">
        <v>153</v>
      </c>
      <c r="B154" s="4">
        <v>0.777451</v>
      </c>
      <c r="C154" s="4">
        <v>1.1024799999999999</v>
      </c>
      <c r="N154">
        <v>153</v>
      </c>
      <c r="O154" s="4">
        <v>1.1024799999999999</v>
      </c>
      <c r="P154">
        <f t="shared" si="4"/>
        <v>1.0600271999999999</v>
      </c>
      <c r="Q154">
        <f t="shared" si="5"/>
        <v>4.2452799999999957E-2</v>
      </c>
    </row>
    <row r="155" spans="1:17" x14ac:dyDescent="0.35">
      <c r="A155">
        <v>154</v>
      </c>
      <c r="B155" s="4">
        <v>0.64390599999999998</v>
      </c>
      <c r="C155" s="4">
        <v>1.1951499999999999</v>
      </c>
      <c r="N155">
        <v>154</v>
      </c>
      <c r="O155" s="4">
        <v>1.1951499999999999</v>
      </c>
      <c r="P155">
        <f t="shared" si="4"/>
        <v>1.2409920000000001</v>
      </c>
      <c r="Q155">
        <f t="shared" si="5"/>
        <v>-4.584200000000016E-2</v>
      </c>
    </row>
    <row r="156" spans="1:17" x14ac:dyDescent="0.35">
      <c r="A156">
        <v>155</v>
      </c>
      <c r="B156" s="4">
        <v>0.17330899999999999</v>
      </c>
      <c r="C156" s="4">
        <v>0.77088299999999998</v>
      </c>
      <c r="N156">
        <v>155</v>
      </c>
      <c r="O156" s="4">
        <v>0.77088299999999998</v>
      </c>
      <c r="P156">
        <f t="shared" si="4"/>
        <v>1.27806</v>
      </c>
      <c r="Q156">
        <f t="shared" si="5"/>
        <v>-0.50717699999999999</v>
      </c>
    </row>
    <row r="157" spans="1:17" x14ac:dyDescent="0.35">
      <c r="A157">
        <v>156</v>
      </c>
      <c r="B157" s="4">
        <v>0.89170799999999995</v>
      </c>
      <c r="C157" s="4">
        <v>1.27715</v>
      </c>
      <c r="N157">
        <v>156</v>
      </c>
      <c r="O157" s="4">
        <v>1.27715</v>
      </c>
      <c r="P157">
        <f t="shared" si="4"/>
        <v>1.1083532</v>
      </c>
      <c r="Q157">
        <f t="shared" si="5"/>
        <v>0.16879679999999997</v>
      </c>
    </row>
    <row r="158" spans="1:17" x14ac:dyDescent="0.35">
      <c r="A158">
        <v>157</v>
      </c>
      <c r="B158" s="4">
        <v>0.104019</v>
      </c>
      <c r="C158" s="4">
        <v>0.74259399999999998</v>
      </c>
      <c r="N158">
        <v>157</v>
      </c>
      <c r="O158" s="4">
        <v>0.74259399999999998</v>
      </c>
      <c r="P158">
        <f t="shared" si="4"/>
        <v>1.3108599999999999</v>
      </c>
      <c r="Q158">
        <f t="shared" si="5"/>
        <v>-0.56826599999999994</v>
      </c>
    </row>
    <row r="159" spans="1:17" x14ac:dyDescent="0.35">
      <c r="A159">
        <v>158</v>
      </c>
      <c r="B159" s="4">
        <v>0.28259299999999998</v>
      </c>
      <c r="C159" s="4">
        <v>0.65388999999999997</v>
      </c>
      <c r="N159">
        <v>158</v>
      </c>
      <c r="O159" s="4">
        <v>0.65388999999999997</v>
      </c>
      <c r="P159">
        <f t="shared" si="4"/>
        <v>1.0970376000000002</v>
      </c>
      <c r="Q159">
        <f t="shared" si="5"/>
        <v>-0.4431476000000002</v>
      </c>
    </row>
    <row r="160" spans="1:17" x14ac:dyDescent="0.35">
      <c r="A160">
        <v>159</v>
      </c>
      <c r="B160" s="4">
        <v>0.70375100000000002</v>
      </c>
      <c r="C160" s="4">
        <v>1.0306999999999999</v>
      </c>
      <c r="N160">
        <v>159</v>
      </c>
      <c r="O160" s="4">
        <v>1.0306999999999999</v>
      </c>
      <c r="P160">
        <f t="shared" si="4"/>
        <v>1.0615559999999999</v>
      </c>
      <c r="Q160">
        <f t="shared" si="5"/>
        <v>-3.0855999999999995E-2</v>
      </c>
    </row>
    <row r="161" spans="1:17" x14ac:dyDescent="0.35">
      <c r="A161">
        <v>160</v>
      </c>
      <c r="B161" s="4">
        <v>9.5916699999999994E-2</v>
      </c>
      <c r="C161" s="4">
        <v>0.61126499999999995</v>
      </c>
      <c r="N161">
        <v>160</v>
      </c>
      <c r="O161" s="4">
        <v>0.61126499999999995</v>
      </c>
      <c r="P161">
        <f t="shared" si="4"/>
        <v>1.21228</v>
      </c>
      <c r="Q161">
        <f t="shared" si="5"/>
        <v>-0.60101500000000008</v>
      </c>
    </row>
    <row r="162" spans="1:17" x14ac:dyDescent="0.35">
      <c r="A162">
        <v>161</v>
      </c>
      <c r="B162" s="4">
        <v>0.27873199999999998</v>
      </c>
      <c r="C162" s="4">
        <v>0.58436500000000002</v>
      </c>
      <c r="N162">
        <v>161</v>
      </c>
      <c r="O162" s="4">
        <v>0.58436500000000002</v>
      </c>
      <c r="P162">
        <f t="shared" si="4"/>
        <v>1.0445060000000002</v>
      </c>
      <c r="Q162">
        <f t="shared" si="5"/>
        <v>-0.46014100000000013</v>
      </c>
    </row>
    <row r="163" spans="1:17" x14ac:dyDescent="0.35">
      <c r="A163">
        <v>162</v>
      </c>
      <c r="B163" s="4">
        <v>0.71731599999999995</v>
      </c>
      <c r="C163" s="4">
        <v>1.0095000000000001</v>
      </c>
      <c r="N163">
        <v>162</v>
      </c>
      <c r="O163" s="4">
        <v>1.0095000000000001</v>
      </c>
      <c r="P163">
        <f t="shared" si="4"/>
        <v>1.0337460000000001</v>
      </c>
      <c r="Q163">
        <f t="shared" si="5"/>
        <v>-2.424599999999999E-2</v>
      </c>
    </row>
    <row r="164" spans="1:17" x14ac:dyDescent="0.35">
      <c r="A164">
        <v>163</v>
      </c>
      <c r="B164" s="4">
        <v>4.6707199999999997E-2</v>
      </c>
      <c r="C164" s="4">
        <v>0.55145599999999995</v>
      </c>
      <c r="N164">
        <v>163</v>
      </c>
      <c r="O164" s="4">
        <v>0.55145599999999995</v>
      </c>
      <c r="P164">
        <f t="shared" si="4"/>
        <v>1.2038000000000002</v>
      </c>
      <c r="Q164">
        <f t="shared" si="5"/>
        <v>-0.65234400000000026</v>
      </c>
    </row>
    <row r="165" spans="1:17" x14ac:dyDescent="0.35">
      <c r="A165">
        <v>164</v>
      </c>
      <c r="B165" s="4">
        <v>0.106964</v>
      </c>
      <c r="C165" s="4">
        <v>0.38269199999999998</v>
      </c>
      <c r="N165">
        <v>164</v>
      </c>
      <c r="O165" s="4">
        <v>0.38269199999999998</v>
      </c>
      <c r="P165">
        <f t="shared" si="4"/>
        <v>1.0205824000000001</v>
      </c>
      <c r="Q165">
        <f t="shared" si="5"/>
        <v>-0.63789040000000008</v>
      </c>
    </row>
    <row r="166" spans="1:17" x14ac:dyDescent="0.35">
      <c r="A166">
        <v>165</v>
      </c>
      <c r="B166" s="4">
        <v>0.79794299999999996</v>
      </c>
      <c r="C166" s="4">
        <v>0.98928899999999997</v>
      </c>
      <c r="N166">
        <v>165</v>
      </c>
      <c r="O166" s="4">
        <v>0.98928899999999997</v>
      </c>
      <c r="P166">
        <f t="shared" si="4"/>
        <v>0.95307680000000006</v>
      </c>
      <c r="Q166">
        <f t="shared" si="5"/>
        <v>3.6212199999999917E-2</v>
      </c>
    </row>
    <row r="167" spans="1:17" x14ac:dyDescent="0.35">
      <c r="A167">
        <v>166</v>
      </c>
      <c r="B167" s="4">
        <v>3.7200900000000002E-2</v>
      </c>
      <c r="C167" s="4">
        <v>0.53184600000000004</v>
      </c>
      <c r="N167">
        <v>166</v>
      </c>
      <c r="O167" s="4">
        <v>0.53184600000000004</v>
      </c>
      <c r="P167">
        <f t="shared" si="4"/>
        <v>1.1957156</v>
      </c>
      <c r="Q167">
        <f t="shared" si="5"/>
        <v>-0.66386959999999995</v>
      </c>
    </row>
    <row r="168" spans="1:17" x14ac:dyDescent="0.35">
      <c r="A168">
        <v>167</v>
      </c>
      <c r="B168" s="4">
        <v>0.46722399999999997</v>
      </c>
      <c r="C168" s="4">
        <v>0.73314699999999999</v>
      </c>
      <c r="N168">
        <v>167</v>
      </c>
      <c r="O168" s="4">
        <v>0.73314699999999999</v>
      </c>
      <c r="P168">
        <f t="shared" si="4"/>
        <v>1.0127384000000001</v>
      </c>
      <c r="Q168">
        <f t="shared" si="5"/>
        <v>-0.27959140000000016</v>
      </c>
    </row>
    <row r="169" spans="1:17" x14ac:dyDescent="0.35">
      <c r="A169">
        <v>168</v>
      </c>
      <c r="B169" s="4">
        <v>0.74517800000000001</v>
      </c>
      <c r="C169" s="4">
        <v>1.11175</v>
      </c>
      <c r="N169">
        <v>168</v>
      </c>
      <c r="O169" s="4">
        <v>1.11175</v>
      </c>
      <c r="P169">
        <f t="shared" si="4"/>
        <v>1.0932588000000001</v>
      </c>
      <c r="Q169">
        <f t="shared" si="5"/>
        <v>1.849119999999993E-2</v>
      </c>
    </row>
    <row r="170" spans="1:17" x14ac:dyDescent="0.35">
      <c r="A170">
        <v>169</v>
      </c>
      <c r="B170" s="4">
        <v>0.24679599999999999</v>
      </c>
      <c r="C170" s="4">
        <v>0.80267100000000002</v>
      </c>
      <c r="N170">
        <v>169</v>
      </c>
      <c r="O170" s="4">
        <v>0.80267100000000002</v>
      </c>
      <c r="P170">
        <f t="shared" si="4"/>
        <v>1.2447000000000001</v>
      </c>
      <c r="Q170">
        <f t="shared" si="5"/>
        <v>-0.44202900000000012</v>
      </c>
    </row>
    <row r="171" spans="1:17" x14ac:dyDescent="0.35">
      <c r="A171">
        <v>170</v>
      </c>
      <c r="B171" s="4">
        <v>0.137543</v>
      </c>
      <c r="C171" s="4">
        <v>0.53887799999999997</v>
      </c>
      <c r="N171">
        <v>170</v>
      </c>
      <c r="O171" s="4">
        <v>0.53887799999999997</v>
      </c>
      <c r="P171">
        <f t="shared" si="4"/>
        <v>1.1210684</v>
      </c>
      <c r="Q171">
        <f t="shared" si="5"/>
        <v>-0.5821904</v>
      </c>
    </row>
    <row r="172" spans="1:17" x14ac:dyDescent="0.35">
      <c r="A172">
        <v>171</v>
      </c>
      <c r="B172" s="4">
        <v>0.78579699999999997</v>
      </c>
      <c r="C172" s="4">
        <v>1.05524</v>
      </c>
      <c r="N172">
        <v>171</v>
      </c>
      <c r="O172" s="4">
        <v>1.05524</v>
      </c>
      <c r="P172">
        <f t="shared" si="4"/>
        <v>1.0155512</v>
      </c>
      <c r="Q172">
        <f t="shared" si="5"/>
        <v>3.9688799999999969E-2</v>
      </c>
    </row>
    <row r="173" spans="1:17" x14ac:dyDescent="0.35">
      <c r="A173">
        <v>172</v>
      </c>
      <c r="B173" s="4">
        <v>0.92581199999999997</v>
      </c>
      <c r="C173" s="4">
        <v>1.45343</v>
      </c>
      <c r="N173">
        <v>172</v>
      </c>
      <c r="O173" s="4">
        <v>1.45343</v>
      </c>
      <c r="P173">
        <f t="shared" si="4"/>
        <v>1.2220960000000001</v>
      </c>
      <c r="Q173">
        <f t="shared" si="5"/>
        <v>0.23133399999999993</v>
      </c>
    </row>
    <row r="174" spans="1:17" x14ac:dyDescent="0.35">
      <c r="A174">
        <v>173</v>
      </c>
      <c r="B174" s="4">
        <v>0.34550500000000001</v>
      </c>
      <c r="C174" s="4">
        <v>1.07222</v>
      </c>
      <c r="N174">
        <v>173</v>
      </c>
      <c r="O174" s="4">
        <v>1.07222</v>
      </c>
      <c r="P174">
        <f t="shared" si="4"/>
        <v>1.381372</v>
      </c>
      <c r="Q174">
        <f t="shared" si="5"/>
        <v>-0.30915200000000009</v>
      </c>
    </row>
    <row r="175" spans="1:17" x14ac:dyDescent="0.35">
      <c r="A175">
        <v>174</v>
      </c>
      <c r="B175" s="4">
        <v>0.92215000000000003</v>
      </c>
      <c r="C175" s="4">
        <v>1.4582599999999999</v>
      </c>
      <c r="N175">
        <v>174</v>
      </c>
      <c r="O175" s="4">
        <v>1.4582599999999999</v>
      </c>
      <c r="P175">
        <f t="shared" si="4"/>
        <v>1.228888</v>
      </c>
      <c r="Q175">
        <f t="shared" si="5"/>
        <v>0.22937199999999991</v>
      </c>
    </row>
    <row r="176" spans="1:17" x14ac:dyDescent="0.35">
      <c r="A176">
        <v>175</v>
      </c>
      <c r="B176" s="4">
        <v>0.61090100000000003</v>
      </c>
      <c r="C176" s="4">
        <v>1.3400300000000001</v>
      </c>
      <c r="N176">
        <v>175</v>
      </c>
      <c r="O176" s="4">
        <v>1.3400300000000001</v>
      </c>
      <c r="P176">
        <f t="shared" si="4"/>
        <v>1.3833039999999999</v>
      </c>
      <c r="Q176">
        <f t="shared" si="5"/>
        <v>-4.3273999999999813E-2</v>
      </c>
    </row>
    <row r="177" spans="1:17" x14ac:dyDescent="0.35">
      <c r="A177">
        <v>176</v>
      </c>
      <c r="B177" s="4">
        <v>0.42929099999999998</v>
      </c>
      <c r="C177" s="4">
        <v>1.09931</v>
      </c>
      <c r="N177">
        <v>176</v>
      </c>
      <c r="O177" s="4">
        <v>1.09931</v>
      </c>
      <c r="P177">
        <f t="shared" si="4"/>
        <v>1.3360120000000002</v>
      </c>
      <c r="Q177">
        <f t="shared" si="5"/>
        <v>-0.23670200000000019</v>
      </c>
    </row>
    <row r="178" spans="1:17" x14ac:dyDescent="0.35">
      <c r="A178">
        <v>177</v>
      </c>
      <c r="B178" s="4">
        <v>0.18368499999999999</v>
      </c>
      <c r="C178" s="4">
        <v>0.73333800000000005</v>
      </c>
      <c r="N178">
        <v>177</v>
      </c>
      <c r="O178" s="4">
        <v>0.73333800000000005</v>
      </c>
      <c r="P178">
        <f t="shared" si="4"/>
        <v>1.239724</v>
      </c>
      <c r="Q178">
        <f t="shared" si="5"/>
        <v>-0.506386</v>
      </c>
    </row>
    <row r="179" spans="1:17" x14ac:dyDescent="0.35">
      <c r="A179">
        <v>178</v>
      </c>
      <c r="B179" s="4">
        <v>0.26377899999999999</v>
      </c>
      <c r="C179" s="4">
        <v>0.63044800000000001</v>
      </c>
      <c r="N179">
        <v>178</v>
      </c>
      <c r="O179" s="4">
        <v>0.63044800000000001</v>
      </c>
      <c r="P179">
        <f t="shared" si="4"/>
        <v>1.0933352000000001</v>
      </c>
      <c r="Q179">
        <f t="shared" si="5"/>
        <v>-0.46288720000000005</v>
      </c>
    </row>
    <row r="180" spans="1:17" x14ac:dyDescent="0.35">
      <c r="A180">
        <v>179</v>
      </c>
      <c r="B180" s="4">
        <v>0.36302200000000001</v>
      </c>
      <c r="C180" s="4">
        <v>0.67824600000000002</v>
      </c>
      <c r="N180">
        <v>179</v>
      </c>
      <c r="O180" s="4">
        <v>0.67824600000000002</v>
      </c>
      <c r="P180">
        <f t="shared" si="4"/>
        <v>1.0521792000000001</v>
      </c>
      <c r="Q180">
        <f t="shared" si="5"/>
        <v>-0.37393320000000008</v>
      </c>
    </row>
    <row r="181" spans="1:17" x14ac:dyDescent="0.35">
      <c r="A181">
        <v>180</v>
      </c>
      <c r="B181" s="4">
        <v>0.50907899999999995</v>
      </c>
      <c r="C181" s="4">
        <v>0.84820200000000001</v>
      </c>
      <c r="N181">
        <v>180</v>
      </c>
      <c r="O181" s="4">
        <v>0.84820200000000001</v>
      </c>
      <c r="P181">
        <f t="shared" si="4"/>
        <v>1.0712984000000001</v>
      </c>
      <c r="Q181">
        <f t="shared" si="5"/>
        <v>-0.22309640000000008</v>
      </c>
    </row>
    <row r="182" spans="1:17" x14ac:dyDescent="0.35">
      <c r="A182">
        <v>181</v>
      </c>
      <c r="B182" s="4">
        <v>0.20716899999999999</v>
      </c>
      <c r="C182" s="4">
        <v>0.63127</v>
      </c>
      <c r="N182">
        <v>181</v>
      </c>
      <c r="O182" s="4">
        <v>0.63127</v>
      </c>
      <c r="P182">
        <f t="shared" si="4"/>
        <v>1.1392808000000001</v>
      </c>
      <c r="Q182">
        <f t="shared" si="5"/>
        <v>-0.5080108000000001</v>
      </c>
    </row>
    <row r="183" spans="1:17" x14ac:dyDescent="0.35">
      <c r="A183">
        <v>182</v>
      </c>
      <c r="B183" s="4">
        <v>0.971939</v>
      </c>
      <c r="C183" s="4">
        <v>1.2875700000000001</v>
      </c>
      <c r="N183">
        <v>182</v>
      </c>
      <c r="O183" s="4">
        <v>1.2875700000000001</v>
      </c>
      <c r="P183">
        <f t="shared" si="4"/>
        <v>1.052508</v>
      </c>
      <c r="Q183">
        <f t="shared" si="5"/>
        <v>0.2350620000000001</v>
      </c>
    </row>
    <row r="184" spans="1:17" x14ac:dyDescent="0.35">
      <c r="A184">
        <v>183</v>
      </c>
      <c r="B184" s="4">
        <v>0.49621599999999999</v>
      </c>
      <c r="C184" s="4">
        <v>1.1399999999999999</v>
      </c>
      <c r="N184">
        <v>183</v>
      </c>
      <c r="O184" s="4">
        <v>1.1399999999999999</v>
      </c>
      <c r="P184">
        <f t="shared" si="4"/>
        <v>1.3150280000000001</v>
      </c>
      <c r="Q184">
        <f t="shared" si="5"/>
        <v>-0.17502800000000018</v>
      </c>
    </row>
    <row r="185" spans="1:17" x14ac:dyDescent="0.35">
      <c r="A185">
        <v>184</v>
      </c>
      <c r="B185" s="4">
        <v>0.106735</v>
      </c>
      <c r="C185" s="4">
        <v>0.67673700000000003</v>
      </c>
      <c r="N185">
        <v>184</v>
      </c>
      <c r="O185" s="4">
        <v>0.67673700000000003</v>
      </c>
      <c r="P185">
        <f t="shared" si="4"/>
        <v>1.256</v>
      </c>
      <c r="Q185">
        <f t="shared" si="5"/>
        <v>-0.57926299999999997</v>
      </c>
    </row>
    <row r="186" spans="1:17" x14ac:dyDescent="0.35">
      <c r="A186">
        <v>185</v>
      </c>
      <c r="B186" s="4">
        <v>0.13792399999999999</v>
      </c>
      <c r="C186" s="4">
        <v>0.47629199999999999</v>
      </c>
      <c r="N186">
        <v>185</v>
      </c>
      <c r="O186" s="4">
        <v>0.47629199999999999</v>
      </c>
      <c r="P186">
        <f t="shared" si="4"/>
        <v>1.0706948000000001</v>
      </c>
      <c r="Q186">
        <f t="shared" si="5"/>
        <v>-0.59440280000000012</v>
      </c>
    </row>
    <row r="187" spans="1:17" x14ac:dyDescent="0.35">
      <c r="A187">
        <v>186</v>
      </c>
      <c r="B187" s="4">
        <v>0.259048</v>
      </c>
      <c r="C187" s="4">
        <v>0.497195</v>
      </c>
      <c r="N187">
        <v>186</v>
      </c>
      <c r="O187" s="4">
        <v>0.497195</v>
      </c>
      <c r="P187">
        <f t="shared" si="4"/>
        <v>0.99051680000000009</v>
      </c>
      <c r="Q187">
        <f t="shared" si="5"/>
        <v>-0.49332180000000009</v>
      </c>
    </row>
    <row r="188" spans="1:17" x14ac:dyDescent="0.35">
      <c r="A188">
        <v>187</v>
      </c>
      <c r="B188" s="4">
        <v>0.88268999999999997</v>
      </c>
      <c r="C188" s="4">
        <v>1.1312899999999999</v>
      </c>
      <c r="N188">
        <v>187</v>
      </c>
      <c r="O188" s="4">
        <v>1.1312899999999999</v>
      </c>
      <c r="P188">
        <f t="shared" si="4"/>
        <v>0.99887800000000004</v>
      </c>
      <c r="Q188">
        <f t="shared" si="5"/>
        <v>0.13241199999999986</v>
      </c>
    </row>
    <row r="189" spans="1:17" x14ac:dyDescent="0.35">
      <c r="A189">
        <v>188</v>
      </c>
      <c r="B189" s="4">
        <v>0.55232199999999998</v>
      </c>
      <c r="C189" s="4">
        <v>1.1179699999999999</v>
      </c>
      <c r="N189">
        <v>188</v>
      </c>
      <c r="O189" s="4">
        <v>1.1179699999999999</v>
      </c>
      <c r="P189">
        <f t="shared" si="4"/>
        <v>1.252516</v>
      </c>
      <c r="Q189">
        <f t="shared" si="5"/>
        <v>-0.13454600000000005</v>
      </c>
    </row>
    <row r="190" spans="1:17" x14ac:dyDescent="0.35">
      <c r="A190">
        <v>189</v>
      </c>
      <c r="B190" s="4">
        <v>0.115463</v>
      </c>
      <c r="C190" s="4">
        <v>0.67444599999999999</v>
      </c>
      <c r="N190">
        <v>189</v>
      </c>
      <c r="O190" s="4">
        <v>0.67444599999999999</v>
      </c>
      <c r="P190">
        <f t="shared" si="4"/>
        <v>1.247188</v>
      </c>
      <c r="Q190">
        <f t="shared" si="5"/>
        <v>-0.57274199999999997</v>
      </c>
    </row>
    <row r="191" spans="1:17" x14ac:dyDescent="0.35">
      <c r="A191">
        <v>190</v>
      </c>
      <c r="B191" s="4">
        <v>0.65508999999999995</v>
      </c>
      <c r="C191" s="4">
        <v>0.99231400000000003</v>
      </c>
      <c r="N191">
        <v>190</v>
      </c>
      <c r="O191" s="4">
        <v>0.99231400000000003</v>
      </c>
      <c r="P191">
        <f t="shared" si="4"/>
        <v>1.0697784000000001</v>
      </c>
      <c r="Q191">
        <f t="shared" si="5"/>
        <v>-7.74644000000001E-2</v>
      </c>
    </row>
    <row r="192" spans="1:17" x14ac:dyDescent="0.35">
      <c r="A192">
        <v>191</v>
      </c>
      <c r="B192" s="4">
        <v>0.32397500000000001</v>
      </c>
      <c r="C192" s="4">
        <v>0.82013100000000005</v>
      </c>
      <c r="N192">
        <v>191</v>
      </c>
      <c r="O192" s="4">
        <v>0.82013100000000005</v>
      </c>
      <c r="P192">
        <f t="shared" si="4"/>
        <v>1.1969256000000001</v>
      </c>
      <c r="Q192">
        <f t="shared" si="5"/>
        <v>-0.37679460000000009</v>
      </c>
    </row>
    <row r="193" spans="1:17" x14ac:dyDescent="0.35">
      <c r="A193">
        <v>192</v>
      </c>
      <c r="B193" s="4">
        <v>0.162109</v>
      </c>
      <c r="C193" s="4">
        <v>0.57217499999999999</v>
      </c>
      <c r="N193">
        <v>192</v>
      </c>
      <c r="O193" s="4">
        <v>0.57217499999999999</v>
      </c>
      <c r="P193">
        <f t="shared" si="4"/>
        <v>1.1280524000000001</v>
      </c>
      <c r="Q193">
        <f t="shared" si="5"/>
        <v>-0.55587740000000008</v>
      </c>
    </row>
    <row r="194" spans="1:17" x14ac:dyDescent="0.35">
      <c r="A194">
        <v>193</v>
      </c>
      <c r="B194" s="4">
        <v>0.70201100000000005</v>
      </c>
      <c r="C194" s="4">
        <v>0.98809899999999995</v>
      </c>
      <c r="N194">
        <v>193</v>
      </c>
      <c r="O194" s="4">
        <v>0.98809899999999995</v>
      </c>
      <c r="P194">
        <f t="shared" si="4"/>
        <v>1.02887</v>
      </c>
      <c r="Q194">
        <f t="shared" si="5"/>
        <v>-4.0771000000000002E-2</v>
      </c>
    </row>
    <row r="195" spans="1:17" x14ac:dyDescent="0.35">
      <c r="A195">
        <v>194</v>
      </c>
      <c r="B195" s="4">
        <v>0.85465999999999998</v>
      </c>
      <c r="C195" s="4">
        <v>1.3487100000000001</v>
      </c>
      <c r="N195">
        <v>194</v>
      </c>
      <c r="O195" s="4">
        <v>1.3487100000000001</v>
      </c>
      <c r="P195">
        <f t="shared" si="4"/>
        <v>1.1952396000000001</v>
      </c>
      <c r="Q195">
        <f t="shared" si="5"/>
        <v>0.15347040000000001</v>
      </c>
    </row>
    <row r="196" spans="1:17" x14ac:dyDescent="0.35">
      <c r="A196">
        <v>195</v>
      </c>
      <c r="B196" s="4">
        <v>0.48085</v>
      </c>
      <c r="C196" s="4">
        <v>1.1552</v>
      </c>
      <c r="N196">
        <v>195</v>
      </c>
      <c r="O196" s="4">
        <v>1.1552</v>
      </c>
      <c r="P196">
        <f t="shared" ref="P196:P201" si="6">$T$2+$T$3*O195</f>
        <v>1.3394840000000001</v>
      </c>
      <c r="Q196">
        <f t="shared" ref="Q196:Q201" si="7">O196-P196</f>
        <v>-0.18428400000000011</v>
      </c>
    </row>
    <row r="197" spans="1:17" x14ac:dyDescent="0.35">
      <c r="A197">
        <v>196</v>
      </c>
      <c r="B197" s="4">
        <v>0.84347499999999997</v>
      </c>
      <c r="C197" s="4">
        <v>1.4210799999999999</v>
      </c>
      <c r="N197">
        <v>196</v>
      </c>
      <c r="O197" s="4">
        <v>1.4210799999999999</v>
      </c>
      <c r="P197">
        <f t="shared" si="6"/>
        <v>1.2620800000000001</v>
      </c>
      <c r="Q197">
        <f t="shared" si="7"/>
        <v>0.15899999999999981</v>
      </c>
    </row>
    <row r="198" spans="1:17" x14ac:dyDescent="0.35">
      <c r="A198">
        <v>197</v>
      </c>
      <c r="B198" s="4">
        <v>0.40860000000000002</v>
      </c>
      <c r="C198" s="4">
        <v>1.11914</v>
      </c>
      <c r="N198">
        <v>197</v>
      </c>
      <c r="O198" s="4">
        <v>1.11914</v>
      </c>
      <c r="P198">
        <f t="shared" si="6"/>
        <v>1.3684319999999999</v>
      </c>
      <c r="Q198">
        <f t="shared" si="7"/>
        <v>-0.24929199999999985</v>
      </c>
    </row>
    <row r="199" spans="1:17" x14ac:dyDescent="0.35">
      <c r="A199">
        <v>198</v>
      </c>
      <c r="B199" s="4">
        <v>0.58171099999999998</v>
      </c>
      <c r="C199" s="4">
        <v>1.1412800000000001</v>
      </c>
      <c r="E199" s="7"/>
      <c r="F199" s="8"/>
      <c r="N199">
        <v>198</v>
      </c>
      <c r="O199" s="4">
        <v>1.1412800000000001</v>
      </c>
      <c r="P199">
        <f t="shared" si="6"/>
        <v>1.2476560000000001</v>
      </c>
      <c r="Q199">
        <f t="shared" si="7"/>
        <v>-0.10637600000000003</v>
      </c>
    </row>
    <row r="200" spans="1:17" x14ac:dyDescent="0.35">
      <c r="A200">
        <v>199</v>
      </c>
      <c r="B200" s="4">
        <v>0.97593700000000005</v>
      </c>
      <c r="C200" s="4">
        <v>1.5465800000000001</v>
      </c>
      <c r="E200" s="7"/>
      <c r="F200" s="9"/>
      <c r="N200">
        <v>199</v>
      </c>
      <c r="O200" s="4">
        <v>1.5465800000000001</v>
      </c>
      <c r="P200">
        <f t="shared" si="6"/>
        <v>1.2565120000000001</v>
      </c>
      <c r="Q200">
        <f t="shared" si="7"/>
        <v>0.29006799999999999</v>
      </c>
    </row>
    <row r="201" spans="1:17" x14ac:dyDescent="0.35">
      <c r="A201">
        <v>200</v>
      </c>
      <c r="B201" s="4">
        <v>0.68396000000000001</v>
      </c>
      <c r="C201" s="4">
        <v>1.4572499999999999</v>
      </c>
      <c r="E201" s="7"/>
      <c r="F201" s="9"/>
      <c r="N201">
        <v>200</v>
      </c>
      <c r="O201" s="4">
        <v>1.4572499999999999</v>
      </c>
      <c r="P201">
        <f t="shared" si="6"/>
        <v>1.4186320000000001</v>
      </c>
      <c r="Q201">
        <f t="shared" si="7"/>
        <v>3.8617999999999819E-2</v>
      </c>
    </row>
    <row r="202" spans="1:17" x14ac:dyDescent="0.35">
      <c r="E202" s="7"/>
      <c r="F202" s="9"/>
    </row>
    <row r="203" spans="1:17" x14ac:dyDescent="0.35">
      <c r="C203" s="4"/>
      <c r="O203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8"/>
  <sheetViews>
    <sheetView workbookViewId="0">
      <pane ySplit="1" topLeftCell="A2" activePane="bottomLeft" state="frozen"/>
      <selection pane="bottomLeft" activeCell="E218" sqref="E218"/>
    </sheetView>
  </sheetViews>
  <sheetFormatPr defaultRowHeight="14.5" x14ac:dyDescent="0.35"/>
  <cols>
    <col min="1" max="1" width="4" bestFit="1" customWidth="1"/>
    <col min="3" max="3" width="12.453125" bestFit="1" customWidth="1"/>
    <col min="6" max="6" width="3.08984375" customWidth="1"/>
    <col min="7" max="7" width="11.90625" customWidth="1"/>
  </cols>
  <sheetData>
    <row r="1" spans="1:5" ht="28.5" customHeight="1" x14ac:dyDescent="0.35">
      <c r="A1" t="s">
        <v>15</v>
      </c>
      <c r="B1" s="3" t="s">
        <v>10</v>
      </c>
      <c r="C1" s="10" t="s">
        <v>23</v>
      </c>
      <c r="D1" t="s">
        <v>16</v>
      </c>
      <c r="E1" t="s">
        <v>22</v>
      </c>
    </row>
    <row r="2" spans="1:5" hidden="1" x14ac:dyDescent="0.35">
      <c r="A2">
        <v>1</v>
      </c>
      <c r="B2" s="4">
        <v>0.24</v>
      </c>
      <c r="C2">
        <v>0.84807474051273002</v>
      </c>
      <c r="D2">
        <f>B2-C2</f>
        <v>-0.60807474051273003</v>
      </c>
    </row>
    <row r="3" spans="1:5" hidden="1" x14ac:dyDescent="0.35">
      <c r="A3">
        <v>2</v>
      </c>
      <c r="B3" s="4">
        <v>0.35024</v>
      </c>
      <c r="C3">
        <v>0.59625434458883997</v>
      </c>
      <c r="D3">
        <f t="shared" ref="D3:D66" si="0">B3-C3</f>
        <v>-0.24601434458883997</v>
      </c>
    </row>
    <row r="4" spans="1:5" hidden="1" x14ac:dyDescent="0.35">
      <c r="A4">
        <v>3</v>
      </c>
      <c r="B4" s="4">
        <v>0.85030600000000001</v>
      </c>
      <c r="C4">
        <v>0.65015395838826395</v>
      </c>
      <c r="D4">
        <f t="shared" si="0"/>
        <v>0.20015204161173605</v>
      </c>
    </row>
    <row r="5" spans="1:5" hidden="1" x14ac:dyDescent="0.35">
      <c r="A5">
        <v>4</v>
      </c>
      <c r="B5" s="4">
        <v>0.47266900000000001</v>
      </c>
      <c r="C5">
        <v>0.89465109440262103</v>
      </c>
      <c r="D5">
        <f t="shared" si="0"/>
        <v>-0.42198209440262102</v>
      </c>
    </row>
    <row r="6" spans="1:5" hidden="1" x14ac:dyDescent="0.35">
      <c r="A6">
        <v>5</v>
      </c>
      <c r="B6" s="4">
        <v>0.95316199999999995</v>
      </c>
      <c r="C6">
        <v>0.710013136706929</v>
      </c>
      <c r="D6">
        <f t="shared" si="0"/>
        <v>0.24314886329307095</v>
      </c>
    </row>
    <row r="7" spans="1:5" hidden="1" x14ac:dyDescent="0.35">
      <c r="A7">
        <v>6</v>
      </c>
      <c r="B7" s="4">
        <v>1.3311999999999999</v>
      </c>
      <c r="C7">
        <v>0.94494045105132896</v>
      </c>
      <c r="D7">
        <f t="shared" si="0"/>
        <v>0.38625954894867098</v>
      </c>
    </row>
    <row r="8" spans="1:5" hidden="1" x14ac:dyDescent="0.35">
      <c r="A8">
        <v>7</v>
      </c>
      <c r="B8" s="4">
        <v>1.2235799999999999</v>
      </c>
      <c r="C8">
        <v>1.12977446957008</v>
      </c>
      <c r="D8">
        <f t="shared" si="0"/>
        <v>9.3805530429919903E-2</v>
      </c>
    </row>
    <row r="9" spans="1:5" hidden="1" x14ac:dyDescent="0.35">
      <c r="A9">
        <v>8</v>
      </c>
      <c r="B9" s="4">
        <v>0.65082200000000001</v>
      </c>
      <c r="C9">
        <v>1.07715585167191</v>
      </c>
      <c r="D9">
        <f t="shared" si="0"/>
        <v>-0.42633385167190996</v>
      </c>
    </row>
    <row r="10" spans="1:5" hidden="1" x14ac:dyDescent="0.35">
      <c r="A10">
        <v>9</v>
      </c>
      <c r="B10" s="4">
        <v>0.51002700000000001</v>
      </c>
      <c r="C10">
        <v>0.79711743548422198</v>
      </c>
      <c r="D10">
        <f t="shared" si="0"/>
        <v>-0.28709043548422197</v>
      </c>
    </row>
    <row r="11" spans="1:5" hidden="1" x14ac:dyDescent="0.35">
      <c r="A11">
        <v>10</v>
      </c>
      <c r="B11" s="4">
        <v>0.271814</v>
      </c>
      <c r="C11">
        <v>0.72827857368369697</v>
      </c>
      <c r="D11">
        <f t="shared" si="0"/>
        <v>-0.45646457368369697</v>
      </c>
    </row>
    <row r="12" spans="1:5" hidden="1" x14ac:dyDescent="0.35">
      <c r="A12">
        <v>11</v>
      </c>
      <c r="B12" s="4">
        <v>0.73197599999999996</v>
      </c>
      <c r="C12">
        <v>0.61180915512417</v>
      </c>
      <c r="D12">
        <f t="shared" si="0"/>
        <v>0.12016684487582996</v>
      </c>
    </row>
    <row r="13" spans="1:5" hidden="1" x14ac:dyDescent="0.35">
      <c r="A13">
        <v>12</v>
      </c>
      <c r="B13" s="4">
        <v>0.60165999999999997</v>
      </c>
      <c r="C13">
        <v>0.83679603906076805</v>
      </c>
      <c r="D13">
        <f t="shared" si="0"/>
        <v>-0.23513603906076808</v>
      </c>
    </row>
    <row r="14" spans="1:5" hidden="1" x14ac:dyDescent="0.35">
      <c r="A14">
        <v>13</v>
      </c>
      <c r="B14" s="4">
        <v>0.37327900000000003</v>
      </c>
      <c r="C14">
        <v>0.77308067193553498</v>
      </c>
      <c r="D14">
        <f t="shared" si="0"/>
        <v>-0.39980167193553495</v>
      </c>
    </row>
    <row r="15" spans="1:5" hidden="1" x14ac:dyDescent="0.35">
      <c r="A15">
        <v>14</v>
      </c>
      <c r="B15" s="4">
        <v>1.04556</v>
      </c>
      <c r="C15">
        <v>0.66141841051385297</v>
      </c>
      <c r="D15">
        <f t="shared" si="0"/>
        <v>0.38414158948614707</v>
      </c>
    </row>
    <row r="16" spans="1:5" hidden="1" x14ac:dyDescent="0.35">
      <c r="A16">
        <v>15</v>
      </c>
      <c r="B16" s="4">
        <v>1.3536300000000001</v>
      </c>
      <c r="C16">
        <v>0.99011658054914398</v>
      </c>
      <c r="D16">
        <f t="shared" si="0"/>
        <v>0.36351341945085613</v>
      </c>
    </row>
    <row r="17" spans="1:4" hidden="1" x14ac:dyDescent="0.35">
      <c r="A17">
        <v>16</v>
      </c>
      <c r="B17" s="4">
        <v>0.89274399999999998</v>
      </c>
      <c r="C17">
        <v>1.14074116348808</v>
      </c>
      <c r="D17">
        <f t="shared" si="0"/>
        <v>-0.24799716348807999</v>
      </c>
    </row>
    <row r="18" spans="1:4" hidden="1" x14ac:dyDescent="0.35">
      <c r="A18">
        <v>17</v>
      </c>
      <c r="B18" s="4">
        <v>0.66937899999999995</v>
      </c>
      <c r="C18">
        <v>0.91540029442457205</v>
      </c>
      <c r="D18">
        <f t="shared" si="0"/>
        <v>-0.2460212944245721</v>
      </c>
    </row>
    <row r="19" spans="1:4" hidden="1" x14ac:dyDescent="0.35">
      <c r="A19">
        <v>18</v>
      </c>
      <c r="B19" s="4">
        <v>0.58885500000000002</v>
      </c>
      <c r="C19">
        <v>0.80619050454514296</v>
      </c>
      <c r="D19">
        <f t="shared" si="0"/>
        <v>-0.21733550454514294</v>
      </c>
    </row>
    <row r="20" spans="1:4" hidden="1" x14ac:dyDescent="0.35">
      <c r="A20">
        <v>19</v>
      </c>
      <c r="B20" s="4">
        <v>1.05847</v>
      </c>
      <c r="C20">
        <v>0.76681992670057797</v>
      </c>
      <c r="D20">
        <f t="shared" si="0"/>
        <v>0.29165007329942205</v>
      </c>
    </row>
    <row r="21" spans="1:4" hidden="1" x14ac:dyDescent="0.35">
      <c r="A21">
        <v>20</v>
      </c>
      <c r="B21" s="4">
        <v>0.81567100000000003</v>
      </c>
      <c r="C21">
        <v>0.99642866340609804</v>
      </c>
      <c r="D21">
        <f t="shared" si="0"/>
        <v>-0.180757663406098</v>
      </c>
    </row>
    <row r="22" spans="1:4" hidden="1" x14ac:dyDescent="0.35">
      <c r="A22">
        <v>21</v>
      </c>
      <c r="B22" s="4">
        <v>0.58823999999999999</v>
      </c>
      <c r="C22">
        <v>0.87771701308964001</v>
      </c>
      <c r="D22">
        <f t="shared" si="0"/>
        <v>-0.28947701308964002</v>
      </c>
    </row>
    <row r="23" spans="1:4" hidden="1" x14ac:dyDescent="0.35">
      <c r="A23">
        <v>22</v>
      </c>
      <c r="B23" s="4">
        <v>0.46234799999999998</v>
      </c>
      <c r="C23">
        <v>0.76651923491459595</v>
      </c>
      <c r="D23">
        <f t="shared" si="0"/>
        <v>-0.30417123491459597</v>
      </c>
    </row>
    <row r="24" spans="1:4" hidden="1" x14ac:dyDescent="0.35">
      <c r="A24">
        <v>23</v>
      </c>
      <c r="B24" s="4">
        <v>0.81779800000000002</v>
      </c>
      <c r="C24">
        <v>0.70496689292949899</v>
      </c>
      <c r="D24">
        <f t="shared" si="0"/>
        <v>0.11283110707050104</v>
      </c>
    </row>
    <row r="25" spans="1:4" hidden="1" x14ac:dyDescent="0.35">
      <c r="A25">
        <v>24</v>
      </c>
      <c r="B25" s="4">
        <v>0.95194400000000001</v>
      </c>
      <c r="C25">
        <v>0.87875696663237701</v>
      </c>
      <c r="D25">
        <f t="shared" si="0"/>
        <v>7.3187033367623E-2</v>
      </c>
    </row>
    <row r="26" spans="1:4" hidden="1" x14ac:dyDescent="0.35">
      <c r="A26">
        <v>25</v>
      </c>
      <c r="B26" s="4">
        <v>0.67262699999999997</v>
      </c>
      <c r="C26">
        <v>0.94434493463616398</v>
      </c>
      <c r="D26">
        <f t="shared" si="0"/>
        <v>-0.271717934636164</v>
      </c>
    </row>
    <row r="27" spans="1:4" hidden="1" x14ac:dyDescent="0.35">
      <c r="A27">
        <v>26</v>
      </c>
      <c r="B27" s="4">
        <v>0.73848999999999998</v>
      </c>
      <c r="C27">
        <v>0.80777854831891405</v>
      </c>
      <c r="D27">
        <f t="shared" si="0"/>
        <v>-6.9288548318914067E-2</v>
      </c>
    </row>
    <row r="28" spans="1:4" hidden="1" x14ac:dyDescent="0.35">
      <c r="A28">
        <v>27</v>
      </c>
      <c r="B28" s="4">
        <v>0.87478400000000001</v>
      </c>
      <c r="C28">
        <v>0.83998092734351004</v>
      </c>
      <c r="D28">
        <f t="shared" si="0"/>
        <v>3.4803072656489964E-2</v>
      </c>
    </row>
    <row r="29" spans="1:4" hidden="1" x14ac:dyDescent="0.35">
      <c r="A29">
        <v>28</v>
      </c>
      <c r="B29" s="4">
        <v>1.0539400000000001</v>
      </c>
      <c r="C29">
        <v>0.90661911641443405</v>
      </c>
      <c r="D29">
        <f t="shared" si="0"/>
        <v>0.14732088358556605</v>
      </c>
    </row>
    <row r="30" spans="1:4" hidden="1" x14ac:dyDescent="0.35">
      <c r="A30">
        <v>29</v>
      </c>
      <c r="B30" s="4">
        <v>0.99388799999999999</v>
      </c>
      <c r="C30">
        <v>0.99421381171423096</v>
      </c>
      <c r="D30">
        <f t="shared" si="0"/>
        <v>-3.2581171423096134E-4</v>
      </c>
    </row>
    <row r="31" spans="1:4" hidden="1" x14ac:dyDescent="0.35">
      <c r="A31">
        <v>30</v>
      </c>
      <c r="B31" s="4">
        <v>1.11033</v>
      </c>
      <c r="C31">
        <v>0.964852603369864</v>
      </c>
      <c r="D31">
        <f t="shared" si="0"/>
        <v>0.14547739663013604</v>
      </c>
    </row>
    <row r="32" spans="1:4" hidden="1" x14ac:dyDescent="0.35">
      <c r="A32">
        <v>31</v>
      </c>
      <c r="B32" s="4">
        <v>0.94812600000000002</v>
      </c>
      <c r="C32">
        <v>1.0217845593752399</v>
      </c>
      <c r="D32">
        <f t="shared" si="0"/>
        <v>-7.3658559375239907E-2</v>
      </c>
    </row>
    <row r="33" spans="1:4" hidden="1" x14ac:dyDescent="0.35">
      <c r="A33">
        <v>32</v>
      </c>
      <c r="B33" s="4">
        <v>1.1794199999999999</v>
      </c>
      <c r="C33">
        <v>0.94247820091441004</v>
      </c>
      <c r="D33">
        <f t="shared" si="0"/>
        <v>0.23694179908558988</v>
      </c>
    </row>
    <row r="34" spans="1:4" hidden="1" x14ac:dyDescent="0.35">
      <c r="A34">
        <v>33</v>
      </c>
      <c r="B34" s="4">
        <v>0.64939999999999998</v>
      </c>
      <c r="C34">
        <v>1.05556471464921</v>
      </c>
      <c r="D34">
        <f t="shared" si="0"/>
        <v>-0.40616471464921</v>
      </c>
    </row>
    <row r="35" spans="1:4" hidden="1" x14ac:dyDescent="0.35">
      <c r="A35">
        <v>34</v>
      </c>
      <c r="B35" s="4">
        <v>0.64188500000000004</v>
      </c>
      <c r="C35">
        <v>0.79642217740346399</v>
      </c>
      <c r="D35">
        <f t="shared" si="0"/>
        <v>-0.15453717740346395</v>
      </c>
    </row>
    <row r="36" spans="1:4" hidden="1" x14ac:dyDescent="0.35">
      <c r="A36">
        <v>35</v>
      </c>
      <c r="B36" s="4">
        <v>1.25213</v>
      </c>
      <c r="C36">
        <v>0.79274787045768502</v>
      </c>
      <c r="D36">
        <f t="shared" si="0"/>
        <v>0.45938212954231494</v>
      </c>
    </row>
    <row r="37" spans="1:4" hidden="1" x14ac:dyDescent="0.35">
      <c r="A37">
        <v>36</v>
      </c>
      <c r="B37" s="4">
        <v>1.2051799999999999</v>
      </c>
      <c r="C37">
        <v>1.0911147955577301</v>
      </c>
      <c r="D37">
        <f t="shared" si="0"/>
        <v>0.11406520444226986</v>
      </c>
    </row>
    <row r="38" spans="1:4" hidden="1" x14ac:dyDescent="0.35">
      <c r="A38">
        <v>37</v>
      </c>
      <c r="B38" s="4">
        <v>0.903173</v>
      </c>
      <c r="C38">
        <v>1.0681595445791201</v>
      </c>
      <c r="D38">
        <f t="shared" si="0"/>
        <v>-0.1649865445791201</v>
      </c>
    </row>
    <row r="39" spans="1:4" hidden="1" x14ac:dyDescent="0.35">
      <c r="A39">
        <v>38</v>
      </c>
      <c r="B39" s="4">
        <v>0.510378</v>
      </c>
      <c r="C39">
        <v>0.92049934261319899</v>
      </c>
      <c r="D39">
        <f t="shared" si="0"/>
        <v>-0.41012134261319899</v>
      </c>
    </row>
    <row r="40" spans="1:4" hidden="1" x14ac:dyDescent="0.35">
      <c r="A40">
        <v>39</v>
      </c>
      <c r="B40" s="4">
        <v>0.56822300000000003</v>
      </c>
      <c r="C40">
        <v>0.72845018802008599</v>
      </c>
      <c r="D40">
        <f t="shared" si="0"/>
        <v>-0.16022718802008595</v>
      </c>
    </row>
    <row r="41" spans="1:4" hidden="1" x14ac:dyDescent="0.35">
      <c r="A41">
        <v>40</v>
      </c>
      <c r="B41" s="4">
        <v>0.70166799999999996</v>
      </c>
      <c r="C41">
        <v>0.75673232844305205</v>
      </c>
      <c r="D41">
        <f t="shared" si="0"/>
        <v>-5.5064328443052091E-2</v>
      </c>
    </row>
    <row r="42" spans="1:4" hidden="1" x14ac:dyDescent="0.35">
      <c r="A42">
        <v>41</v>
      </c>
      <c r="B42" s="4">
        <v>1.3210299999999999</v>
      </c>
      <c r="C42">
        <v>0.82197755670379302</v>
      </c>
      <c r="D42">
        <f t="shared" si="0"/>
        <v>0.4990524432962069</v>
      </c>
    </row>
    <row r="43" spans="1:4" hidden="1" x14ac:dyDescent="0.35">
      <c r="A43">
        <v>42</v>
      </c>
      <c r="B43" s="4">
        <v>0.86828099999999997</v>
      </c>
      <c r="C43">
        <v>1.12480205418237</v>
      </c>
      <c r="D43">
        <f t="shared" si="0"/>
        <v>-0.25652105418237003</v>
      </c>
    </row>
    <row r="44" spans="1:4" hidden="1" x14ac:dyDescent="0.35">
      <c r="A44">
        <v>43</v>
      </c>
      <c r="B44" s="4">
        <v>0.57014200000000004</v>
      </c>
      <c r="C44">
        <v>0.90343960635875897</v>
      </c>
      <c r="D44">
        <f t="shared" si="0"/>
        <v>-0.33329760635875894</v>
      </c>
    </row>
    <row r="45" spans="1:4" hidden="1" x14ac:dyDescent="0.35">
      <c r="A45">
        <v>44</v>
      </c>
      <c r="B45" s="4">
        <v>1.2490600000000001</v>
      </c>
      <c r="C45">
        <v>0.75767058460126202</v>
      </c>
      <c r="D45">
        <f t="shared" si="0"/>
        <v>0.49138941539873804</v>
      </c>
    </row>
    <row r="46" spans="1:4" hidden="1" x14ac:dyDescent="0.35">
      <c r="A46">
        <v>45</v>
      </c>
      <c r="B46" s="4">
        <v>1.58518</v>
      </c>
      <c r="C46">
        <v>1.0896137812764899</v>
      </c>
      <c r="D46">
        <f t="shared" si="0"/>
        <v>0.49556621872351014</v>
      </c>
    </row>
    <row r="47" spans="1:4" hidden="1" x14ac:dyDescent="0.35">
      <c r="A47">
        <v>46</v>
      </c>
      <c r="B47" s="4">
        <v>1.5636000000000001</v>
      </c>
      <c r="C47">
        <v>1.2539528432346001</v>
      </c>
      <c r="D47">
        <f t="shared" si="0"/>
        <v>0.3096471567654</v>
      </c>
    </row>
    <row r="48" spans="1:4" hidden="1" x14ac:dyDescent="0.35">
      <c r="A48">
        <v>47</v>
      </c>
      <c r="B48" s="4">
        <v>1.1882299999999999</v>
      </c>
      <c r="C48">
        <v>1.24340173958991</v>
      </c>
      <c r="D48">
        <f t="shared" si="0"/>
        <v>-5.5171739589910063E-2</v>
      </c>
    </row>
    <row r="49" spans="1:4" hidden="1" x14ac:dyDescent="0.35">
      <c r="A49">
        <v>48</v>
      </c>
      <c r="B49" s="4">
        <v>0.67729200000000001</v>
      </c>
      <c r="C49">
        <v>1.0598721855996101</v>
      </c>
      <c r="D49">
        <f t="shared" si="0"/>
        <v>-0.38258018559961005</v>
      </c>
    </row>
    <row r="50" spans="1:4" hidden="1" x14ac:dyDescent="0.35">
      <c r="A50">
        <v>49</v>
      </c>
      <c r="B50" s="4">
        <v>0.49883300000000003</v>
      </c>
      <c r="C50">
        <v>0.81005940552477695</v>
      </c>
      <c r="D50">
        <f t="shared" si="0"/>
        <v>-0.31122640552477693</v>
      </c>
    </row>
    <row r="51" spans="1:4" hidden="1" x14ac:dyDescent="0.35">
      <c r="A51">
        <v>50</v>
      </c>
      <c r="B51" s="4">
        <v>0.57835000000000003</v>
      </c>
      <c r="C51">
        <v>0.72280549424909302</v>
      </c>
      <c r="D51">
        <f t="shared" si="0"/>
        <v>-0.14445549424909299</v>
      </c>
    </row>
    <row r="52" spans="1:4" hidden="1" x14ac:dyDescent="0.35">
      <c r="A52">
        <v>51</v>
      </c>
      <c r="B52" s="4">
        <v>0.790045</v>
      </c>
      <c r="C52">
        <v>0.76168371985222005</v>
      </c>
      <c r="D52">
        <f t="shared" si="0"/>
        <v>2.8361280147779944E-2</v>
      </c>
    </row>
    <row r="53" spans="1:4" hidden="1" x14ac:dyDescent="0.35">
      <c r="A53">
        <v>52</v>
      </c>
      <c r="B53" s="4">
        <v>0.70949099999999998</v>
      </c>
      <c r="C53">
        <v>0.86518769974399301</v>
      </c>
      <c r="D53">
        <f t="shared" si="0"/>
        <v>-0.15569669974399303</v>
      </c>
    </row>
    <row r="54" spans="1:4" hidden="1" x14ac:dyDescent="0.35">
      <c r="A54">
        <v>53</v>
      </c>
      <c r="B54" s="4">
        <v>0.74738499999999997</v>
      </c>
      <c r="C54">
        <v>0.82580245400742902</v>
      </c>
      <c r="D54">
        <f t="shared" si="0"/>
        <v>-7.8417454007429055E-2</v>
      </c>
    </row>
    <row r="55" spans="1:4" hidden="1" x14ac:dyDescent="0.35">
      <c r="A55">
        <v>54</v>
      </c>
      <c r="B55" s="4">
        <v>0.52103100000000002</v>
      </c>
      <c r="C55">
        <v>0.84432995732124805</v>
      </c>
      <c r="D55">
        <f t="shared" si="0"/>
        <v>-0.32329895732124803</v>
      </c>
    </row>
    <row r="56" spans="1:4" hidden="1" x14ac:dyDescent="0.35">
      <c r="A56">
        <v>55</v>
      </c>
      <c r="B56" s="4">
        <v>0.65535200000000005</v>
      </c>
      <c r="C56">
        <v>0.73365875646897305</v>
      </c>
      <c r="D56">
        <f t="shared" si="0"/>
        <v>-7.8306756468973004E-2</v>
      </c>
    </row>
    <row r="57" spans="1:4" hidden="1" x14ac:dyDescent="0.35">
      <c r="A57">
        <v>56</v>
      </c>
      <c r="B57" s="4">
        <v>0.43561699999999998</v>
      </c>
      <c r="C57">
        <v>0.79933228717608895</v>
      </c>
      <c r="D57">
        <f t="shared" si="0"/>
        <v>-0.36371528717608897</v>
      </c>
    </row>
    <row r="58" spans="1:4" hidden="1" x14ac:dyDescent="0.35">
      <c r="A58">
        <v>57</v>
      </c>
      <c r="B58" s="4">
        <v>0.41940699999999997</v>
      </c>
      <c r="C58">
        <v>0.691897312228552</v>
      </c>
      <c r="D58">
        <f t="shared" si="0"/>
        <v>-0.27249031222855202</v>
      </c>
    </row>
    <row r="59" spans="1:4" hidden="1" x14ac:dyDescent="0.35">
      <c r="A59">
        <v>58</v>
      </c>
      <c r="B59" s="4">
        <v>0.61088799999999999</v>
      </c>
      <c r="C59">
        <v>0.68397176125169601</v>
      </c>
      <c r="D59">
        <f t="shared" si="0"/>
        <v>-7.3083761251696022E-2</v>
      </c>
    </row>
    <row r="60" spans="1:4" hidden="1" x14ac:dyDescent="0.35">
      <c r="A60">
        <v>59</v>
      </c>
      <c r="B60" s="4">
        <v>1.2364999999999999</v>
      </c>
      <c r="C60">
        <v>0.77759251551446296</v>
      </c>
      <c r="D60">
        <f t="shared" si="0"/>
        <v>0.45890748448553698</v>
      </c>
    </row>
    <row r="61" spans="1:4" hidden="1" x14ac:dyDescent="0.35">
      <c r="A61">
        <v>60</v>
      </c>
      <c r="B61" s="4">
        <v>1.19014</v>
      </c>
      <c r="C61">
        <v>1.0834728238261899</v>
      </c>
      <c r="D61">
        <f t="shared" si="0"/>
        <v>0.10666717617381005</v>
      </c>
    </row>
    <row r="62" spans="1:4" hidden="1" x14ac:dyDescent="0.35">
      <c r="A62">
        <v>61</v>
      </c>
      <c r="B62" s="4">
        <v>1.2675799999999999</v>
      </c>
      <c r="C62">
        <v>1.0608060413902201</v>
      </c>
      <c r="D62">
        <f t="shared" si="0"/>
        <v>0.20677395860977987</v>
      </c>
    </row>
    <row r="63" spans="1:4" hidden="1" x14ac:dyDescent="0.35">
      <c r="A63">
        <v>62</v>
      </c>
      <c r="B63" s="4">
        <v>0.83999900000000005</v>
      </c>
      <c r="C63">
        <v>1.09866875993728</v>
      </c>
      <c r="D63">
        <f t="shared" si="0"/>
        <v>-0.25866975993727992</v>
      </c>
    </row>
    <row r="64" spans="1:4" hidden="1" x14ac:dyDescent="0.35">
      <c r="A64">
        <v>63</v>
      </c>
      <c r="B64" s="4">
        <v>1.2750600000000001</v>
      </c>
      <c r="C64">
        <v>0.88961169564145703</v>
      </c>
      <c r="D64">
        <f t="shared" si="0"/>
        <v>0.38544830435854305</v>
      </c>
    </row>
    <row r="65" spans="1:4" hidden="1" x14ac:dyDescent="0.35">
      <c r="A65">
        <v>64</v>
      </c>
      <c r="B65" s="4">
        <v>0.70893899999999999</v>
      </c>
      <c r="C65">
        <v>1.10232595434239</v>
      </c>
      <c r="D65">
        <f t="shared" si="0"/>
        <v>-0.39338695434239002</v>
      </c>
    </row>
    <row r="66" spans="1:4" hidden="1" x14ac:dyDescent="0.35">
      <c r="A66">
        <v>65</v>
      </c>
      <c r="B66" s="4">
        <v>0.643181</v>
      </c>
      <c r="C66">
        <v>0.82553256479464598</v>
      </c>
      <c r="D66">
        <f t="shared" si="0"/>
        <v>-0.18235156479464598</v>
      </c>
    </row>
    <row r="67" spans="1:4" hidden="1" x14ac:dyDescent="0.35">
      <c r="A67">
        <v>66</v>
      </c>
      <c r="B67" s="4">
        <v>0.94959700000000002</v>
      </c>
      <c r="C67">
        <v>0.79338152339204704</v>
      </c>
      <c r="D67">
        <f t="shared" ref="D67:D130" si="1">B67-C67</f>
        <v>0.15621547660795299</v>
      </c>
    </row>
    <row r="68" spans="1:4" hidden="1" x14ac:dyDescent="0.35">
      <c r="A68">
        <v>67</v>
      </c>
      <c r="B68" s="4">
        <v>0.49800699999999998</v>
      </c>
      <c r="C68">
        <v>0.94319741655209999</v>
      </c>
      <c r="D68">
        <f t="shared" si="1"/>
        <v>-0.44519041655210001</v>
      </c>
    </row>
    <row r="69" spans="1:4" hidden="1" x14ac:dyDescent="0.35">
      <c r="A69">
        <v>68</v>
      </c>
      <c r="B69" s="4">
        <v>0.38450200000000001</v>
      </c>
      <c r="C69">
        <v>0.72240163828938397</v>
      </c>
      <c r="D69">
        <f t="shared" si="1"/>
        <v>-0.33789963828938396</v>
      </c>
    </row>
    <row r="70" spans="1:4" hidden="1" x14ac:dyDescent="0.35">
      <c r="A70">
        <v>69</v>
      </c>
      <c r="B70" s="4">
        <v>0.53117899999999996</v>
      </c>
      <c r="C70">
        <v>0.666905668910722</v>
      </c>
      <c r="D70">
        <f t="shared" si="1"/>
        <v>-0.13572666891072205</v>
      </c>
    </row>
    <row r="71" spans="1:4" hidden="1" x14ac:dyDescent="0.35">
      <c r="A71">
        <v>70</v>
      </c>
      <c r="B71" s="4">
        <v>0.87528499999999998</v>
      </c>
      <c r="C71">
        <v>0.73862041540254098</v>
      </c>
      <c r="D71">
        <f t="shared" si="1"/>
        <v>0.136664584597459</v>
      </c>
    </row>
    <row r="72" spans="1:4" hidden="1" x14ac:dyDescent="0.35">
      <c r="A72">
        <v>71</v>
      </c>
      <c r="B72" s="4">
        <v>0.60771699999999995</v>
      </c>
      <c r="C72">
        <v>0.90686407021081905</v>
      </c>
      <c r="D72">
        <f t="shared" si="1"/>
        <v>-0.2991470702108191</v>
      </c>
    </row>
    <row r="73" spans="1:4" hidden="1" x14ac:dyDescent="0.35">
      <c r="A73">
        <v>72</v>
      </c>
      <c r="B73" s="4">
        <v>0.87375899999999995</v>
      </c>
      <c r="C73">
        <v>0.77604211933015699</v>
      </c>
      <c r="D73">
        <f t="shared" si="1"/>
        <v>9.7716880669842965E-2</v>
      </c>
    </row>
    <row r="74" spans="1:4" hidden="1" x14ac:dyDescent="0.35">
      <c r="A74">
        <v>73</v>
      </c>
      <c r="B74" s="4">
        <v>0.85330700000000004</v>
      </c>
      <c r="C74">
        <v>0.90611796343779705</v>
      </c>
      <c r="D74">
        <f t="shared" si="1"/>
        <v>-5.2810963437797009E-2</v>
      </c>
    </row>
    <row r="75" spans="1:4" hidden="1" x14ac:dyDescent="0.35">
      <c r="A75">
        <v>74</v>
      </c>
      <c r="B75" s="4">
        <v>1.3965799999999999</v>
      </c>
      <c r="C75">
        <v>0.89611837253226601</v>
      </c>
      <c r="D75">
        <f t="shared" si="1"/>
        <v>0.50046162746773393</v>
      </c>
    </row>
    <row r="76" spans="1:4" hidden="1" x14ac:dyDescent="0.35">
      <c r="A76">
        <v>75</v>
      </c>
      <c r="B76" s="4">
        <v>1.46088</v>
      </c>
      <c r="C76">
        <v>1.1617406955334899</v>
      </c>
      <c r="D76">
        <f t="shared" si="1"/>
        <v>0.29913930446651005</v>
      </c>
    </row>
    <row r="77" spans="1:4" hidden="1" x14ac:dyDescent="0.35">
      <c r="A77">
        <v>76</v>
      </c>
      <c r="B77" s="4">
        <v>1.6912199999999999</v>
      </c>
      <c r="C77">
        <v>1.1931788773849299</v>
      </c>
      <c r="D77">
        <f t="shared" si="1"/>
        <v>0.49804112261507005</v>
      </c>
    </row>
    <row r="78" spans="1:4" hidden="1" x14ac:dyDescent="0.35">
      <c r="A78">
        <v>77</v>
      </c>
      <c r="B78" s="4">
        <v>0.87672499999999998</v>
      </c>
      <c r="C78">
        <v>1.30579895215415</v>
      </c>
      <c r="D78">
        <f t="shared" si="1"/>
        <v>-0.42907395215415001</v>
      </c>
    </row>
    <row r="79" spans="1:4" hidden="1" x14ac:dyDescent="0.35">
      <c r="A79">
        <v>78</v>
      </c>
      <c r="B79" s="4">
        <v>0.59033999999999998</v>
      </c>
      <c r="C79">
        <v>0.90756812902677697</v>
      </c>
      <c r="D79">
        <f t="shared" si="1"/>
        <v>-0.31722812902677699</v>
      </c>
    </row>
    <row r="80" spans="1:4" hidden="1" x14ac:dyDescent="0.35">
      <c r="A80">
        <v>79</v>
      </c>
      <c r="B80" s="4">
        <v>0.59450199999999997</v>
      </c>
      <c r="C80">
        <v>0.76754598735453405</v>
      </c>
      <c r="D80">
        <f t="shared" si="1"/>
        <v>-0.17304398735453408</v>
      </c>
    </row>
    <row r="81" spans="1:4" hidden="1" x14ac:dyDescent="0.35">
      <c r="A81">
        <v>80</v>
      </c>
      <c r="B81" s="4">
        <v>0.35982700000000001</v>
      </c>
      <c r="C81">
        <v>0.769580912904545</v>
      </c>
      <c r="D81">
        <f t="shared" si="1"/>
        <v>-0.40975391290454499</v>
      </c>
    </row>
    <row r="82" spans="1:4" hidden="1" x14ac:dyDescent="0.35">
      <c r="A82">
        <v>81</v>
      </c>
      <c r="B82" s="4">
        <v>1.0972</v>
      </c>
      <c r="C82">
        <v>0.65484132774144799</v>
      </c>
      <c r="D82">
        <f t="shared" si="1"/>
        <v>0.44235867225855197</v>
      </c>
    </row>
    <row r="83" spans="1:4" hidden="1" x14ac:dyDescent="0.35">
      <c r="A83">
        <v>82</v>
      </c>
      <c r="B83" s="4">
        <v>1.52122</v>
      </c>
      <c r="C83">
        <v>1.0153649119769601</v>
      </c>
      <c r="D83">
        <f t="shared" si="1"/>
        <v>0.50585508802303991</v>
      </c>
    </row>
    <row r="84" spans="1:4" hidden="1" x14ac:dyDescent="0.35">
      <c r="A84">
        <v>83</v>
      </c>
      <c r="B84" s="4">
        <v>1.7134499999999999</v>
      </c>
      <c r="C84">
        <v>1.2226808974924901</v>
      </c>
      <c r="D84">
        <f t="shared" si="1"/>
        <v>0.49076910250750982</v>
      </c>
    </row>
    <row r="85" spans="1:4" hidden="1" x14ac:dyDescent="0.35">
      <c r="A85">
        <v>84</v>
      </c>
      <c r="B85" s="4">
        <v>1.1600200000000001</v>
      </c>
      <c r="C85">
        <v>1.3166678601255</v>
      </c>
      <c r="D85">
        <f t="shared" si="1"/>
        <v>-0.15664786012549992</v>
      </c>
    </row>
    <row r="86" spans="1:4" hidden="1" x14ac:dyDescent="0.35">
      <c r="A86">
        <v>85</v>
      </c>
      <c r="B86" s="4">
        <v>1.3020099999999999</v>
      </c>
      <c r="C86">
        <v>1.0460794778231099</v>
      </c>
      <c r="D86">
        <f t="shared" si="1"/>
        <v>0.25593052217688994</v>
      </c>
    </row>
    <row r="87" spans="1:4" hidden="1" x14ac:dyDescent="0.35">
      <c r="A87">
        <v>86</v>
      </c>
      <c r="B87" s="4">
        <v>1.5297099999999999</v>
      </c>
      <c r="C87">
        <v>1.1155026106549299</v>
      </c>
      <c r="D87">
        <f t="shared" si="1"/>
        <v>0.41420738934506995</v>
      </c>
    </row>
    <row r="88" spans="1:4" hidden="1" x14ac:dyDescent="0.35">
      <c r="A88">
        <v>87</v>
      </c>
      <c r="B88" s="4">
        <v>1.3697299999999999</v>
      </c>
      <c r="C88">
        <v>1.22683191092824</v>
      </c>
      <c r="D88">
        <f t="shared" si="1"/>
        <v>0.14289808907175994</v>
      </c>
    </row>
    <row r="89" spans="1:4" hidden="1" x14ac:dyDescent="0.35">
      <c r="A89">
        <v>88</v>
      </c>
      <c r="B89" s="4">
        <v>0.98521899999999996</v>
      </c>
      <c r="C89">
        <v>1.14861293219428</v>
      </c>
      <c r="D89">
        <f t="shared" si="1"/>
        <v>-0.16339393219428</v>
      </c>
    </row>
    <row r="90" spans="1:4" hidden="1" x14ac:dyDescent="0.35">
      <c r="A90">
        <v>89</v>
      </c>
      <c r="B90" s="4">
        <v>0.72837300000000005</v>
      </c>
      <c r="C90">
        <v>0.96061407151185196</v>
      </c>
      <c r="D90">
        <f t="shared" si="1"/>
        <v>-0.23224107151185192</v>
      </c>
    </row>
    <row r="91" spans="1:4" hidden="1" x14ac:dyDescent="0.35">
      <c r="A91">
        <v>90</v>
      </c>
      <c r="B91" s="4">
        <v>1.0984700000000001</v>
      </c>
      <c r="C91">
        <v>0.83503442523167404</v>
      </c>
      <c r="D91">
        <f t="shared" si="1"/>
        <v>0.26343557476832602</v>
      </c>
    </row>
    <row r="92" spans="1:4" hidden="1" x14ac:dyDescent="0.35">
      <c r="A92">
        <v>91</v>
      </c>
      <c r="B92" s="4">
        <v>0.87900800000000001</v>
      </c>
      <c r="C92">
        <v>1.0159858527382499</v>
      </c>
      <c r="D92">
        <f t="shared" si="1"/>
        <v>-0.13697785273824992</v>
      </c>
    </row>
    <row r="93" spans="1:4" hidden="1" x14ac:dyDescent="0.35">
      <c r="A93">
        <v>92</v>
      </c>
      <c r="B93" s="4">
        <v>0.99326099999999995</v>
      </c>
      <c r="C93">
        <v>0.90868435560791005</v>
      </c>
      <c r="D93">
        <f t="shared" si="1"/>
        <v>8.4576644392089895E-2</v>
      </c>
    </row>
    <row r="94" spans="1:4" hidden="1" x14ac:dyDescent="0.35">
      <c r="A94">
        <v>93</v>
      </c>
      <c r="B94" s="4">
        <v>0.56427300000000002</v>
      </c>
      <c r="C94">
        <v>0.96454604442708203</v>
      </c>
      <c r="D94">
        <f t="shared" si="1"/>
        <v>-0.400273044427082</v>
      </c>
    </row>
    <row r="95" spans="1:4" hidden="1" x14ac:dyDescent="0.35">
      <c r="A95">
        <v>94</v>
      </c>
      <c r="B95" s="4">
        <v>1.2347999999999999</v>
      </c>
      <c r="C95">
        <v>0.75480105599650105</v>
      </c>
      <c r="D95">
        <f t="shared" si="1"/>
        <v>0.47999894400349885</v>
      </c>
    </row>
    <row r="96" spans="1:4" hidden="1" x14ac:dyDescent="0.35">
      <c r="A96">
        <v>95</v>
      </c>
      <c r="B96" s="4">
        <v>1.2272700000000001</v>
      </c>
      <c r="C96">
        <v>1.08264164327958</v>
      </c>
      <c r="D96">
        <f t="shared" si="1"/>
        <v>0.14462835672042007</v>
      </c>
    </row>
    <row r="97" spans="1:4" hidden="1" x14ac:dyDescent="0.35">
      <c r="A97">
        <v>96</v>
      </c>
      <c r="B97" s="4">
        <v>0.73738099999999995</v>
      </c>
      <c r="C97">
        <v>1.0789600023878001</v>
      </c>
      <c r="D97">
        <f t="shared" si="1"/>
        <v>-0.34157900238780015</v>
      </c>
    </row>
    <row r="98" spans="1:4" hidden="1" x14ac:dyDescent="0.35">
      <c r="A98">
        <v>97</v>
      </c>
      <c r="B98" s="4">
        <v>0.43137399999999998</v>
      </c>
      <c r="C98">
        <v>0.83943870426927603</v>
      </c>
      <c r="D98">
        <f t="shared" si="1"/>
        <v>-0.40806470426927605</v>
      </c>
    </row>
    <row r="99" spans="1:4" hidden="1" x14ac:dyDescent="0.35">
      <c r="A99">
        <v>98</v>
      </c>
      <c r="B99" s="4">
        <v>0.83630800000000005</v>
      </c>
      <c r="C99">
        <v>0.68982278337014402</v>
      </c>
      <c r="D99">
        <f t="shared" si="1"/>
        <v>0.14648521662985603</v>
      </c>
    </row>
    <row r="100" spans="1:4" hidden="1" x14ac:dyDescent="0.35">
      <c r="A100">
        <v>99</v>
      </c>
      <c r="B100" s="4">
        <v>1.4065300000000001</v>
      </c>
      <c r="C100">
        <v>0.88780705599583298</v>
      </c>
      <c r="D100">
        <f t="shared" si="1"/>
        <v>0.51872294400416707</v>
      </c>
    </row>
    <row r="101" spans="1:4" hidden="1" x14ac:dyDescent="0.35">
      <c r="A101">
        <v>100</v>
      </c>
      <c r="B101" s="4">
        <v>1.35402</v>
      </c>
      <c r="C101">
        <v>1.1666055463798599</v>
      </c>
      <c r="D101">
        <f t="shared" si="1"/>
        <v>0.18741445362014009</v>
      </c>
    </row>
    <row r="102" spans="1:4" hidden="1" x14ac:dyDescent="0.35">
      <c r="A102">
        <v>101</v>
      </c>
      <c r="B102" s="4">
        <v>1.0536700000000001</v>
      </c>
      <c r="C102">
        <v>1.1409318460840701</v>
      </c>
      <c r="D102">
        <f t="shared" si="1"/>
        <v>-8.7261846084069949E-2</v>
      </c>
    </row>
    <row r="103" spans="1:4" hidden="1" x14ac:dyDescent="0.35">
      <c r="A103">
        <v>102</v>
      </c>
      <c r="B103" s="4">
        <v>1.24316</v>
      </c>
      <c r="C103">
        <v>0.99408180068623897</v>
      </c>
      <c r="D103">
        <f t="shared" si="1"/>
        <v>0.24907819931376107</v>
      </c>
    </row>
    <row r="104" spans="1:4" hidden="1" x14ac:dyDescent="0.35">
      <c r="A104">
        <v>103</v>
      </c>
      <c r="B104" s="4">
        <v>0.99656500000000003</v>
      </c>
      <c r="C104">
        <v>1.08672909585</v>
      </c>
      <c r="D104">
        <f t="shared" si="1"/>
        <v>-9.0164095849999959E-2</v>
      </c>
    </row>
    <row r="105" spans="1:4" hidden="1" x14ac:dyDescent="0.35">
      <c r="A105">
        <v>104</v>
      </c>
      <c r="B105" s="4">
        <v>0.94048200000000004</v>
      </c>
      <c r="C105">
        <v>0.96616146826591898</v>
      </c>
      <c r="D105">
        <f t="shared" si="1"/>
        <v>-2.5679468265918937E-2</v>
      </c>
    </row>
    <row r="106" spans="1:4" hidden="1" x14ac:dyDescent="0.35">
      <c r="A106">
        <v>105</v>
      </c>
      <c r="B106" s="4">
        <v>0.56644799999999995</v>
      </c>
      <c r="C106">
        <v>0.93874082203303499</v>
      </c>
      <c r="D106">
        <f t="shared" si="1"/>
        <v>-0.37229282203303504</v>
      </c>
    </row>
    <row r="107" spans="1:4" hidden="1" x14ac:dyDescent="0.35">
      <c r="A107">
        <v>106</v>
      </c>
      <c r="B107" s="4">
        <v>1.26806</v>
      </c>
      <c r="C107">
        <v>0.75586447816643698</v>
      </c>
      <c r="D107">
        <f t="shared" si="1"/>
        <v>0.51219552183356298</v>
      </c>
    </row>
    <row r="108" spans="1:4" hidden="1" x14ac:dyDescent="0.35">
      <c r="A108">
        <v>107</v>
      </c>
      <c r="B108" s="4">
        <v>0.86487899999999995</v>
      </c>
      <c r="C108">
        <v>1.0989034462092699</v>
      </c>
      <c r="D108">
        <f t="shared" si="1"/>
        <v>-0.23402444620926999</v>
      </c>
    </row>
    <row r="109" spans="1:4" hidden="1" x14ac:dyDescent="0.35">
      <c r="A109">
        <v>108</v>
      </c>
      <c r="B109" s="4">
        <v>0.53786199999999995</v>
      </c>
      <c r="C109">
        <v>0.90177626740605898</v>
      </c>
      <c r="D109">
        <f t="shared" si="1"/>
        <v>-0.36391426740605903</v>
      </c>
    </row>
    <row r="110" spans="1:4" hidden="1" x14ac:dyDescent="0.35">
      <c r="A110">
        <v>109</v>
      </c>
      <c r="B110" s="4">
        <v>1.1213200000000001</v>
      </c>
      <c r="C110">
        <v>0.74188793281021104</v>
      </c>
      <c r="D110">
        <f t="shared" si="1"/>
        <v>0.37943206718978906</v>
      </c>
    </row>
    <row r="111" spans="1:4" hidden="1" x14ac:dyDescent="0.35">
      <c r="A111">
        <v>110</v>
      </c>
      <c r="B111" s="4">
        <v>0.75719199999999998</v>
      </c>
      <c r="C111">
        <v>1.0271578971442501</v>
      </c>
      <c r="D111">
        <f t="shared" si="1"/>
        <v>-0.26996589714425012</v>
      </c>
    </row>
    <row r="112" spans="1:4" hidden="1" x14ac:dyDescent="0.35">
      <c r="A112">
        <v>111</v>
      </c>
      <c r="B112" s="4">
        <v>0.63996399999999998</v>
      </c>
      <c r="C112">
        <v>0.84912489121575996</v>
      </c>
      <c r="D112">
        <f t="shared" si="1"/>
        <v>-0.20916089121575998</v>
      </c>
    </row>
    <row r="113" spans="1:4" hidden="1" x14ac:dyDescent="0.35">
      <c r="A113">
        <v>112</v>
      </c>
      <c r="B113" s="4">
        <v>0.373556</v>
      </c>
      <c r="C113">
        <v>0.79180863644000798</v>
      </c>
      <c r="D113">
        <f t="shared" si="1"/>
        <v>-0.41825263644000799</v>
      </c>
    </row>
    <row r="114" spans="1:4" hidden="1" x14ac:dyDescent="0.35">
      <c r="A114">
        <v>113</v>
      </c>
      <c r="B114" s="4">
        <v>0.79030900000000004</v>
      </c>
      <c r="C114">
        <v>0.66155384404997797</v>
      </c>
      <c r="D114">
        <f t="shared" si="1"/>
        <v>0.12875515595002207</v>
      </c>
    </row>
    <row r="115" spans="1:4" hidden="1" x14ac:dyDescent="0.35">
      <c r="A115">
        <v>114</v>
      </c>
      <c r="B115" s="4">
        <v>1.0809299999999999</v>
      </c>
      <c r="C115">
        <v>0.86531677719358602</v>
      </c>
      <c r="D115">
        <f t="shared" si="1"/>
        <v>0.21561322280641393</v>
      </c>
    </row>
    <row r="116" spans="1:4" hidden="1" x14ac:dyDescent="0.35">
      <c r="A116">
        <v>115</v>
      </c>
      <c r="B116" s="4">
        <v>0.60203399999999996</v>
      </c>
      <c r="C116">
        <v>1.0074100252161</v>
      </c>
      <c r="D116">
        <f t="shared" si="1"/>
        <v>-0.40537602521610006</v>
      </c>
    </row>
    <row r="117" spans="1:4" hidden="1" x14ac:dyDescent="0.35">
      <c r="A117">
        <v>116</v>
      </c>
      <c r="B117" s="4">
        <v>1.2550300000000001</v>
      </c>
      <c r="C117">
        <v>0.77326353165578998</v>
      </c>
      <c r="D117">
        <f t="shared" si="1"/>
        <v>0.48176646834421011</v>
      </c>
    </row>
    <row r="118" spans="1:4" hidden="1" x14ac:dyDescent="0.35">
      <c r="A118">
        <v>117</v>
      </c>
      <c r="B118" s="4">
        <v>0.88968999999999998</v>
      </c>
      <c r="C118">
        <v>1.0925326917843201</v>
      </c>
      <c r="D118">
        <f t="shared" si="1"/>
        <v>-0.20284269178432013</v>
      </c>
    </row>
    <row r="119" spans="1:4" hidden="1" x14ac:dyDescent="0.35">
      <c r="A119">
        <v>118</v>
      </c>
      <c r="B119" s="4">
        <v>0.88648000000000005</v>
      </c>
      <c r="C119">
        <v>0.91390710301906197</v>
      </c>
      <c r="D119">
        <f t="shared" si="1"/>
        <v>-2.7427103019061927E-2</v>
      </c>
    </row>
    <row r="120" spans="1:4" hidden="1" x14ac:dyDescent="0.35">
      <c r="A120">
        <v>119</v>
      </c>
      <c r="B120" s="4">
        <v>1.05945</v>
      </c>
      <c r="C120">
        <v>0.91233763857515704</v>
      </c>
      <c r="D120">
        <f t="shared" si="1"/>
        <v>0.14711236142484296</v>
      </c>
    </row>
    <row r="121" spans="1:4" hidden="1" x14ac:dyDescent="0.35">
      <c r="A121">
        <v>120</v>
      </c>
      <c r="B121" s="4">
        <v>1.3702399999999999</v>
      </c>
      <c r="C121">
        <v>0.99690781454473498</v>
      </c>
      <c r="D121">
        <f t="shared" si="1"/>
        <v>0.37333218545526492</v>
      </c>
    </row>
    <row r="122" spans="1:4" hidden="1" x14ac:dyDescent="0.35">
      <c r="A122">
        <v>121</v>
      </c>
      <c r="B122" s="4">
        <v>1.25647</v>
      </c>
      <c r="C122">
        <v>1.14886228635826</v>
      </c>
      <c r="D122">
        <f t="shared" si="1"/>
        <v>0.10760771364173993</v>
      </c>
    </row>
    <row r="123" spans="1:4" hidden="1" x14ac:dyDescent="0.35">
      <c r="A123">
        <v>122</v>
      </c>
      <c r="B123" s="4">
        <v>1.33266</v>
      </c>
      <c r="C123">
        <v>1.09323675060027</v>
      </c>
      <c r="D123">
        <f t="shared" si="1"/>
        <v>0.23942324939972992</v>
      </c>
    </row>
    <row r="124" spans="1:4" hidden="1" x14ac:dyDescent="0.35">
      <c r="A124">
        <v>123</v>
      </c>
      <c r="B124" s="4">
        <v>0.95725300000000002</v>
      </c>
      <c r="C124">
        <v>1.1304883069806999</v>
      </c>
      <c r="D124">
        <f t="shared" si="1"/>
        <v>-0.17323530698069989</v>
      </c>
    </row>
    <row r="125" spans="1:4" hidden="1" x14ac:dyDescent="0.35">
      <c r="A125">
        <v>124</v>
      </c>
      <c r="B125" s="4">
        <v>1.04027</v>
      </c>
      <c r="C125">
        <v>0.94694066259027498</v>
      </c>
      <c r="D125">
        <f t="shared" si="1"/>
        <v>9.3329337409725044E-2</v>
      </c>
    </row>
    <row r="126" spans="1:4" hidden="1" x14ac:dyDescent="0.35">
      <c r="A126">
        <v>125</v>
      </c>
      <c r="B126" s="4">
        <v>1.2024300000000001</v>
      </c>
      <c r="C126">
        <v>0.98753014225996605</v>
      </c>
      <c r="D126">
        <f t="shared" si="1"/>
        <v>0.21489985774003406</v>
      </c>
    </row>
    <row r="127" spans="1:4" hidden="1" x14ac:dyDescent="0.35">
      <c r="A127">
        <v>126</v>
      </c>
      <c r="B127" s="4">
        <v>0.96962499999999996</v>
      </c>
      <c r="C127">
        <v>1.0668149878125299</v>
      </c>
      <c r="D127">
        <f t="shared" si="1"/>
        <v>-9.7189987812529965E-2</v>
      </c>
    </row>
    <row r="128" spans="1:4" hidden="1" x14ac:dyDescent="0.35">
      <c r="A128">
        <v>127</v>
      </c>
      <c r="B128" s="4">
        <v>0.50350399999999995</v>
      </c>
      <c r="C128">
        <v>0.95298970125071103</v>
      </c>
      <c r="D128">
        <f t="shared" si="1"/>
        <v>-0.44948570125071108</v>
      </c>
    </row>
    <row r="129" spans="1:4" hidden="1" x14ac:dyDescent="0.35">
      <c r="A129">
        <v>128</v>
      </c>
      <c r="B129" s="4">
        <v>0.64899899999999999</v>
      </c>
      <c r="C129">
        <v>0.72508928503335501</v>
      </c>
      <c r="D129">
        <f t="shared" si="1"/>
        <v>-7.6090285033355021E-2</v>
      </c>
    </row>
    <row r="130" spans="1:4" hidden="1" x14ac:dyDescent="0.35">
      <c r="A130">
        <v>129</v>
      </c>
      <c r="B130" s="4">
        <v>0.92163700000000004</v>
      </c>
      <c r="C130">
        <v>0.79622611658040898</v>
      </c>
      <c r="D130">
        <f t="shared" si="1"/>
        <v>0.12541088341959106</v>
      </c>
    </row>
    <row r="131" spans="1:4" hidden="1" x14ac:dyDescent="0.35">
      <c r="A131">
        <v>130</v>
      </c>
      <c r="B131" s="4">
        <v>0.59634699999999996</v>
      </c>
      <c r="C131">
        <v>0.92952694120892299</v>
      </c>
      <c r="D131">
        <f t="shared" ref="D131:D194" si="2">B131-C131</f>
        <v>-0.33317994120892303</v>
      </c>
    </row>
    <row r="132" spans="1:4" hidden="1" x14ac:dyDescent="0.35">
      <c r="A132">
        <v>131</v>
      </c>
      <c r="B132" s="4">
        <v>1.20818</v>
      </c>
      <c r="C132">
        <v>0.77048298826249095</v>
      </c>
      <c r="D132">
        <f t="shared" si="2"/>
        <v>0.43769701173750908</v>
      </c>
    </row>
    <row r="133" spans="1:4" hidden="1" x14ac:dyDescent="0.35">
      <c r="A133">
        <v>132</v>
      </c>
      <c r="B133" s="4">
        <v>1.2630999999999999</v>
      </c>
      <c r="C133">
        <v>1.0696263337790299</v>
      </c>
      <c r="D133">
        <f t="shared" si="2"/>
        <v>0.19347366622096995</v>
      </c>
    </row>
    <row r="134" spans="1:4" hidden="1" x14ac:dyDescent="0.35">
      <c r="A134">
        <v>133</v>
      </c>
      <c r="B134" s="4">
        <v>0.81077999999999995</v>
      </c>
      <c r="C134">
        <v>1.09647835473208</v>
      </c>
      <c r="D134">
        <f t="shared" si="2"/>
        <v>-0.28569835473208005</v>
      </c>
    </row>
    <row r="135" spans="1:4" hidden="1" x14ac:dyDescent="0.35">
      <c r="A135">
        <v>134</v>
      </c>
      <c r="B135" s="4">
        <v>0.75811200000000001</v>
      </c>
      <c r="C135">
        <v>0.87532565776405002</v>
      </c>
      <c r="D135">
        <f t="shared" si="2"/>
        <v>-0.11721365776405002</v>
      </c>
    </row>
    <row r="136" spans="1:4" hidden="1" x14ac:dyDescent="0.35">
      <c r="A136">
        <v>135</v>
      </c>
      <c r="B136" s="4">
        <v>0.75526199999999999</v>
      </c>
      <c r="C136">
        <v>0.84957470657039902</v>
      </c>
      <c r="D136">
        <f t="shared" si="2"/>
        <v>-9.431270657039903E-2</v>
      </c>
    </row>
    <row r="137" spans="1:4" hidden="1" x14ac:dyDescent="0.35">
      <c r="A137">
        <v>136</v>
      </c>
      <c r="B137" s="4">
        <v>1.36147</v>
      </c>
      <c r="C137">
        <v>0.84818125683048295</v>
      </c>
      <c r="D137">
        <f t="shared" si="2"/>
        <v>0.513288743169517</v>
      </c>
    </row>
    <row r="138" spans="1:4" hidden="1" x14ac:dyDescent="0.35">
      <c r="A138">
        <v>137</v>
      </c>
      <c r="B138" s="4">
        <v>1.1948799999999999</v>
      </c>
      <c r="C138">
        <v>1.14457437259718</v>
      </c>
      <c r="D138">
        <f t="shared" si="2"/>
        <v>5.0305627402819963E-2</v>
      </c>
    </row>
    <row r="139" spans="1:4" hidden="1" x14ac:dyDescent="0.35">
      <c r="A139">
        <v>138</v>
      </c>
      <c r="B139" s="4">
        <v>0.95889100000000005</v>
      </c>
      <c r="C139">
        <v>1.06312356832609</v>
      </c>
      <c r="D139">
        <f t="shared" si="2"/>
        <v>-0.10423256832608996</v>
      </c>
    </row>
    <row r="140" spans="1:4" hidden="1" x14ac:dyDescent="0.35">
      <c r="A140">
        <v>139</v>
      </c>
      <c r="B140" s="4">
        <v>1.4107000000000001</v>
      </c>
      <c r="C140">
        <v>0.94774152949342705</v>
      </c>
      <c r="D140">
        <f t="shared" si="2"/>
        <v>0.46295847050657302</v>
      </c>
    </row>
    <row r="141" spans="1:4" hidden="1" x14ac:dyDescent="0.35">
      <c r="A141">
        <v>140</v>
      </c>
      <c r="B141" s="4">
        <v>1.5285500000000001</v>
      </c>
      <c r="C141">
        <v>1.16864438336774</v>
      </c>
      <c r="D141">
        <f t="shared" si="2"/>
        <v>0.35990561663226006</v>
      </c>
    </row>
    <row r="142" spans="1:4" hidden="1" x14ac:dyDescent="0.35">
      <c r="A142">
        <v>141</v>
      </c>
      <c r="B142" s="4">
        <v>1.4432</v>
      </c>
      <c r="C142">
        <v>1.2262647524376</v>
      </c>
      <c r="D142">
        <f t="shared" si="2"/>
        <v>0.21693524756240001</v>
      </c>
    </row>
    <row r="143" spans="1:4" hidden="1" x14ac:dyDescent="0.35">
      <c r="A143">
        <v>142</v>
      </c>
      <c r="B143" s="4">
        <v>1.5580099999999999</v>
      </c>
      <c r="C143">
        <v>1.18453459970011</v>
      </c>
      <c r="D143">
        <f t="shared" si="2"/>
        <v>0.3734754002998899</v>
      </c>
    </row>
    <row r="144" spans="1:4" hidden="1" x14ac:dyDescent="0.35">
      <c r="A144">
        <v>143</v>
      </c>
      <c r="B144" s="4">
        <v>1.5756699999999999</v>
      </c>
      <c r="C144">
        <v>1.2406686223807399</v>
      </c>
      <c r="D144">
        <f t="shared" si="2"/>
        <v>0.33500137761925997</v>
      </c>
    </row>
    <row r="145" spans="1:4" hidden="1" x14ac:dyDescent="0.35">
      <c r="A145">
        <v>144</v>
      </c>
      <c r="B145" s="4">
        <v>1.41822</v>
      </c>
      <c r="C145">
        <v>1.2493031214708801</v>
      </c>
      <c r="D145">
        <f t="shared" si="2"/>
        <v>0.16891687852911996</v>
      </c>
    </row>
    <row r="146" spans="1:4" hidden="1" x14ac:dyDescent="0.35">
      <c r="A146">
        <v>145</v>
      </c>
      <c r="B146" s="4">
        <v>1.65052</v>
      </c>
      <c r="C146">
        <v>1.17232113496218</v>
      </c>
      <c r="D146">
        <f t="shared" si="2"/>
        <v>0.47819886503781994</v>
      </c>
    </row>
    <row r="147" spans="1:4" hidden="1" x14ac:dyDescent="0.35">
      <c r="A147">
        <v>146</v>
      </c>
      <c r="B147" s="4">
        <v>1.29227</v>
      </c>
      <c r="C147">
        <v>1.28589951200868</v>
      </c>
      <c r="D147">
        <f t="shared" si="2"/>
        <v>6.3704879913200063E-3</v>
      </c>
    </row>
    <row r="148" spans="1:4" hidden="1" x14ac:dyDescent="0.35">
      <c r="A148">
        <v>147</v>
      </c>
      <c r="B148" s="4">
        <v>0.79640299999999997</v>
      </c>
      <c r="C148">
        <v>1.11074043505255</v>
      </c>
      <c r="D148">
        <f t="shared" si="2"/>
        <v>-0.31433743505255007</v>
      </c>
    </row>
    <row r="149" spans="1:4" hidden="1" x14ac:dyDescent="0.35">
      <c r="A149">
        <v>148</v>
      </c>
      <c r="B149" s="4">
        <v>0.99816199999999999</v>
      </c>
      <c r="C149">
        <v>0.86829631498834003</v>
      </c>
      <c r="D149">
        <f t="shared" si="2"/>
        <v>0.12986568501165996</v>
      </c>
    </row>
    <row r="150" spans="1:4" hidden="1" x14ac:dyDescent="0.35">
      <c r="A150">
        <v>149</v>
      </c>
      <c r="B150" s="4">
        <v>1.17717</v>
      </c>
      <c r="C150">
        <v>0.96694228905000501</v>
      </c>
      <c r="D150">
        <f t="shared" si="2"/>
        <v>0.21022771094999504</v>
      </c>
    </row>
    <row r="151" spans="1:4" hidden="1" x14ac:dyDescent="0.35">
      <c r="A151">
        <v>150</v>
      </c>
      <c r="B151" s="4">
        <v>1.23333</v>
      </c>
      <c r="C151">
        <v>1.05446462274927</v>
      </c>
      <c r="D151">
        <f t="shared" si="2"/>
        <v>0.17886537725073004</v>
      </c>
    </row>
    <row r="152" spans="1:4" hidden="1" x14ac:dyDescent="0.35">
      <c r="A152">
        <v>151</v>
      </c>
      <c r="B152" s="4">
        <v>0.96901999999999999</v>
      </c>
      <c r="C152">
        <v>1.08192291657162</v>
      </c>
      <c r="D152">
        <f t="shared" si="2"/>
        <v>-0.11290291657161999</v>
      </c>
    </row>
    <row r="153" spans="1:4" hidden="1" x14ac:dyDescent="0.35">
      <c r="A153">
        <v>152</v>
      </c>
      <c r="B153" s="4">
        <v>0.65006799999999998</v>
      </c>
      <c r="C153">
        <v>0.95269389876206201</v>
      </c>
      <c r="D153">
        <f t="shared" si="2"/>
        <v>-0.30262589876206203</v>
      </c>
    </row>
    <row r="154" spans="1:4" hidden="1" x14ac:dyDescent="0.35">
      <c r="A154">
        <v>153</v>
      </c>
      <c r="B154" s="4">
        <v>1.1024799999999999</v>
      </c>
      <c r="C154">
        <v>0.796748782465311</v>
      </c>
      <c r="D154">
        <f t="shared" si="2"/>
        <v>0.3057312175346889</v>
      </c>
    </row>
    <row r="155" spans="1:4" hidden="1" x14ac:dyDescent="0.35">
      <c r="A155">
        <v>154</v>
      </c>
      <c r="B155" s="4">
        <v>1.1951499999999999</v>
      </c>
      <c r="C155">
        <v>1.0179464609688</v>
      </c>
      <c r="D155">
        <f t="shared" si="2"/>
        <v>0.1772035390311999</v>
      </c>
    </row>
    <row r="156" spans="1:4" hidden="1" x14ac:dyDescent="0.35">
      <c r="A156">
        <v>155</v>
      </c>
      <c r="B156" s="4">
        <v>0.77088299999999998</v>
      </c>
      <c r="C156">
        <v>1.0632555793540801</v>
      </c>
      <c r="D156">
        <f t="shared" si="2"/>
        <v>-0.29237257935408012</v>
      </c>
    </row>
    <row r="157" spans="1:4" hidden="1" x14ac:dyDescent="0.35">
      <c r="A157">
        <v>156</v>
      </c>
      <c r="B157" s="4">
        <v>1.27715</v>
      </c>
      <c r="C157">
        <v>0.85581882819442401</v>
      </c>
      <c r="D157">
        <f t="shared" si="2"/>
        <v>0.421331171805576</v>
      </c>
    </row>
    <row r="158" spans="1:4" hidden="1" x14ac:dyDescent="0.35">
      <c r="A158">
        <v>157</v>
      </c>
      <c r="B158" s="4">
        <v>0.74259399999999998</v>
      </c>
      <c r="C158">
        <v>1.103347817485</v>
      </c>
      <c r="D158">
        <f t="shared" si="2"/>
        <v>-0.36075381748500002</v>
      </c>
    </row>
    <row r="159" spans="1:4" hidden="1" x14ac:dyDescent="0.35">
      <c r="A159">
        <v>158</v>
      </c>
      <c r="B159" s="4">
        <v>0.65388999999999997</v>
      </c>
      <c r="C159">
        <v>0.84198749496898895</v>
      </c>
      <c r="D159">
        <f t="shared" si="2"/>
        <v>-0.18809749496898898</v>
      </c>
    </row>
    <row r="160" spans="1:4" hidden="1" x14ac:dyDescent="0.35">
      <c r="A160">
        <v>159</v>
      </c>
      <c r="B160" s="4">
        <v>1.0306999999999999</v>
      </c>
      <c r="C160">
        <v>0.79861747190599797</v>
      </c>
      <c r="D160">
        <f t="shared" si="2"/>
        <v>0.23208252809400198</v>
      </c>
    </row>
    <row r="161" spans="1:4" hidden="1" x14ac:dyDescent="0.35">
      <c r="A161">
        <v>160</v>
      </c>
      <c r="B161" s="4">
        <v>0.61126499999999995</v>
      </c>
      <c r="C161">
        <v>0.98285108471224802</v>
      </c>
      <c r="D161">
        <f t="shared" si="2"/>
        <v>-0.37158608471224808</v>
      </c>
    </row>
    <row r="162" spans="1:4" hidden="1" x14ac:dyDescent="0.35">
      <c r="A162">
        <v>161</v>
      </c>
      <c r="B162" s="4">
        <v>0.58436500000000002</v>
      </c>
      <c r="C162">
        <v>0.77777684202391895</v>
      </c>
      <c r="D162">
        <f t="shared" si="2"/>
        <v>-0.19341184202391892</v>
      </c>
    </row>
    <row r="163" spans="1:4" hidden="1" x14ac:dyDescent="0.35">
      <c r="A163">
        <v>162</v>
      </c>
      <c r="B163" s="4">
        <v>1.0095000000000001</v>
      </c>
      <c r="C163">
        <v>0.764624632198043</v>
      </c>
      <c r="D163">
        <f t="shared" si="2"/>
        <v>0.24487536780195707</v>
      </c>
    </row>
    <row r="164" spans="1:4" hidden="1" x14ac:dyDescent="0.35">
      <c r="A164">
        <v>163</v>
      </c>
      <c r="B164" s="4">
        <v>0.55145599999999995</v>
      </c>
      <c r="C164">
        <v>0.97248577436620498</v>
      </c>
      <c r="D164">
        <f t="shared" si="2"/>
        <v>-0.42102977436620503</v>
      </c>
    </row>
    <row r="165" spans="1:4" hidden="1" x14ac:dyDescent="0.35">
      <c r="A165">
        <v>164</v>
      </c>
      <c r="B165" s="4">
        <v>0.38269199999999998</v>
      </c>
      <c r="C165">
        <v>0.74853444360474497</v>
      </c>
      <c r="D165">
        <f t="shared" si="2"/>
        <v>-0.36584244360474499</v>
      </c>
    </row>
    <row r="166" spans="1:4" hidden="1" x14ac:dyDescent="0.35">
      <c r="A166">
        <v>165</v>
      </c>
      <c r="B166" s="4">
        <v>0.98928899999999997</v>
      </c>
      <c r="C166">
        <v>0.66602070609344199</v>
      </c>
      <c r="D166">
        <f t="shared" si="2"/>
        <v>0.32326829390655798</v>
      </c>
    </row>
    <row r="167" spans="1:4" hidden="1" x14ac:dyDescent="0.35">
      <c r="A167">
        <v>166</v>
      </c>
      <c r="B167" s="4">
        <v>0.53184600000000004</v>
      </c>
      <c r="C167">
        <v>0.96260401552639896</v>
      </c>
      <c r="D167">
        <f t="shared" si="2"/>
        <v>-0.43075801552639892</v>
      </c>
    </row>
    <row r="168" spans="1:4" hidden="1" x14ac:dyDescent="0.35">
      <c r="A168">
        <v>167</v>
      </c>
      <c r="B168" s="4">
        <v>0.73314699999999999</v>
      </c>
      <c r="C168">
        <v>0.73894653153465495</v>
      </c>
      <c r="D168">
        <f t="shared" si="2"/>
        <v>-5.7995315346549559E-3</v>
      </c>
    </row>
    <row r="169" spans="1:4" hidden="1" x14ac:dyDescent="0.35">
      <c r="A169">
        <v>168</v>
      </c>
      <c r="B169" s="4">
        <v>1.11175</v>
      </c>
      <c r="C169">
        <v>0.83736857577846702</v>
      </c>
      <c r="D169">
        <f t="shared" si="2"/>
        <v>0.274381424221533</v>
      </c>
    </row>
    <row r="170" spans="1:4" hidden="1" x14ac:dyDescent="0.35">
      <c r="A170">
        <v>169</v>
      </c>
      <c r="B170" s="4">
        <v>0.80267100000000002</v>
      </c>
      <c r="C170">
        <v>1.0224788395965301</v>
      </c>
      <c r="D170">
        <f t="shared" si="2"/>
        <v>-0.21980783959653005</v>
      </c>
    </row>
    <row r="171" spans="1:4" hidden="1" x14ac:dyDescent="0.35">
      <c r="A171">
        <v>170</v>
      </c>
      <c r="B171" s="4">
        <v>0.53887799999999997</v>
      </c>
      <c r="C171">
        <v>0.87136092655668895</v>
      </c>
      <c r="D171">
        <f t="shared" si="2"/>
        <v>-0.33248292655668898</v>
      </c>
    </row>
    <row r="172" spans="1:4" hidden="1" x14ac:dyDescent="0.35">
      <c r="A172">
        <v>171</v>
      </c>
      <c r="B172" s="4">
        <v>1.05524</v>
      </c>
      <c r="C172">
        <v>0.74238468541924796</v>
      </c>
      <c r="D172">
        <f t="shared" si="2"/>
        <v>0.312855314580752</v>
      </c>
    </row>
    <row r="173" spans="1:4" hidden="1" x14ac:dyDescent="0.35">
      <c r="A173">
        <v>172</v>
      </c>
      <c r="B173" s="4">
        <v>1.45343</v>
      </c>
      <c r="C173">
        <v>0.99484942036752599</v>
      </c>
      <c r="D173">
        <f t="shared" si="2"/>
        <v>0.45858057963247401</v>
      </c>
    </row>
    <row r="174" spans="1:4" hidden="1" x14ac:dyDescent="0.35">
      <c r="A174">
        <v>173</v>
      </c>
      <c r="B174" s="4">
        <v>1.07222</v>
      </c>
      <c r="C174">
        <v>1.18953635087181</v>
      </c>
      <c r="D174">
        <f t="shared" si="2"/>
        <v>-0.11731635087181003</v>
      </c>
    </row>
    <row r="175" spans="1:4" hidden="1" x14ac:dyDescent="0.35">
      <c r="A175">
        <v>174</v>
      </c>
      <c r="B175" s="4">
        <v>1.4582599999999999</v>
      </c>
      <c r="C175">
        <v>1.0031514472390299</v>
      </c>
      <c r="D175">
        <f t="shared" si="2"/>
        <v>0.45510855276096995</v>
      </c>
    </row>
    <row r="176" spans="1:4" hidden="1" x14ac:dyDescent="0.35">
      <c r="A176">
        <v>175</v>
      </c>
      <c r="B176" s="4">
        <v>1.3400300000000001</v>
      </c>
      <c r="C176">
        <v>1.19189788148367</v>
      </c>
      <c r="D176">
        <f t="shared" si="2"/>
        <v>0.14813211851633001</v>
      </c>
    </row>
    <row r="177" spans="1:4" hidden="1" x14ac:dyDescent="0.35">
      <c r="A177">
        <v>176</v>
      </c>
      <c r="B177" s="4">
        <v>1.09931</v>
      </c>
      <c r="C177">
        <v>1.1340917191151501</v>
      </c>
      <c r="D177">
        <f t="shared" si="2"/>
        <v>-3.4781719115150045E-2</v>
      </c>
    </row>
    <row r="178" spans="1:4" hidden="1" x14ac:dyDescent="0.35">
      <c r="A178">
        <v>177</v>
      </c>
      <c r="B178" s="4">
        <v>0.73333800000000005</v>
      </c>
      <c r="C178">
        <v>1.0163965537142301</v>
      </c>
      <c r="D178">
        <f t="shared" si="2"/>
        <v>-0.28305855371423005</v>
      </c>
    </row>
    <row r="179" spans="1:4" hidden="1" x14ac:dyDescent="0.35">
      <c r="A179">
        <v>178</v>
      </c>
      <c r="B179" s="4">
        <v>0.63044800000000001</v>
      </c>
      <c r="C179">
        <v>0.83746196135752804</v>
      </c>
      <c r="D179">
        <f t="shared" si="2"/>
        <v>-0.20701396135752803</v>
      </c>
    </row>
    <row r="180" spans="1:4" hidden="1" x14ac:dyDescent="0.35">
      <c r="A180">
        <v>179</v>
      </c>
      <c r="B180" s="4">
        <v>0.67824600000000002</v>
      </c>
      <c r="C180">
        <v>0.78715598109788798</v>
      </c>
      <c r="D180">
        <f t="shared" si="2"/>
        <v>-0.10890998109788796</v>
      </c>
    </row>
    <row r="181" spans="1:4" hidden="1" x14ac:dyDescent="0.35">
      <c r="A181">
        <v>180</v>
      </c>
      <c r="B181" s="4">
        <v>0.84820200000000001</v>
      </c>
      <c r="C181">
        <v>0.81052584449034903</v>
      </c>
      <c r="D181">
        <f t="shared" si="2"/>
        <v>3.7676155509650977E-2</v>
      </c>
    </row>
    <row r="182" spans="1:4" hidden="1" x14ac:dyDescent="0.35">
      <c r="A182">
        <v>181</v>
      </c>
      <c r="B182" s="4">
        <v>0.63127</v>
      </c>
      <c r="C182">
        <v>0.89362238624374901</v>
      </c>
      <c r="D182">
        <f t="shared" si="2"/>
        <v>-0.26235238624374901</v>
      </c>
    </row>
    <row r="183" spans="1:4" hidden="1" x14ac:dyDescent="0.35">
      <c r="A183">
        <v>182</v>
      </c>
      <c r="B183" s="4">
        <v>1.2875700000000001</v>
      </c>
      <c r="C183">
        <v>0.787557881338664</v>
      </c>
      <c r="D183">
        <f t="shared" si="2"/>
        <v>0.5000121186613361</v>
      </c>
    </row>
    <row r="184" spans="1:4" hidden="1" x14ac:dyDescent="0.35">
      <c r="A184">
        <v>183</v>
      </c>
      <c r="B184" s="4">
        <v>1.1399999999999999</v>
      </c>
      <c r="C184">
        <v>1.1084424653060301</v>
      </c>
      <c r="D184">
        <f t="shared" si="2"/>
        <v>3.1557534693969824E-2</v>
      </c>
    </row>
    <row r="185" spans="1:4" hidden="1" x14ac:dyDescent="0.35">
      <c r="A185">
        <v>184</v>
      </c>
      <c r="B185" s="4">
        <v>0.67673700000000003</v>
      </c>
      <c r="C185">
        <v>1.0362911045623699</v>
      </c>
      <c r="D185">
        <f t="shared" si="2"/>
        <v>-0.35955410456236991</v>
      </c>
    </row>
    <row r="186" spans="1:4" hidden="1" x14ac:dyDescent="0.35">
      <c r="A186">
        <v>185</v>
      </c>
      <c r="B186" s="4">
        <v>0.47629199999999999</v>
      </c>
      <c r="C186">
        <v>0.80978804952279304</v>
      </c>
      <c r="D186">
        <f t="shared" si="2"/>
        <v>-0.33349604952279305</v>
      </c>
    </row>
    <row r="187" spans="1:4" hidden="1" x14ac:dyDescent="0.35">
      <c r="A187">
        <v>186</v>
      </c>
      <c r="B187" s="4">
        <v>0.497195</v>
      </c>
      <c r="C187">
        <v>0.71178452913068901</v>
      </c>
      <c r="D187">
        <f t="shared" si="2"/>
        <v>-0.21458952913068902</v>
      </c>
    </row>
    <row r="188" spans="1:4" hidden="1" x14ac:dyDescent="0.35">
      <c r="A188">
        <v>187</v>
      </c>
      <c r="B188" s="4">
        <v>1.1312899999999999</v>
      </c>
      <c r="C188">
        <v>0.72200462734594095</v>
      </c>
      <c r="D188">
        <f t="shared" si="2"/>
        <v>0.40928537265405895</v>
      </c>
    </row>
    <row r="189" spans="1:4" hidden="1" x14ac:dyDescent="0.35">
      <c r="A189">
        <v>188</v>
      </c>
      <c r="B189" s="4">
        <v>1.1179699999999999</v>
      </c>
      <c r="C189">
        <v>1.0320325265852901</v>
      </c>
      <c r="D189">
        <f t="shared" si="2"/>
        <v>8.5937473414709808E-2</v>
      </c>
    </row>
    <row r="190" spans="1:4" hidden="1" x14ac:dyDescent="0.35">
      <c r="A190">
        <v>189</v>
      </c>
      <c r="B190" s="4">
        <v>0.67444599999999999</v>
      </c>
      <c r="C190">
        <v>1.02551998253768</v>
      </c>
      <c r="D190">
        <f t="shared" si="2"/>
        <v>-0.35107398253767996</v>
      </c>
    </row>
    <row r="191" spans="1:4" hidden="1" x14ac:dyDescent="0.35">
      <c r="A191">
        <v>190</v>
      </c>
      <c r="B191" s="4">
        <v>0.99231400000000003</v>
      </c>
      <c r="C191">
        <v>0.80866791150379402</v>
      </c>
      <c r="D191">
        <f t="shared" si="2"/>
        <v>0.18364608849620601</v>
      </c>
    </row>
    <row r="192" spans="1:4" hidden="1" x14ac:dyDescent="0.35">
      <c r="A192">
        <v>191</v>
      </c>
      <c r="B192" s="4">
        <v>0.82013100000000005</v>
      </c>
      <c r="C192">
        <v>0.96408302796964396</v>
      </c>
      <c r="D192">
        <f t="shared" si="2"/>
        <v>-0.1439520279696439</v>
      </c>
    </row>
    <row r="193" spans="1:13" hidden="1" x14ac:dyDescent="0.35">
      <c r="A193">
        <v>192</v>
      </c>
      <c r="B193" s="4">
        <v>0.57217499999999999</v>
      </c>
      <c r="C193">
        <v>0.87989763970017498</v>
      </c>
      <c r="D193">
        <f t="shared" si="2"/>
        <v>-0.30772263970017499</v>
      </c>
    </row>
    <row r="194" spans="1:13" hidden="1" x14ac:dyDescent="0.35">
      <c r="A194">
        <v>193</v>
      </c>
      <c r="B194" s="4">
        <v>0.98809899999999995</v>
      </c>
      <c r="C194">
        <v>0.75866457874906901</v>
      </c>
      <c r="D194">
        <f t="shared" si="2"/>
        <v>0.22943442125093094</v>
      </c>
    </row>
    <row r="195" spans="1:13" hidden="1" x14ac:dyDescent="0.35">
      <c r="A195">
        <v>194</v>
      </c>
      <c r="B195" s="4">
        <v>1.3487100000000001</v>
      </c>
      <c r="C195">
        <v>0.96202218914376703</v>
      </c>
      <c r="D195">
        <f t="shared" ref="D195:D201" si="3">B195-C195</f>
        <v>0.38668781085623305</v>
      </c>
    </row>
    <row r="196" spans="1:13" hidden="1" x14ac:dyDescent="0.35">
      <c r="A196">
        <v>195</v>
      </c>
      <c r="B196" s="4">
        <v>1.1552</v>
      </c>
      <c r="C196">
        <v>1.13833562920023</v>
      </c>
      <c r="D196">
        <f t="shared" si="3"/>
        <v>1.686437079976999E-2</v>
      </c>
    </row>
    <row r="197" spans="1:13" hidden="1" x14ac:dyDescent="0.35">
      <c r="A197">
        <v>196</v>
      </c>
      <c r="B197" s="4">
        <v>1.4210799999999999</v>
      </c>
      <c r="C197">
        <v>1.04372283650859</v>
      </c>
      <c r="D197">
        <f t="shared" si="3"/>
        <v>0.37735716349140991</v>
      </c>
    </row>
    <row r="198" spans="1:13" x14ac:dyDescent="0.35">
      <c r="A198">
        <v>197</v>
      </c>
      <c r="B198" s="4">
        <v>1.11914</v>
      </c>
      <c r="C198" s="11">
        <v>1.1737194739994301</v>
      </c>
      <c r="D198" s="11">
        <f t="shared" si="3"/>
        <v>-5.4579473999430084E-2</v>
      </c>
      <c r="L198" t="s">
        <v>26</v>
      </c>
      <c r="M198" s="11">
        <v>8.7499999999999994E-2</v>
      </c>
    </row>
    <row r="199" spans="1:13" x14ac:dyDescent="0.35">
      <c r="A199">
        <v>198</v>
      </c>
      <c r="B199" s="4">
        <v>1.1412800000000001</v>
      </c>
      <c r="C199" s="11">
        <v>1.02609203032565</v>
      </c>
      <c r="D199" s="11">
        <f t="shared" si="3"/>
        <v>0.11518796967435008</v>
      </c>
      <c r="L199" t="s">
        <v>25</v>
      </c>
      <c r="M199" s="11">
        <f>SQRT(M198)</f>
        <v>0.2958039891549808</v>
      </c>
    </row>
    <row r="200" spans="1:13" x14ac:dyDescent="0.35">
      <c r="A200">
        <v>199</v>
      </c>
      <c r="B200" s="4">
        <v>1.5465800000000001</v>
      </c>
      <c r="C200" s="11">
        <v>1.0369169346209901</v>
      </c>
      <c r="D200" s="11">
        <f t="shared" si="3"/>
        <v>0.50966306537900996</v>
      </c>
      <c r="L200" t="s">
        <v>27</v>
      </c>
      <c r="M200" s="11" t="s">
        <v>28</v>
      </c>
    </row>
    <row r="201" spans="1:13" x14ac:dyDescent="0.35">
      <c r="A201">
        <v>200</v>
      </c>
      <c r="B201" s="4">
        <v>1.4572499999999999</v>
      </c>
      <c r="C201" s="11">
        <v>1.23508015552907</v>
      </c>
      <c r="D201" s="11">
        <f t="shared" si="3"/>
        <v>0.22216984447092991</v>
      </c>
      <c r="L201" t="s">
        <v>29</v>
      </c>
      <c r="M201" s="11">
        <f>1.96*M199</f>
        <v>0.57977581874376238</v>
      </c>
    </row>
    <row r="202" spans="1:13" x14ac:dyDescent="0.35">
      <c r="E202" s="11">
        <f>$H$206+$I$206*B201</f>
        <v>1.19140405780453</v>
      </c>
      <c r="G202" t="s">
        <v>17</v>
      </c>
      <c r="H202" t="s">
        <v>18</v>
      </c>
      <c r="I202" t="s">
        <v>19</v>
      </c>
      <c r="L202" s="11">
        <f>E202-M201</f>
        <v>0.61162823906076758</v>
      </c>
      <c r="M202" s="11">
        <f>E202+M201</f>
        <v>1.7711798765482922</v>
      </c>
    </row>
    <row r="203" spans="1:13" x14ac:dyDescent="0.35">
      <c r="B203" s="4"/>
      <c r="E203" s="11">
        <f>$H$206+$I$206*E202</f>
        <v>1.0614240810406814</v>
      </c>
      <c r="H203" s="11">
        <v>0.48892970000000002</v>
      </c>
      <c r="I203" s="11">
        <v>0.93707510000000005</v>
      </c>
    </row>
    <row r="204" spans="1:13" x14ac:dyDescent="0.35">
      <c r="E204" s="11">
        <f t="shared" ref="E204:E218" si="4">$H$206+$I$206*E203</f>
        <v>0.99787300999552597</v>
      </c>
    </row>
    <row r="205" spans="1:13" ht="31.5" x14ac:dyDescent="0.45">
      <c r="E205" s="11">
        <f t="shared" si="4"/>
        <v>0.96680100389473944</v>
      </c>
      <c r="G205" t="s">
        <v>20</v>
      </c>
      <c r="H205" s="10" t="s">
        <v>24</v>
      </c>
      <c r="I205" s="10" t="s">
        <v>21</v>
      </c>
    </row>
    <row r="206" spans="1:13" x14ac:dyDescent="0.35">
      <c r="E206" s="11">
        <f t="shared" si="4"/>
        <v>0.95160897727348381</v>
      </c>
      <c r="H206" s="11">
        <f>I203*(1-H203)</f>
        <v>0.47891125247952998</v>
      </c>
      <c r="I206" s="11">
        <v>0.48892970000000002</v>
      </c>
    </row>
    <row r="207" spans="1:13" x14ac:dyDescent="0.35">
      <c r="E207" s="11">
        <f t="shared" si="4"/>
        <v>0.94418114425516131</v>
      </c>
    </row>
    <row r="208" spans="1:13" x14ac:dyDescent="0.35">
      <c r="E208" s="11">
        <f t="shared" si="4"/>
        <v>0.94054945608586271</v>
      </c>
    </row>
    <row r="209" spans="5:5" x14ac:dyDescent="0.35">
      <c r="E209" s="11">
        <f t="shared" si="4"/>
        <v>0.93877381587875397</v>
      </c>
    </row>
    <row r="210" spans="5:5" x14ac:dyDescent="0.35">
      <c r="E210" s="11">
        <f t="shared" si="4"/>
        <v>0.93790565264498449</v>
      </c>
    </row>
    <row r="211" spans="5:5" x14ac:dyDescent="0.35">
      <c r="E211" s="11">
        <f t="shared" si="4"/>
        <v>0.93748118185554641</v>
      </c>
    </row>
    <row r="212" spans="5:5" x14ac:dyDescent="0.35">
      <c r="E212" s="11">
        <f t="shared" si="4"/>
        <v>0.93727364547980774</v>
      </c>
    </row>
    <row r="213" spans="5:5" x14ac:dyDescent="0.35">
      <c r="E213" s="11">
        <f t="shared" si="4"/>
        <v>0.93717217478187875</v>
      </c>
    </row>
    <row r="214" spans="5:5" x14ac:dyDescent="0.35">
      <c r="E214" s="11">
        <f t="shared" si="4"/>
        <v>0.93712256274398154</v>
      </c>
    </row>
    <row r="215" spans="5:5" x14ac:dyDescent="0.35">
      <c r="E215" s="11">
        <f t="shared" si="4"/>
        <v>0.93709830594517607</v>
      </c>
    </row>
    <row r="216" spans="5:5" x14ac:dyDescent="0.35">
      <c r="E216" s="11">
        <f t="shared" si="4"/>
        <v>0.93708644607581315</v>
      </c>
    </row>
    <row r="217" spans="5:5" x14ac:dyDescent="0.35">
      <c r="E217" s="11">
        <f t="shared" si="4"/>
        <v>0.93708064743344344</v>
      </c>
    </row>
    <row r="218" spans="5:5" x14ac:dyDescent="0.35">
      <c r="E218" s="11">
        <f t="shared" si="4"/>
        <v>0.93707781230496923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0181-117B-497A-82AD-FA5206349D6F}">
  <dimension ref="A1:H10"/>
  <sheetViews>
    <sheetView tabSelected="1" workbookViewId="0">
      <selection activeCell="F15" sqref="F15"/>
    </sheetView>
  </sheetViews>
  <sheetFormatPr defaultRowHeight="14.5" x14ac:dyDescent="0.35"/>
  <cols>
    <col min="3" max="3" width="11.08984375" customWidth="1"/>
    <col min="5" max="5" width="8" bestFit="1" customWidth="1"/>
    <col min="6" max="6" width="10.90625" bestFit="1" customWidth="1"/>
    <col min="7" max="7" width="15.90625" bestFit="1" customWidth="1"/>
  </cols>
  <sheetData>
    <row r="1" spans="1:8" x14ac:dyDescent="0.35">
      <c r="A1" t="s">
        <v>68</v>
      </c>
      <c r="B1" s="32">
        <v>0.1</v>
      </c>
      <c r="C1" s="31"/>
    </row>
    <row r="2" spans="1:8" ht="29" x14ac:dyDescent="0.35">
      <c r="A2" s="27" t="s">
        <v>56</v>
      </c>
      <c r="B2" t="s">
        <v>66</v>
      </c>
      <c r="C2" s="2" t="s">
        <v>58</v>
      </c>
      <c r="D2" s="2" t="s">
        <v>57</v>
      </c>
      <c r="E2" s="2" t="s">
        <v>59</v>
      </c>
      <c r="F2" s="2" t="s">
        <v>67</v>
      </c>
      <c r="G2" s="2" t="s">
        <v>69</v>
      </c>
    </row>
    <row r="3" spans="1:8" x14ac:dyDescent="0.35">
      <c r="A3">
        <v>1</v>
      </c>
      <c r="B3" t="s">
        <v>62</v>
      </c>
      <c r="C3">
        <v>103</v>
      </c>
      <c r="D3">
        <v>18</v>
      </c>
      <c r="E3" s="12">
        <f>SQRT(SUMSQ(D3-$D$7,C3-$C$7))</f>
        <v>4.6518848561650126</v>
      </c>
      <c r="F3">
        <v>6.96</v>
      </c>
      <c r="G3">
        <f>$B$1*F3</f>
        <v>0.69600000000000006</v>
      </c>
      <c r="H3" s="28"/>
    </row>
    <row r="4" spans="1:8" x14ac:dyDescent="0.35">
      <c r="A4">
        <v>2</v>
      </c>
      <c r="B4" t="s">
        <v>63</v>
      </c>
      <c r="C4">
        <v>96.2</v>
      </c>
      <c r="D4">
        <v>16.8</v>
      </c>
      <c r="E4" s="12">
        <f>SQRT(SUMSQ(D4-$D$7,C4-$C$7))</f>
        <v>5.6604008998792175</v>
      </c>
      <c r="F4">
        <v>53.9</v>
      </c>
      <c r="G4">
        <f>$B$1*F4</f>
        <v>5.3900000000000006</v>
      </c>
      <c r="H4" s="28"/>
    </row>
    <row r="5" spans="1:8" x14ac:dyDescent="0.35">
      <c r="A5">
        <v>3</v>
      </c>
      <c r="B5" t="s">
        <v>64</v>
      </c>
      <c r="C5">
        <v>101</v>
      </c>
      <c r="D5">
        <v>13.8</v>
      </c>
      <c r="E5" s="12">
        <f>SQRT(SUMSQ(D5-$D$7,C5-$C$7))</f>
        <v>1.2406239591051994E-5</v>
      </c>
      <c r="F5">
        <v>69.2</v>
      </c>
      <c r="G5">
        <f>$B$1*F5</f>
        <v>6.9200000000000008</v>
      </c>
      <c r="H5" s="28"/>
    </row>
    <row r="6" spans="1:8" x14ac:dyDescent="0.35">
      <c r="A6">
        <v>4</v>
      </c>
      <c r="B6" t="s">
        <v>65</v>
      </c>
      <c r="C6">
        <v>107</v>
      </c>
      <c r="D6">
        <v>10.8</v>
      </c>
      <c r="E6" s="12">
        <f>SQRT(SUMSQ(D6-$D$7,C6-$C$7))</f>
        <v>6.7081919695959922</v>
      </c>
      <c r="F6">
        <v>96.5</v>
      </c>
      <c r="G6">
        <f>$B$1*F6</f>
        <v>9.65</v>
      </c>
      <c r="H6" s="28"/>
    </row>
    <row r="7" spans="1:8" ht="15" thickBot="1" x14ac:dyDescent="0.4">
      <c r="A7" t="s">
        <v>60</v>
      </c>
      <c r="C7" s="29">
        <v>101.00000923000091</v>
      </c>
      <c r="D7" s="29">
        <v>13.799991710134867</v>
      </c>
    </row>
    <row r="8" spans="1:8" ht="15" thickBot="1" x14ac:dyDescent="0.4">
      <c r="A8" s="34" t="s">
        <v>61</v>
      </c>
      <c r="C8" s="34"/>
      <c r="D8" s="34"/>
      <c r="E8" s="34"/>
      <c r="F8" s="7"/>
      <c r="G8" s="33">
        <f>SUMPRODUCT(G3:G6,E3:E6)</f>
        <v>98.481411068019128</v>
      </c>
      <c r="H8" s="28"/>
    </row>
    <row r="10" spans="1:8" x14ac:dyDescent="0.35">
      <c r="C10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03"/>
  <sheetViews>
    <sheetView topLeftCell="M1" zoomScale="140" zoomScaleNormal="140" workbookViewId="0">
      <pane ySplit="1" topLeftCell="A2" activePane="bottomLeft" state="frozen"/>
      <selection pane="bottomLeft" activeCell="X17" sqref="X17"/>
    </sheetView>
  </sheetViews>
  <sheetFormatPr defaultRowHeight="14.5" x14ac:dyDescent="0.35"/>
  <cols>
    <col min="1" max="1" width="4" bestFit="1" customWidth="1"/>
    <col min="2" max="2" width="9.08984375" customWidth="1"/>
    <col min="4" max="4" width="4.6328125" customWidth="1"/>
    <col min="6" max="6" width="13.453125" bestFit="1" customWidth="1"/>
    <col min="14" max="14" width="4" bestFit="1" customWidth="1"/>
    <col min="16" max="16" width="10" bestFit="1" customWidth="1"/>
    <col min="19" max="19" width="3" customWidth="1"/>
    <col min="20" max="20" width="17" customWidth="1"/>
    <col min="21" max="21" width="12" bestFit="1" customWidth="1"/>
  </cols>
  <sheetData>
    <row r="1" spans="1:32" ht="29" x14ac:dyDescent="0.35">
      <c r="A1" t="s">
        <v>15</v>
      </c>
      <c r="B1" s="3" t="s">
        <v>8</v>
      </c>
      <c r="C1" s="3" t="s">
        <v>10</v>
      </c>
      <c r="E1" t="s">
        <v>33</v>
      </c>
      <c r="F1" s="4">
        <v>0.5</v>
      </c>
      <c r="N1" t="s">
        <v>15</v>
      </c>
      <c r="O1" s="3" t="s">
        <v>37</v>
      </c>
      <c r="P1" s="10" t="s">
        <v>44</v>
      </c>
      <c r="Q1" t="s">
        <v>40</v>
      </c>
      <c r="R1" t="s">
        <v>42</v>
      </c>
    </row>
    <row r="2" spans="1:32" x14ac:dyDescent="0.35">
      <c r="A2">
        <v>1</v>
      </c>
      <c r="B2" s="4">
        <v>0.25645400000000002</v>
      </c>
      <c r="C2" s="4">
        <v>0.24</v>
      </c>
      <c r="N2">
        <v>1</v>
      </c>
      <c r="O2" s="4">
        <v>0.24</v>
      </c>
      <c r="T2" t="s">
        <v>36</v>
      </c>
      <c r="U2">
        <v>0.49164066264360989</v>
      </c>
    </row>
    <row r="3" spans="1:32" x14ac:dyDescent="0.35">
      <c r="A3">
        <v>2</v>
      </c>
      <c r="B3" s="4">
        <v>0.23024</v>
      </c>
      <c r="C3" s="4">
        <v>0.35024</v>
      </c>
      <c r="E3">
        <f>$F$1*C2+B3</f>
        <v>0.35024</v>
      </c>
      <c r="F3" t="s">
        <v>34</v>
      </c>
      <c r="N3">
        <v>2</v>
      </c>
      <c r="O3" s="4">
        <v>0.35024</v>
      </c>
      <c r="P3">
        <f>$U$2+$U$3*O2</f>
        <v>0.60706248882821379</v>
      </c>
      <c r="Q3">
        <f>O3-P3</f>
        <v>-0.25682248882821379</v>
      </c>
      <c r="R3">
        <f t="shared" ref="R3:R66" si="0">_xlfn.NORM.DIST(Q3,0,$W$8,FALSE)</f>
        <v>0.92812543899539324</v>
      </c>
      <c r="T3" t="s">
        <v>33</v>
      </c>
      <c r="U3">
        <v>0.48092427576918295</v>
      </c>
    </row>
    <row r="4" spans="1:32" x14ac:dyDescent="0.35">
      <c r="A4">
        <v>3</v>
      </c>
      <c r="B4" s="4">
        <v>0.67518599999999995</v>
      </c>
      <c r="C4" s="4">
        <v>0.85030600000000001</v>
      </c>
      <c r="E4">
        <f>$F$1*C3+B4</f>
        <v>0.85030600000000001</v>
      </c>
      <c r="F4" t="s">
        <v>35</v>
      </c>
      <c r="N4">
        <v>3</v>
      </c>
      <c r="O4" s="4">
        <v>0.85030600000000001</v>
      </c>
      <c r="P4">
        <f t="shared" ref="P4:P67" si="1">$U$2+$U$3*O3</f>
        <v>0.66007958098900854</v>
      </c>
      <c r="Q4">
        <f t="shared" ref="Q4:Q67" si="2">O4-P4</f>
        <v>0.19022641901099147</v>
      </c>
      <c r="R4">
        <f t="shared" si="0"/>
        <v>1.1053972489089099</v>
      </c>
      <c r="T4" t="s">
        <v>38</v>
      </c>
      <c r="U4" s="12">
        <f t="array" ref="U4">SUM(Q3:Q201^2)</f>
        <v>16.947369402686633</v>
      </c>
    </row>
    <row r="5" spans="1:32" x14ac:dyDescent="0.35">
      <c r="A5">
        <v>4</v>
      </c>
      <c r="B5" s="4">
        <v>4.75159E-2</v>
      </c>
      <c r="C5" s="4">
        <v>0.47266900000000001</v>
      </c>
      <c r="N5">
        <v>4</v>
      </c>
      <c r="O5" s="4">
        <v>0.47266900000000001</v>
      </c>
      <c r="P5">
        <f t="shared" si="1"/>
        <v>0.90057345987580084</v>
      </c>
      <c r="Q5">
        <f t="shared" si="2"/>
        <v>-0.42790445987580084</v>
      </c>
      <c r="R5">
        <f t="shared" si="0"/>
        <v>0.46656536411999544</v>
      </c>
    </row>
    <row r="6" spans="1:32" x14ac:dyDescent="0.35">
      <c r="A6">
        <v>5</v>
      </c>
      <c r="B6" s="4">
        <v>0.71682699999999999</v>
      </c>
      <c r="C6" s="4">
        <v>0.95316199999999995</v>
      </c>
      <c r="N6">
        <v>5</v>
      </c>
      <c r="O6" s="4">
        <v>0.95316199999999995</v>
      </c>
      <c r="P6">
        <f t="shared" si="1"/>
        <v>0.71895865914715384</v>
      </c>
      <c r="Q6">
        <f t="shared" si="2"/>
        <v>0.23420334085284611</v>
      </c>
      <c r="R6">
        <f t="shared" si="0"/>
        <v>0.9906635466437983</v>
      </c>
    </row>
    <row r="7" spans="1:32" x14ac:dyDescent="0.35">
      <c r="A7">
        <v>6</v>
      </c>
      <c r="B7" s="4">
        <v>0.85461399999999998</v>
      </c>
      <c r="C7" s="4">
        <v>1.3311999999999999</v>
      </c>
      <c r="N7">
        <v>6</v>
      </c>
      <c r="O7" s="4">
        <v>1.3311999999999999</v>
      </c>
      <c r="P7">
        <f t="shared" si="1"/>
        <v>0.9500394071843159</v>
      </c>
      <c r="Q7">
        <f t="shared" si="2"/>
        <v>0.38116059281568404</v>
      </c>
      <c r="R7">
        <f t="shared" si="0"/>
        <v>0.58256276070541169</v>
      </c>
    </row>
    <row r="8" spans="1:32" x14ac:dyDescent="0.35">
      <c r="A8">
        <v>7</v>
      </c>
      <c r="B8" s="4">
        <v>0.55798300000000001</v>
      </c>
      <c r="C8" s="4">
        <v>1.2235799999999999</v>
      </c>
      <c r="N8">
        <v>7</v>
      </c>
      <c r="O8" s="4">
        <v>1.2235799999999999</v>
      </c>
      <c r="P8">
        <f t="shared" si="1"/>
        <v>1.1318470585475462</v>
      </c>
      <c r="Q8">
        <f t="shared" si="2"/>
        <v>9.1732941452453698E-2</v>
      </c>
      <c r="R8">
        <f t="shared" si="0"/>
        <v>1.3011552293394231</v>
      </c>
      <c r="T8" t="s">
        <v>41</v>
      </c>
      <c r="W8">
        <f>SQRT(U4/199)</f>
        <v>0.29182642155056521</v>
      </c>
    </row>
    <row r="9" spans="1:32" x14ac:dyDescent="0.35">
      <c r="A9">
        <v>8</v>
      </c>
      <c r="B9" s="4">
        <v>3.9031999999999997E-2</v>
      </c>
      <c r="C9" s="4">
        <v>0.65082200000000001</v>
      </c>
      <c r="N9">
        <v>8</v>
      </c>
      <c r="O9" s="4">
        <v>0.65082200000000001</v>
      </c>
      <c r="P9">
        <f t="shared" si="1"/>
        <v>1.0800899879892667</v>
      </c>
      <c r="Q9">
        <f t="shared" si="2"/>
        <v>-0.42926798798926669</v>
      </c>
      <c r="R9">
        <f t="shared" si="0"/>
        <v>0.46337473474236962</v>
      </c>
      <c r="T9" t="s">
        <v>42</v>
      </c>
      <c r="U9">
        <f>PRODUCT(R3:R201)</f>
        <v>6.4417639981111047E-17</v>
      </c>
    </row>
    <row r="10" spans="1:32" ht="18" customHeight="1" x14ac:dyDescent="0.35">
      <c r="A10">
        <v>9</v>
      </c>
      <c r="B10" s="4">
        <v>0.184616</v>
      </c>
      <c r="C10" s="4">
        <v>0.51002700000000001</v>
      </c>
      <c r="N10">
        <v>9</v>
      </c>
      <c r="O10" s="4">
        <v>0.51002700000000001</v>
      </c>
      <c r="P10">
        <f t="shared" si="1"/>
        <v>0.80463676164826103</v>
      </c>
      <c r="Q10">
        <f t="shared" si="2"/>
        <v>-0.29460976164826103</v>
      </c>
      <c r="R10">
        <f t="shared" si="0"/>
        <v>0.8212517545881125</v>
      </c>
      <c r="T10" t="s">
        <v>43</v>
      </c>
      <c r="U10">
        <f>LN(U9)</f>
        <v>-37.281144165539594</v>
      </c>
      <c r="AF10" s="19"/>
    </row>
    <row r="11" spans="1:32" x14ac:dyDescent="0.35">
      <c r="A11">
        <v>10</v>
      </c>
      <c r="B11" s="4">
        <v>1.67999E-2</v>
      </c>
      <c r="C11" s="4">
        <v>0.271814</v>
      </c>
      <c r="N11">
        <v>10</v>
      </c>
      <c r="O11" s="4">
        <v>0.271814</v>
      </c>
      <c r="P11">
        <f t="shared" si="1"/>
        <v>0.73692502824133899</v>
      </c>
      <c r="Q11">
        <f t="shared" si="2"/>
        <v>-0.46511102824133899</v>
      </c>
      <c r="R11">
        <f t="shared" si="0"/>
        <v>0.38387774336106739</v>
      </c>
    </row>
    <row r="12" spans="1:32" x14ac:dyDescent="0.35">
      <c r="A12">
        <v>11</v>
      </c>
      <c r="B12" s="4">
        <v>0.59606899999999996</v>
      </c>
      <c r="C12" s="4">
        <v>0.73197599999999996</v>
      </c>
      <c r="N12">
        <v>11</v>
      </c>
      <c r="O12" s="4">
        <v>0.73197599999999996</v>
      </c>
      <c r="P12">
        <f t="shared" si="1"/>
        <v>0.62236261373753465</v>
      </c>
      <c r="Q12">
        <f t="shared" si="2"/>
        <v>0.10961338626246531</v>
      </c>
      <c r="R12">
        <f t="shared" si="0"/>
        <v>1.2739413674219355</v>
      </c>
    </row>
    <row r="13" spans="1:32" x14ac:dyDescent="0.35">
      <c r="A13">
        <v>12</v>
      </c>
      <c r="B13" s="4">
        <v>0.23567199999999999</v>
      </c>
      <c r="C13" s="4">
        <v>0.60165999999999997</v>
      </c>
      <c r="N13">
        <v>12</v>
      </c>
      <c r="O13" s="4">
        <v>0.60165999999999997</v>
      </c>
      <c r="P13">
        <f t="shared" si="1"/>
        <v>0.84366569032403338</v>
      </c>
      <c r="Q13">
        <f t="shared" si="2"/>
        <v>-0.24200569032403341</v>
      </c>
      <c r="R13">
        <f t="shared" si="0"/>
        <v>0.96928679744183477</v>
      </c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32" x14ac:dyDescent="0.35">
      <c r="A14">
        <v>13</v>
      </c>
      <c r="B14" s="4">
        <v>7.2448700000000005E-2</v>
      </c>
      <c r="C14" s="4">
        <v>0.37327900000000003</v>
      </c>
      <c r="N14">
        <v>13</v>
      </c>
      <c r="O14" s="4">
        <v>0.37327900000000003</v>
      </c>
      <c r="P14">
        <f t="shared" si="1"/>
        <v>0.78099356240289652</v>
      </c>
      <c r="Q14">
        <f t="shared" si="2"/>
        <v>-0.4077145624028965</v>
      </c>
      <c r="R14">
        <f t="shared" si="0"/>
        <v>0.51514587810605383</v>
      </c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32" x14ac:dyDescent="0.35">
      <c r="A15">
        <v>14</v>
      </c>
      <c r="B15" s="4">
        <v>0.85891700000000004</v>
      </c>
      <c r="C15" s="4">
        <v>1.04556</v>
      </c>
      <c r="N15">
        <v>14</v>
      </c>
      <c r="O15" s="4">
        <v>1.04556</v>
      </c>
      <c r="P15">
        <f t="shared" si="1"/>
        <v>0.67115959537845471</v>
      </c>
      <c r="Q15">
        <f t="shared" si="2"/>
        <v>0.37440040462154534</v>
      </c>
      <c r="R15">
        <f t="shared" si="0"/>
        <v>0.60029730080004429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32" x14ac:dyDescent="0.35">
      <c r="A16">
        <v>15</v>
      </c>
      <c r="B16" s="4">
        <v>0.83085600000000004</v>
      </c>
      <c r="C16" s="4">
        <v>1.3536300000000001</v>
      </c>
      <c r="N16">
        <v>15</v>
      </c>
      <c r="O16" s="4">
        <v>1.3536300000000001</v>
      </c>
      <c r="P16">
        <f t="shared" si="1"/>
        <v>0.99447584841683678</v>
      </c>
      <c r="Q16">
        <f t="shared" si="2"/>
        <v>0.35915415158316333</v>
      </c>
      <c r="R16">
        <f t="shared" si="0"/>
        <v>0.64103712305683302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x14ac:dyDescent="0.35">
      <c r="A17">
        <v>16</v>
      </c>
      <c r="B17" s="4">
        <v>0.21592700000000001</v>
      </c>
      <c r="C17" s="4">
        <v>0.89274399999999998</v>
      </c>
      <c r="N17">
        <v>16</v>
      </c>
      <c r="O17" s="4">
        <v>0.89274399999999998</v>
      </c>
      <c r="P17">
        <f t="shared" si="1"/>
        <v>1.142634190053049</v>
      </c>
      <c r="Q17">
        <f t="shared" si="2"/>
        <v>-0.24989019005304902</v>
      </c>
      <c r="R17">
        <f t="shared" si="0"/>
        <v>0.94746526270549147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x14ac:dyDescent="0.35">
      <c r="A18">
        <v>17</v>
      </c>
      <c r="B18" s="4">
        <v>0.22300700000000001</v>
      </c>
      <c r="C18" s="4">
        <v>0.66937899999999995</v>
      </c>
      <c r="N18">
        <v>17</v>
      </c>
      <c r="O18" s="4">
        <v>0.66937899999999995</v>
      </c>
      <c r="P18">
        <f t="shared" si="1"/>
        <v>0.92098292429089335</v>
      </c>
      <c r="Q18">
        <f t="shared" si="2"/>
        <v>-0.2516039242908934</v>
      </c>
      <c r="R18">
        <f t="shared" si="0"/>
        <v>0.94269658277627</v>
      </c>
      <c r="T18" s="20"/>
      <c r="U18" s="20"/>
      <c r="V18" s="20"/>
      <c r="W18" s="20"/>
      <c r="X18" s="20"/>
      <c r="Y18" s="21"/>
      <c r="Z18" s="20"/>
      <c r="AA18" s="20"/>
      <c r="AB18" s="20"/>
      <c r="AC18" s="20"/>
    </row>
    <row r="19" spans="1:29" x14ac:dyDescent="0.35">
      <c r="A19">
        <v>18</v>
      </c>
      <c r="B19" s="4">
        <v>0.254166</v>
      </c>
      <c r="C19" s="4">
        <v>0.58885500000000002</v>
      </c>
      <c r="N19">
        <v>18</v>
      </c>
      <c r="O19" s="4">
        <v>0.58885500000000002</v>
      </c>
      <c r="P19">
        <f t="shared" si="1"/>
        <v>0.81356127343370976</v>
      </c>
      <c r="Q19">
        <f t="shared" si="2"/>
        <v>-0.22470627343370975</v>
      </c>
      <c r="R19">
        <f t="shared" si="0"/>
        <v>1.0163398129154573</v>
      </c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x14ac:dyDescent="0.35">
      <c r="A20">
        <v>19</v>
      </c>
      <c r="B20" s="4">
        <v>0.76403799999999999</v>
      </c>
      <c r="C20" s="4">
        <v>1.05847</v>
      </c>
      <c r="N20">
        <v>19</v>
      </c>
      <c r="O20" s="4">
        <v>1.05847</v>
      </c>
      <c r="P20">
        <f t="shared" si="1"/>
        <v>0.77483532705167213</v>
      </c>
      <c r="Q20">
        <f t="shared" si="2"/>
        <v>0.28363467294832789</v>
      </c>
      <c r="R20">
        <f t="shared" si="0"/>
        <v>0.85242862915972961</v>
      </c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x14ac:dyDescent="0.35">
      <c r="A21">
        <v>20</v>
      </c>
      <c r="B21" s="4">
        <v>0.28643800000000003</v>
      </c>
      <c r="C21" s="4">
        <v>0.81567100000000003</v>
      </c>
      <c r="N21">
        <v>20</v>
      </c>
      <c r="O21" s="4">
        <v>0.81567100000000003</v>
      </c>
      <c r="P21">
        <f t="shared" si="1"/>
        <v>1.0006845808170171</v>
      </c>
      <c r="Q21">
        <f t="shared" si="2"/>
        <v>-0.18501358081701702</v>
      </c>
      <c r="R21">
        <f t="shared" si="0"/>
        <v>1.1181651263292336</v>
      </c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x14ac:dyDescent="0.35">
      <c r="A22">
        <v>21</v>
      </c>
      <c r="B22" s="4">
        <v>0.18040500000000001</v>
      </c>
      <c r="C22" s="4">
        <v>0.58823999999999999</v>
      </c>
      <c r="N22">
        <v>21</v>
      </c>
      <c r="O22" s="4">
        <v>0.58823999999999999</v>
      </c>
      <c r="P22">
        <f t="shared" si="1"/>
        <v>0.88391664758453514</v>
      </c>
      <c r="Q22">
        <f t="shared" si="2"/>
        <v>-0.29567664758453516</v>
      </c>
      <c r="R22">
        <f t="shared" si="0"/>
        <v>0.81822082932653517</v>
      </c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x14ac:dyDescent="0.35">
      <c r="A23">
        <v>22</v>
      </c>
      <c r="B23" s="4">
        <v>0.16822799999999999</v>
      </c>
      <c r="C23" s="4">
        <v>0.46234799999999998</v>
      </c>
      <c r="N23">
        <v>22</v>
      </c>
      <c r="O23" s="4">
        <v>0.46234799999999998</v>
      </c>
      <c r="P23">
        <f t="shared" si="1"/>
        <v>0.77453955862207402</v>
      </c>
      <c r="Q23">
        <f t="shared" si="2"/>
        <v>-0.31219155862207404</v>
      </c>
      <c r="R23">
        <f t="shared" si="0"/>
        <v>0.7713889815824071</v>
      </c>
    </row>
    <row r="24" spans="1:29" x14ac:dyDescent="0.35">
      <c r="A24">
        <v>23</v>
      </c>
      <c r="B24" s="4">
        <v>0.58662400000000003</v>
      </c>
      <c r="C24" s="4">
        <v>0.81779800000000002</v>
      </c>
      <c r="N24">
        <v>23</v>
      </c>
      <c r="O24" s="4">
        <v>0.81779800000000002</v>
      </c>
      <c r="P24">
        <f t="shared" si="1"/>
        <v>0.71399503969694011</v>
      </c>
      <c r="Q24">
        <f t="shared" si="2"/>
        <v>0.10380296030305991</v>
      </c>
      <c r="R24">
        <f t="shared" si="0"/>
        <v>1.2832500401095226</v>
      </c>
    </row>
    <row r="25" spans="1:29" x14ac:dyDescent="0.35">
      <c r="A25">
        <v>24</v>
      </c>
      <c r="B25" s="4">
        <v>0.543045</v>
      </c>
      <c r="C25" s="4">
        <v>0.95194400000000001</v>
      </c>
      <c r="N25">
        <v>24</v>
      </c>
      <c r="O25" s="4">
        <v>0.95194400000000001</v>
      </c>
      <c r="P25">
        <f t="shared" si="1"/>
        <v>0.88493957351909613</v>
      </c>
      <c r="Q25">
        <f t="shared" si="2"/>
        <v>6.7004426480903878E-2</v>
      </c>
      <c r="R25">
        <f t="shared" si="0"/>
        <v>1.3314900283605622</v>
      </c>
    </row>
    <row r="26" spans="1:29" x14ac:dyDescent="0.35">
      <c r="A26">
        <v>25</v>
      </c>
      <c r="B26" s="4">
        <v>0.196655</v>
      </c>
      <c r="C26" s="4">
        <v>0.67262699999999997</v>
      </c>
      <c r="N26">
        <v>25</v>
      </c>
      <c r="O26" s="4">
        <v>0.67262699999999997</v>
      </c>
      <c r="P26">
        <f t="shared" si="1"/>
        <v>0.94945364141642896</v>
      </c>
      <c r="Q26">
        <f t="shared" si="2"/>
        <v>-0.27682664141642899</v>
      </c>
      <c r="R26">
        <f t="shared" si="0"/>
        <v>0.87174029058495162</v>
      </c>
    </row>
    <row r="27" spans="1:29" x14ac:dyDescent="0.35">
      <c r="A27">
        <v>26</v>
      </c>
      <c r="B27" s="4">
        <v>0.40217599999999998</v>
      </c>
      <c r="C27" s="4">
        <v>0.73848999999999998</v>
      </c>
      <c r="N27">
        <v>26</v>
      </c>
      <c r="O27" s="4">
        <v>0.73848999999999998</v>
      </c>
      <c r="P27">
        <f t="shared" si="1"/>
        <v>0.81512331548140815</v>
      </c>
      <c r="Q27">
        <f t="shared" si="2"/>
        <v>-7.6633315481408171E-2</v>
      </c>
      <c r="R27">
        <f t="shared" si="0"/>
        <v>1.3207218715406632</v>
      </c>
    </row>
    <row r="28" spans="1:29" x14ac:dyDescent="0.35">
      <c r="A28">
        <v>27</v>
      </c>
      <c r="B28" s="4">
        <v>0.50553899999999996</v>
      </c>
      <c r="C28" s="4">
        <v>0.87478400000000001</v>
      </c>
      <c r="N28">
        <v>27</v>
      </c>
      <c r="O28" s="4">
        <v>0.87478400000000001</v>
      </c>
      <c r="P28">
        <f t="shared" si="1"/>
        <v>0.84679843105639385</v>
      </c>
      <c r="Q28">
        <f t="shared" si="2"/>
        <v>2.7985568943606154E-2</v>
      </c>
      <c r="R28">
        <f t="shared" si="0"/>
        <v>1.3607817546657404</v>
      </c>
    </row>
    <row r="29" spans="1:29" x14ac:dyDescent="0.35">
      <c r="A29">
        <v>28</v>
      </c>
      <c r="B29" s="4">
        <v>0.61654699999999996</v>
      </c>
      <c r="C29" s="4">
        <v>1.0539400000000001</v>
      </c>
      <c r="N29">
        <v>28</v>
      </c>
      <c r="O29" s="4">
        <v>1.0539400000000001</v>
      </c>
      <c r="P29">
        <f t="shared" si="1"/>
        <v>0.91234552429807891</v>
      </c>
      <c r="Q29">
        <f t="shared" si="2"/>
        <v>0.14159447570192119</v>
      </c>
      <c r="R29">
        <f t="shared" si="0"/>
        <v>1.2152472510851116</v>
      </c>
    </row>
    <row r="30" spans="1:29" x14ac:dyDescent="0.35">
      <c r="A30">
        <v>29</v>
      </c>
      <c r="B30" s="4">
        <v>0.46691899999999997</v>
      </c>
      <c r="C30" s="4">
        <v>0.99388799999999999</v>
      </c>
      <c r="N30">
        <v>29</v>
      </c>
      <c r="O30" s="4">
        <v>0.99388799999999999</v>
      </c>
      <c r="P30">
        <f t="shared" si="1"/>
        <v>0.99850599384778271</v>
      </c>
      <c r="Q30">
        <f t="shared" si="2"/>
        <v>-4.6179938477827198E-3</v>
      </c>
      <c r="R30">
        <f t="shared" si="0"/>
        <v>1.3668821732185912</v>
      </c>
    </row>
    <row r="31" spans="1:29" x14ac:dyDescent="0.35">
      <c r="A31">
        <v>30</v>
      </c>
      <c r="B31" s="4">
        <v>0.61338800000000004</v>
      </c>
      <c r="C31" s="4">
        <v>1.11033</v>
      </c>
      <c r="N31">
        <v>30</v>
      </c>
      <c r="O31" s="4">
        <v>1.11033</v>
      </c>
      <c r="P31">
        <f t="shared" si="1"/>
        <v>0.96962552923929157</v>
      </c>
      <c r="Q31">
        <f t="shared" si="2"/>
        <v>0.14070447076070847</v>
      </c>
      <c r="R31">
        <f t="shared" si="0"/>
        <v>1.2170411892173161</v>
      </c>
    </row>
    <row r="32" spans="1:29" x14ac:dyDescent="0.35">
      <c r="A32">
        <v>31</v>
      </c>
      <c r="B32" s="4">
        <v>0.39295999999999998</v>
      </c>
      <c r="C32" s="4">
        <v>0.94812600000000002</v>
      </c>
      <c r="N32">
        <v>31</v>
      </c>
      <c r="O32" s="4">
        <v>0.94812600000000002</v>
      </c>
      <c r="P32">
        <f t="shared" si="1"/>
        <v>1.0256253137584068</v>
      </c>
      <c r="Q32">
        <f t="shared" si="2"/>
        <v>-7.7499313758406796E-2</v>
      </c>
      <c r="R32">
        <f t="shared" si="0"/>
        <v>1.3196872688365351</v>
      </c>
    </row>
    <row r="33" spans="1:18" x14ac:dyDescent="0.35">
      <c r="A33">
        <v>32</v>
      </c>
      <c r="B33" s="4">
        <v>0.70535300000000001</v>
      </c>
      <c r="C33" s="4">
        <v>1.1794199999999999</v>
      </c>
      <c r="N33">
        <v>32</v>
      </c>
      <c r="O33" s="4">
        <v>1.1794199999999999</v>
      </c>
      <c r="P33">
        <f t="shared" si="1"/>
        <v>0.94761747253154227</v>
      </c>
      <c r="Q33">
        <f t="shared" si="2"/>
        <v>0.23180252746845764</v>
      </c>
      <c r="R33">
        <f t="shared" si="0"/>
        <v>0.99719220411108422</v>
      </c>
    </row>
    <row r="34" spans="1:18" x14ac:dyDescent="0.35">
      <c r="A34">
        <v>33</v>
      </c>
      <c r="B34" s="4">
        <v>5.96924E-2</v>
      </c>
      <c r="C34" s="4">
        <v>0.64939999999999998</v>
      </c>
      <c r="N34">
        <v>33</v>
      </c>
      <c r="O34" s="4">
        <v>0.64939999999999998</v>
      </c>
      <c r="P34">
        <f t="shared" si="1"/>
        <v>1.0588523719712997</v>
      </c>
      <c r="Q34">
        <f t="shared" si="2"/>
        <v>-0.40945237197129969</v>
      </c>
      <c r="R34">
        <f t="shared" si="0"/>
        <v>0.51086872511666026</v>
      </c>
    </row>
    <row r="35" spans="1:18" x14ac:dyDescent="0.35">
      <c r="A35">
        <v>34</v>
      </c>
      <c r="B35" s="4">
        <v>0.31718400000000002</v>
      </c>
      <c r="C35" s="4">
        <v>0.64188500000000004</v>
      </c>
      <c r="N35">
        <v>34</v>
      </c>
      <c r="O35" s="4">
        <v>0.64188500000000004</v>
      </c>
      <c r="P35">
        <f t="shared" si="1"/>
        <v>0.80395288732811732</v>
      </c>
      <c r="Q35">
        <f t="shared" si="2"/>
        <v>-0.16206788732811728</v>
      </c>
      <c r="R35">
        <f t="shared" si="0"/>
        <v>1.1716895765195441</v>
      </c>
    </row>
    <row r="36" spans="1:18" x14ac:dyDescent="0.35">
      <c r="A36">
        <v>35</v>
      </c>
      <c r="B36" s="4">
        <v>0.93118299999999998</v>
      </c>
      <c r="C36" s="4">
        <v>1.25213</v>
      </c>
      <c r="N36">
        <v>35</v>
      </c>
      <c r="O36" s="4">
        <v>1.25213</v>
      </c>
      <c r="P36">
        <f t="shared" si="1"/>
        <v>0.80033874139571193</v>
      </c>
      <c r="Q36">
        <f t="shared" si="2"/>
        <v>0.45179125860428804</v>
      </c>
      <c r="R36">
        <f t="shared" si="0"/>
        <v>0.41241398308840294</v>
      </c>
    </row>
    <row r="37" spans="1:18" x14ac:dyDescent="0.35">
      <c r="A37">
        <v>36</v>
      </c>
      <c r="B37" s="4">
        <v>0.57911699999999999</v>
      </c>
      <c r="C37" s="4">
        <v>1.2051799999999999</v>
      </c>
      <c r="N37">
        <v>36</v>
      </c>
      <c r="O37" s="4">
        <v>1.2051799999999999</v>
      </c>
      <c r="P37">
        <f t="shared" si="1"/>
        <v>1.093820376062477</v>
      </c>
      <c r="Q37">
        <f t="shared" si="2"/>
        <v>0.11135962393752297</v>
      </c>
      <c r="R37">
        <f t="shared" si="0"/>
        <v>1.2710585246465602</v>
      </c>
    </row>
    <row r="38" spans="1:18" x14ac:dyDescent="0.35">
      <c r="A38">
        <v>37</v>
      </c>
      <c r="B38" s="4">
        <v>0.30058299999999999</v>
      </c>
      <c r="C38" s="4">
        <v>0.903173</v>
      </c>
      <c r="N38">
        <v>37</v>
      </c>
      <c r="O38" s="4">
        <v>0.903173</v>
      </c>
      <c r="P38">
        <f t="shared" si="1"/>
        <v>1.0712409813151138</v>
      </c>
      <c r="Q38">
        <f t="shared" si="2"/>
        <v>-0.1680679813151138</v>
      </c>
      <c r="R38">
        <f t="shared" si="0"/>
        <v>1.1581420132073452</v>
      </c>
    </row>
    <row r="39" spans="1:18" x14ac:dyDescent="0.35">
      <c r="A39">
        <v>38</v>
      </c>
      <c r="B39" s="4">
        <v>5.87921E-2</v>
      </c>
      <c r="C39" s="4">
        <v>0.510378</v>
      </c>
      <c r="N39">
        <v>38</v>
      </c>
      <c r="O39" s="4">
        <v>0.510378</v>
      </c>
      <c r="P39">
        <f t="shared" si="1"/>
        <v>0.92599848356289016</v>
      </c>
      <c r="Q39">
        <f t="shared" si="2"/>
        <v>-0.41562048356289016</v>
      </c>
      <c r="R39">
        <f t="shared" si="0"/>
        <v>0.49583029000093198</v>
      </c>
    </row>
    <row r="40" spans="1:18" x14ac:dyDescent="0.35">
      <c r="A40">
        <v>39</v>
      </c>
      <c r="B40" s="4">
        <v>0.31303399999999998</v>
      </c>
      <c r="C40" s="4">
        <v>0.56822300000000003</v>
      </c>
      <c r="N40">
        <v>39</v>
      </c>
      <c r="O40" s="4">
        <v>0.56822300000000003</v>
      </c>
      <c r="P40">
        <f t="shared" si="1"/>
        <v>0.73709383266213391</v>
      </c>
      <c r="Q40">
        <f t="shared" si="2"/>
        <v>-0.16887083266213387</v>
      </c>
      <c r="R40">
        <f t="shared" si="0"/>
        <v>1.1563041044143012</v>
      </c>
    </row>
    <row r="41" spans="1:18" x14ac:dyDescent="0.35">
      <c r="A41">
        <v>40</v>
      </c>
      <c r="B41" s="4">
        <v>0.41755700000000001</v>
      </c>
      <c r="C41" s="4">
        <v>0.70166799999999996</v>
      </c>
      <c r="N41">
        <v>40</v>
      </c>
      <c r="O41" s="4">
        <v>0.70166799999999996</v>
      </c>
      <c r="P41">
        <f t="shared" si="1"/>
        <v>0.76491289739400237</v>
      </c>
      <c r="Q41">
        <f t="shared" si="2"/>
        <v>-6.3244897394002408E-2</v>
      </c>
      <c r="R41">
        <f t="shared" si="0"/>
        <v>1.3353234983362825</v>
      </c>
    </row>
    <row r="42" spans="1:18" x14ac:dyDescent="0.35">
      <c r="A42">
        <v>41</v>
      </c>
      <c r="B42" s="4">
        <v>0.97019999999999995</v>
      </c>
      <c r="C42" s="4">
        <v>1.3210299999999999</v>
      </c>
      <c r="N42">
        <v>41</v>
      </c>
      <c r="O42" s="4">
        <v>1.3210299999999999</v>
      </c>
      <c r="P42">
        <f t="shared" si="1"/>
        <v>0.82908983737402098</v>
      </c>
      <c r="Q42">
        <f t="shared" si="2"/>
        <v>0.49194016262597895</v>
      </c>
      <c r="R42">
        <f t="shared" si="0"/>
        <v>0.33015831703054754</v>
      </c>
    </row>
    <row r="43" spans="1:18" x14ac:dyDescent="0.35">
      <c r="A43">
        <v>42</v>
      </c>
      <c r="B43" s="4">
        <v>0.207764</v>
      </c>
      <c r="C43" s="4">
        <v>0.86828099999999997</v>
      </c>
      <c r="N43">
        <v>42</v>
      </c>
      <c r="O43" s="4">
        <v>0.86828099999999997</v>
      </c>
      <c r="P43">
        <f t="shared" si="1"/>
        <v>1.1269560586629737</v>
      </c>
      <c r="Q43">
        <f t="shared" si="2"/>
        <v>-0.25867505866297369</v>
      </c>
      <c r="R43">
        <f t="shared" si="0"/>
        <v>0.92293610407236448</v>
      </c>
    </row>
    <row r="44" spans="1:18" x14ac:dyDescent="0.35">
      <c r="A44">
        <v>43</v>
      </c>
      <c r="B44" s="4">
        <v>0.13600200000000001</v>
      </c>
      <c r="C44" s="4">
        <v>0.57014200000000004</v>
      </c>
      <c r="N44">
        <v>43</v>
      </c>
      <c r="O44" s="4">
        <v>0.57014200000000004</v>
      </c>
      <c r="P44">
        <f t="shared" si="1"/>
        <v>0.90921807373275176</v>
      </c>
      <c r="Q44">
        <f t="shared" si="2"/>
        <v>-0.33907607373275173</v>
      </c>
      <c r="R44">
        <f t="shared" si="0"/>
        <v>0.69603175029530484</v>
      </c>
    </row>
    <row r="45" spans="1:18" x14ac:dyDescent="0.35">
      <c r="A45">
        <v>44</v>
      </c>
      <c r="B45" s="4">
        <v>0.96398899999999998</v>
      </c>
      <c r="C45" s="4">
        <v>1.2490600000000001</v>
      </c>
      <c r="N45">
        <v>44</v>
      </c>
      <c r="O45" s="4">
        <v>1.2490600000000001</v>
      </c>
      <c r="P45">
        <f t="shared" si="1"/>
        <v>0.76583579107920341</v>
      </c>
      <c r="Q45">
        <f t="shared" si="2"/>
        <v>0.48322420892079665</v>
      </c>
      <c r="R45">
        <f t="shared" si="0"/>
        <v>0.34705170664992485</v>
      </c>
    </row>
    <row r="46" spans="1:18" x14ac:dyDescent="0.35">
      <c r="A46">
        <v>45</v>
      </c>
      <c r="B46" s="4">
        <v>0.96064799999999995</v>
      </c>
      <c r="C46" s="4">
        <v>1.58518</v>
      </c>
      <c r="N46">
        <v>45</v>
      </c>
      <c r="O46" s="4">
        <v>1.58518</v>
      </c>
      <c r="P46">
        <f t="shared" si="1"/>
        <v>1.0923439385358655</v>
      </c>
      <c r="Q46">
        <f t="shared" si="2"/>
        <v>0.4928360614641345</v>
      </c>
      <c r="R46">
        <f t="shared" si="0"/>
        <v>0.32845256754085028</v>
      </c>
    </row>
    <row r="47" spans="1:18" x14ac:dyDescent="0.35">
      <c r="A47">
        <v>46</v>
      </c>
      <c r="B47" s="4">
        <v>0.771011</v>
      </c>
      <c r="C47" s="4">
        <v>1.5636000000000001</v>
      </c>
      <c r="N47">
        <v>46</v>
      </c>
      <c r="O47" s="4">
        <v>1.5636000000000001</v>
      </c>
      <c r="P47">
        <f t="shared" si="1"/>
        <v>1.2539922061074034</v>
      </c>
      <c r="Q47">
        <f t="shared" si="2"/>
        <v>0.30960779389259674</v>
      </c>
      <c r="R47">
        <f t="shared" si="0"/>
        <v>0.77869948501025366</v>
      </c>
    </row>
    <row r="48" spans="1:18" x14ac:dyDescent="0.35">
      <c r="A48">
        <v>47</v>
      </c>
      <c r="B48" s="4">
        <v>0.40643299999999999</v>
      </c>
      <c r="C48" s="4">
        <v>1.1882299999999999</v>
      </c>
      <c r="N48">
        <v>47</v>
      </c>
      <c r="O48" s="4">
        <v>1.1882299999999999</v>
      </c>
      <c r="P48">
        <f t="shared" si="1"/>
        <v>1.2436138602363045</v>
      </c>
      <c r="Q48">
        <f t="shared" si="2"/>
        <v>-5.5383860236304594E-2</v>
      </c>
      <c r="R48">
        <f t="shared" si="0"/>
        <v>1.3426545545399904</v>
      </c>
    </row>
    <row r="49" spans="1:18" x14ac:dyDescent="0.35">
      <c r="A49">
        <v>48</v>
      </c>
      <c r="B49" s="4">
        <v>8.3175700000000005E-2</v>
      </c>
      <c r="C49" s="4">
        <v>0.67729200000000001</v>
      </c>
      <c r="N49">
        <v>48</v>
      </c>
      <c r="O49" s="4">
        <v>0.67729200000000001</v>
      </c>
      <c r="P49">
        <f t="shared" si="1"/>
        <v>1.063089314840826</v>
      </c>
      <c r="Q49">
        <f t="shared" si="2"/>
        <v>-0.38579731484082602</v>
      </c>
      <c r="R49">
        <f t="shared" si="0"/>
        <v>0.57052570607953712</v>
      </c>
    </row>
    <row r="50" spans="1:18" x14ac:dyDescent="0.35">
      <c r="A50">
        <v>49</v>
      </c>
      <c r="B50" s="4">
        <v>0.160187</v>
      </c>
      <c r="C50" s="4">
        <v>0.49883300000000003</v>
      </c>
      <c r="N50">
        <v>49</v>
      </c>
      <c r="O50" s="4">
        <v>0.49883300000000003</v>
      </c>
      <c r="P50">
        <f t="shared" si="1"/>
        <v>0.81736682722787135</v>
      </c>
      <c r="Q50">
        <f t="shared" si="2"/>
        <v>-0.31853382722787132</v>
      </c>
      <c r="R50">
        <f t="shared" si="0"/>
        <v>0.75348336591066534</v>
      </c>
    </row>
    <row r="51" spans="1:18" x14ac:dyDescent="0.35">
      <c r="A51">
        <v>50</v>
      </c>
      <c r="B51" s="4">
        <v>0.328934</v>
      </c>
      <c r="C51" s="4">
        <v>0.57835000000000003</v>
      </c>
      <c r="N51">
        <v>50</v>
      </c>
      <c r="O51" s="4">
        <v>0.57835000000000003</v>
      </c>
      <c r="P51">
        <f t="shared" si="1"/>
        <v>0.73154156189837871</v>
      </c>
      <c r="Q51">
        <f t="shared" si="2"/>
        <v>-0.15319156189837868</v>
      </c>
      <c r="R51">
        <f t="shared" si="0"/>
        <v>1.1910987555816042</v>
      </c>
    </row>
    <row r="52" spans="1:18" x14ac:dyDescent="0.35">
      <c r="A52">
        <v>51</v>
      </c>
      <c r="B52" s="4">
        <v>0.50087000000000004</v>
      </c>
      <c r="C52" s="4">
        <v>0.790045</v>
      </c>
      <c r="N52">
        <v>51</v>
      </c>
      <c r="O52" s="4">
        <v>0.790045</v>
      </c>
      <c r="P52">
        <f t="shared" si="1"/>
        <v>0.76978321753471679</v>
      </c>
      <c r="Q52">
        <f t="shared" si="2"/>
        <v>2.0261782465283207E-2</v>
      </c>
      <c r="R52">
        <f t="shared" si="0"/>
        <v>1.3637622481649792</v>
      </c>
    </row>
    <row r="53" spans="1:18" x14ac:dyDescent="0.35">
      <c r="A53">
        <v>52</v>
      </c>
      <c r="B53" s="4">
        <v>0.31446800000000003</v>
      </c>
      <c r="C53" s="4">
        <v>0.70949099999999998</v>
      </c>
      <c r="N53">
        <v>52</v>
      </c>
      <c r="O53" s="4">
        <v>0.70949099999999998</v>
      </c>
      <c r="P53">
        <f t="shared" si="1"/>
        <v>0.87159248209367401</v>
      </c>
      <c r="Q53">
        <f t="shared" si="2"/>
        <v>-0.16210148209367403</v>
      </c>
      <c r="R53">
        <f t="shared" si="0"/>
        <v>1.1716146625072201</v>
      </c>
    </row>
    <row r="54" spans="1:18" x14ac:dyDescent="0.35">
      <c r="A54">
        <v>53</v>
      </c>
      <c r="B54" s="4">
        <v>0.39263900000000002</v>
      </c>
      <c r="C54" s="4">
        <v>0.74738499999999997</v>
      </c>
      <c r="N54">
        <v>53</v>
      </c>
      <c r="O54" s="4">
        <v>0.74738499999999997</v>
      </c>
      <c r="P54">
        <f t="shared" si="1"/>
        <v>0.83285210798336329</v>
      </c>
      <c r="Q54">
        <f t="shared" si="2"/>
        <v>-8.5467107983363322E-2</v>
      </c>
      <c r="R54">
        <f t="shared" si="0"/>
        <v>1.3096648240833459</v>
      </c>
    </row>
    <row r="55" spans="1:18" x14ac:dyDescent="0.35">
      <c r="A55">
        <v>54</v>
      </c>
      <c r="B55" s="4">
        <v>0.147339</v>
      </c>
      <c r="C55" s="4">
        <v>0.52103100000000002</v>
      </c>
      <c r="N55">
        <v>54</v>
      </c>
      <c r="O55" s="4">
        <v>0.52103100000000002</v>
      </c>
      <c r="P55">
        <f t="shared" si="1"/>
        <v>0.8510762524893607</v>
      </c>
      <c r="Q55">
        <f t="shared" si="2"/>
        <v>-0.33004525248936067</v>
      </c>
      <c r="R55">
        <f t="shared" si="0"/>
        <v>0.72116846805328461</v>
      </c>
    </row>
    <row r="56" spans="1:18" x14ac:dyDescent="0.35">
      <c r="A56">
        <v>55</v>
      </c>
      <c r="B56" s="4">
        <v>0.39483600000000002</v>
      </c>
      <c r="C56" s="4">
        <v>0.65535200000000005</v>
      </c>
      <c r="N56">
        <v>55</v>
      </c>
      <c r="O56" s="4">
        <v>0.65535200000000005</v>
      </c>
      <c r="P56">
        <f t="shared" si="1"/>
        <v>0.74221711897190312</v>
      </c>
      <c r="Q56">
        <f t="shared" si="2"/>
        <v>-8.6865118971903077E-2</v>
      </c>
      <c r="R56">
        <f t="shared" si="0"/>
        <v>1.3078136344132725</v>
      </c>
    </row>
    <row r="57" spans="1:18" x14ac:dyDescent="0.35">
      <c r="A57">
        <v>56</v>
      </c>
      <c r="B57" s="4">
        <v>0.107941</v>
      </c>
      <c r="C57" s="4">
        <v>0.43561699999999998</v>
      </c>
      <c r="N57">
        <v>56</v>
      </c>
      <c r="O57" s="4">
        <v>0.43561699999999998</v>
      </c>
      <c r="P57">
        <f t="shared" si="1"/>
        <v>0.80681534861749549</v>
      </c>
      <c r="Q57">
        <f t="shared" si="2"/>
        <v>-0.37119834861749551</v>
      </c>
      <c r="R57">
        <f t="shared" si="0"/>
        <v>0.6087709128936698</v>
      </c>
    </row>
    <row r="58" spans="1:18" x14ac:dyDescent="0.35">
      <c r="A58">
        <v>57</v>
      </c>
      <c r="B58" s="4">
        <v>0.201599</v>
      </c>
      <c r="C58" s="4">
        <v>0.41940699999999997</v>
      </c>
      <c r="N58">
        <v>57</v>
      </c>
      <c r="O58" s="4">
        <v>0.41940699999999997</v>
      </c>
      <c r="P58">
        <f t="shared" si="1"/>
        <v>0.70113945288135404</v>
      </c>
      <c r="Q58">
        <f t="shared" si="2"/>
        <v>-0.28173245288135407</v>
      </c>
      <c r="R58">
        <f t="shared" si="0"/>
        <v>0.8578279848219017</v>
      </c>
    </row>
    <row r="59" spans="1:18" x14ac:dyDescent="0.35">
      <c r="A59">
        <v>58</v>
      </c>
      <c r="B59" s="4">
        <v>0.40118399999999999</v>
      </c>
      <c r="C59" s="4">
        <v>0.61088799999999999</v>
      </c>
      <c r="N59">
        <v>58</v>
      </c>
      <c r="O59" s="4">
        <v>0.61088799999999999</v>
      </c>
      <c r="P59">
        <f t="shared" si="1"/>
        <v>0.69334367037113553</v>
      </c>
      <c r="Q59">
        <f t="shared" si="2"/>
        <v>-8.2455670371135548E-2</v>
      </c>
      <c r="R59">
        <f t="shared" si="0"/>
        <v>1.3135589437236233</v>
      </c>
    </row>
    <row r="60" spans="1:18" x14ac:dyDescent="0.35">
      <c r="A60">
        <v>59</v>
      </c>
      <c r="B60" s="4">
        <v>0.93106100000000003</v>
      </c>
      <c r="C60" s="4">
        <v>1.2364999999999999</v>
      </c>
      <c r="N60">
        <v>59</v>
      </c>
      <c r="O60" s="4">
        <v>1.2364999999999999</v>
      </c>
      <c r="P60">
        <f t="shared" si="1"/>
        <v>0.78543153161969448</v>
      </c>
      <c r="Q60">
        <f t="shared" si="2"/>
        <v>0.45106846838030545</v>
      </c>
      <c r="R60">
        <f t="shared" si="0"/>
        <v>0.41399712174496195</v>
      </c>
    </row>
    <row r="61" spans="1:18" x14ac:dyDescent="0.35">
      <c r="A61">
        <v>60</v>
      </c>
      <c r="B61" s="4">
        <v>0.57188399999999995</v>
      </c>
      <c r="C61" s="4">
        <v>1.19014</v>
      </c>
      <c r="N61">
        <v>60</v>
      </c>
      <c r="O61" s="4">
        <v>1.19014</v>
      </c>
      <c r="P61">
        <f t="shared" si="1"/>
        <v>1.0863035296322046</v>
      </c>
      <c r="Q61">
        <f t="shared" si="2"/>
        <v>0.10383647036779542</v>
      </c>
      <c r="R61">
        <f t="shared" si="0"/>
        <v>1.2831976187479612</v>
      </c>
    </row>
    <row r="62" spans="1:18" x14ac:dyDescent="0.35">
      <c r="A62">
        <v>61</v>
      </c>
      <c r="B62" s="4">
        <v>0.672516</v>
      </c>
      <c r="C62" s="4">
        <v>1.2675799999999999</v>
      </c>
      <c r="N62">
        <v>61</v>
      </c>
      <c r="O62" s="4">
        <v>1.2675799999999999</v>
      </c>
      <c r="P62">
        <f t="shared" si="1"/>
        <v>1.0640078802075452</v>
      </c>
      <c r="Q62">
        <f t="shared" si="2"/>
        <v>0.20357211979245471</v>
      </c>
      <c r="R62">
        <f t="shared" si="0"/>
        <v>1.0718102165351344</v>
      </c>
    </row>
    <row r="63" spans="1:18" x14ac:dyDescent="0.35">
      <c r="A63">
        <v>62</v>
      </c>
      <c r="B63" s="4">
        <v>0.206207</v>
      </c>
      <c r="C63" s="4">
        <v>0.83999900000000005</v>
      </c>
      <c r="N63">
        <v>62</v>
      </c>
      <c r="O63" s="4">
        <v>0.83999900000000005</v>
      </c>
      <c r="P63">
        <f t="shared" si="1"/>
        <v>1.1012506561231108</v>
      </c>
      <c r="Q63">
        <f t="shared" si="2"/>
        <v>-0.26125165612311074</v>
      </c>
      <c r="R63">
        <f t="shared" si="0"/>
        <v>0.91570550399559869</v>
      </c>
    </row>
    <row r="64" spans="1:18" x14ac:dyDescent="0.35">
      <c r="A64">
        <v>63</v>
      </c>
      <c r="B64" s="4">
        <v>0.85505699999999996</v>
      </c>
      <c r="C64" s="4">
        <v>1.2750600000000001</v>
      </c>
      <c r="N64">
        <v>63</v>
      </c>
      <c r="O64" s="4">
        <v>1.2750600000000001</v>
      </c>
      <c r="P64">
        <f t="shared" si="1"/>
        <v>0.89561657336544775</v>
      </c>
      <c r="Q64">
        <f t="shared" si="2"/>
        <v>0.37944342663455233</v>
      </c>
      <c r="R64">
        <f t="shared" si="0"/>
        <v>0.58704712239072443</v>
      </c>
    </row>
    <row r="65" spans="1:18" x14ac:dyDescent="0.35">
      <c r="A65">
        <v>64</v>
      </c>
      <c r="B65" s="4">
        <v>7.1411100000000005E-2</v>
      </c>
      <c r="C65" s="4">
        <v>0.70893899999999999</v>
      </c>
      <c r="N65">
        <v>64</v>
      </c>
      <c r="O65" s="4">
        <v>0.70893899999999999</v>
      </c>
      <c r="P65">
        <f t="shared" si="1"/>
        <v>1.1048479697058644</v>
      </c>
      <c r="Q65">
        <f t="shared" si="2"/>
        <v>-0.39590896970586442</v>
      </c>
      <c r="R65">
        <f t="shared" si="0"/>
        <v>0.54465408813680083</v>
      </c>
    </row>
    <row r="66" spans="1:18" x14ac:dyDescent="0.35">
      <c r="A66">
        <v>65</v>
      </c>
      <c r="B66" s="4">
        <v>0.28871200000000002</v>
      </c>
      <c r="C66" s="4">
        <v>0.643181</v>
      </c>
      <c r="N66">
        <v>65</v>
      </c>
      <c r="O66" s="4">
        <v>0.643181</v>
      </c>
      <c r="P66">
        <f t="shared" si="1"/>
        <v>0.83258663778313868</v>
      </c>
      <c r="Q66">
        <f t="shared" si="2"/>
        <v>-0.18940563778313868</v>
      </c>
      <c r="R66">
        <f t="shared" si="0"/>
        <v>1.1074213246934965</v>
      </c>
    </row>
    <row r="67" spans="1:18" x14ac:dyDescent="0.35">
      <c r="A67">
        <v>66</v>
      </c>
      <c r="B67" s="4">
        <v>0.62800599999999995</v>
      </c>
      <c r="C67" s="4">
        <v>0.94959700000000002</v>
      </c>
      <c r="N67">
        <v>66</v>
      </c>
      <c r="O67" s="4">
        <v>0.94959700000000002</v>
      </c>
      <c r="P67">
        <f t="shared" si="1"/>
        <v>0.80096201925710875</v>
      </c>
      <c r="Q67">
        <f t="shared" si="2"/>
        <v>0.14863498074289128</v>
      </c>
      <c r="R67">
        <f t="shared" ref="R67:R130" si="3">_xlfn.NORM.DIST(Q67,0,$W$8,FALSE)</f>
        <v>1.2007552531724031</v>
      </c>
    </row>
    <row r="68" spans="1:18" x14ac:dyDescent="0.35">
      <c r="A68">
        <v>67</v>
      </c>
      <c r="B68" s="4">
        <v>2.3208599999999999E-2</v>
      </c>
      <c r="C68" s="4">
        <v>0.49800699999999998</v>
      </c>
      <c r="N68">
        <v>67</v>
      </c>
      <c r="O68" s="4">
        <v>0.49800699999999998</v>
      </c>
      <c r="P68">
        <f t="shared" ref="P68:P131" si="4">$U$2+$U$3*O67</f>
        <v>0.94832491214119874</v>
      </c>
      <c r="Q68">
        <f t="shared" ref="Q68:Q131" si="5">O68-P68</f>
        <v>-0.45031791214119876</v>
      </c>
      <c r="R68">
        <f t="shared" si="3"/>
        <v>0.41564481037060702</v>
      </c>
    </row>
    <row r="69" spans="1:18" x14ac:dyDescent="0.35">
      <c r="A69">
        <v>68</v>
      </c>
      <c r="B69" s="4">
        <v>0.13549800000000001</v>
      </c>
      <c r="C69" s="4">
        <v>0.38450200000000001</v>
      </c>
      <c r="N69">
        <v>68</v>
      </c>
      <c r="O69" s="4">
        <v>0.38450200000000001</v>
      </c>
      <c r="P69">
        <f t="shared" si="4"/>
        <v>0.73114431844659333</v>
      </c>
      <c r="Q69">
        <f t="shared" si="5"/>
        <v>-0.34664231844659332</v>
      </c>
      <c r="R69">
        <f t="shared" si="3"/>
        <v>0.67514945450861164</v>
      </c>
    </row>
    <row r="70" spans="1:18" x14ac:dyDescent="0.35">
      <c r="A70">
        <v>69</v>
      </c>
      <c r="B70" s="4">
        <v>0.33892800000000001</v>
      </c>
      <c r="C70" s="4">
        <v>0.53117899999999996</v>
      </c>
      <c r="N70">
        <v>69</v>
      </c>
      <c r="O70" s="4">
        <v>0.53117899999999996</v>
      </c>
      <c r="P70">
        <f t="shared" si="4"/>
        <v>0.67655700852541223</v>
      </c>
      <c r="Q70">
        <f t="shared" si="5"/>
        <v>-0.14537800852541227</v>
      </c>
      <c r="R70">
        <f t="shared" si="3"/>
        <v>1.2075250752537789</v>
      </c>
    </row>
    <row r="71" spans="1:18" x14ac:dyDescent="0.35">
      <c r="A71">
        <v>70</v>
      </c>
      <c r="B71" s="4">
        <v>0.60969499999999999</v>
      </c>
      <c r="C71" s="4">
        <v>0.87528499999999998</v>
      </c>
      <c r="N71">
        <v>70</v>
      </c>
      <c r="O71" s="4">
        <v>0.87528499999999998</v>
      </c>
      <c r="P71">
        <f t="shared" si="4"/>
        <v>0.74709753852240868</v>
      </c>
      <c r="Q71">
        <f t="shared" si="5"/>
        <v>0.1281874614775913</v>
      </c>
      <c r="R71">
        <f t="shared" si="3"/>
        <v>1.2413297859134407</v>
      </c>
    </row>
    <row r="72" spans="1:18" x14ac:dyDescent="0.35">
      <c r="A72">
        <v>71</v>
      </c>
      <c r="B72" s="4">
        <v>0.170074</v>
      </c>
      <c r="C72" s="4">
        <v>0.60771699999999995</v>
      </c>
      <c r="N72">
        <v>71</v>
      </c>
      <c r="O72" s="4">
        <v>0.60771699999999995</v>
      </c>
      <c r="P72">
        <f t="shared" si="4"/>
        <v>0.91258646736023918</v>
      </c>
      <c r="Q72">
        <f t="shared" si="5"/>
        <v>-0.30486946736023923</v>
      </c>
      <c r="R72">
        <f t="shared" si="3"/>
        <v>0.79212524085065628</v>
      </c>
    </row>
    <row r="73" spans="1:18" x14ac:dyDescent="0.35">
      <c r="A73">
        <v>72</v>
      </c>
      <c r="B73" s="4">
        <v>0.56990099999999999</v>
      </c>
      <c r="C73" s="4">
        <v>0.87375899999999995</v>
      </c>
      <c r="N73">
        <v>72</v>
      </c>
      <c r="O73" s="4">
        <v>0.87375899999999995</v>
      </c>
      <c r="P73">
        <f t="shared" si="4"/>
        <v>0.78390652074123035</v>
      </c>
      <c r="Q73">
        <f t="shared" si="5"/>
        <v>8.9852479258769602E-2</v>
      </c>
      <c r="R73">
        <f t="shared" si="3"/>
        <v>1.3037663737068506</v>
      </c>
    </row>
    <row r="74" spans="1:18" x14ac:dyDescent="0.35">
      <c r="A74">
        <v>73</v>
      </c>
      <c r="B74" s="4">
        <v>0.41642800000000002</v>
      </c>
      <c r="C74" s="4">
        <v>0.85330700000000004</v>
      </c>
      <c r="N74">
        <v>73</v>
      </c>
      <c r="O74" s="4">
        <v>0.85330700000000004</v>
      </c>
      <c r="P74">
        <f t="shared" si="4"/>
        <v>0.91185257691541532</v>
      </c>
      <c r="Q74">
        <f t="shared" si="5"/>
        <v>-5.8545576915415287E-2</v>
      </c>
      <c r="R74">
        <f t="shared" si="3"/>
        <v>1.3398180412460181</v>
      </c>
    </row>
    <row r="75" spans="1:18" x14ac:dyDescent="0.35">
      <c r="A75">
        <v>74</v>
      </c>
      <c r="B75" s="4">
        <v>0.96992500000000004</v>
      </c>
      <c r="C75" s="4">
        <v>1.3965799999999999</v>
      </c>
      <c r="N75">
        <v>74</v>
      </c>
      <c r="O75" s="4">
        <v>1.3965799999999999</v>
      </c>
      <c r="P75">
        <f t="shared" si="4"/>
        <v>0.90201671362738411</v>
      </c>
      <c r="Q75">
        <f t="shared" si="5"/>
        <v>0.49456328637261582</v>
      </c>
      <c r="R75">
        <f t="shared" si="3"/>
        <v>0.325180195285592</v>
      </c>
    </row>
    <row r="76" spans="1:18" x14ac:dyDescent="0.35">
      <c r="A76">
        <v>75</v>
      </c>
      <c r="B76" s="4">
        <v>0.76258899999999996</v>
      </c>
      <c r="C76" s="4">
        <v>1.46088</v>
      </c>
      <c r="N76">
        <v>75</v>
      </c>
      <c r="O76" s="4">
        <v>1.46088</v>
      </c>
      <c r="P76">
        <f t="shared" si="4"/>
        <v>1.1632898876973354</v>
      </c>
      <c r="Q76">
        <f t="shared" si="5"/>
        <v>0.29759011230266452</v>
      </c>
      <c r="R76">
        <f t="shared" si="3"/>
        <v>0.81278563172646301</v>
      </c>
    </row>
    <row r="77" spans="1:18" x14ac:dyDescent="0.35">
      <c r="A77">
        <v>76</v>
      </c>
      <c r="B77" s="4">
        <v>0.960785</v>
      </c>
      <c r="C77" s="4">
        <v>1.6912199999999999</v>
      </c>
      <c r="N77">
        <v>76</v>
      </c>
      <c r="O77" s="4">
        <v>1.6912199999999999</v>
      </c>
      <c r="P77">
        <f t="shared" si="4"/>
        <v>1.1942133186292938</v>
      </c>
      <c r="Q77">
        <f t="shared" si="5"/>
        <v>0.49700668137070614</v>
      </c>
      <c r="R77">
        <f t="shared" si="3"/>
        <v>0.32058740344734704</v>
      </c>
    </row>
    <row r="78" spans="1:18" x14ac:dyDescent="0.35">
      <c r="A78">
        <v>77</v>
      </c>
      <c r="B78" s="4">
        <v>3.11127E-2</v>
      </c>
      <c r="C78" s="4">
        <v>0.87672499999999998</v>
      </c>
      <c r="N78">
        <v>77</v>
      </c>
      <c r="O78" s="4">
        <v>0.87672499999999998</v>
      </c>
      <c r="P78">
        <f t="shared" si="4"/>
        <v>1.3049894163099676</v>
      </c>
      <c r="Q78">
        <f t="shared" si="5"/>
        <v>-0.42826441630996759</v>
      </c>
      <c r="R78">
        <f t="shared" si="3"/>
        <v>0.46572193262468375</v>
      </c>
    </row>
    <row r="79" spans="1:18" x14ac:dyDescent="0.35">
      <c r="A79">
        <v>78</v>
      </c>
      <c r="B79" s="4">
        <v>0.151978</v>
      </c>
      <c r="C79" s="4">
        <v>0.59033999999999998</v>
      </c>
      <c r="N79">
        <v>78</v>
      </c>
      <c r="O79" s="4">
        <v>0.59033999999999998</v>
      </c>
      <c r="P79">
        <f t="shared" si="4"/>
        <v>0.91327899831734682</v>
      </c>
      <c r="Q79">
        <f t="shared" si="5"/>
        <v>-0.32293899831734685</v>
      </c>
      <c r="R79">
        <f t="shared" si="3"/>
        <v>0.74108575855933811</v>
      </c>
    </row>
    <row r="80" spans="1:18" x14ac:dyDescent="0.35">
      <c r="A80">
        <v>79</v>
      </c>
      <c r="B80" s="4">
        <v>0.29933199999999999</v>
      </c>
      <c r="C80" s="4">
        <v>0.59450199999999997</v>
      </c>
      <c r="N80">
        <v>79</v>
      </c>
      <c r="O80" s="4">
        <v>0.59450199999999997</v>
      </c>
      <c r="P80">
        <f t="shared" si="4"/>
        <v>0.77554949960118935</v>
      </c>
      <c r="Q80">
        <f t="shared" si="5"/>
        <v>-0.18104749960118938</v>
      </c>
      <c r="R80">
        <f t="shared" si="3"/>
        <v>1.1277369377644131</v>
      </c>
    </row>
    <row r="81" spans="1:18" x14ac:dyDescent="0.35">
      <c r="A81">
        <v>80</v>
      </c>
      <c r="B81" s="4">
        <v>6.2576300000000001E-2</v>
      </c>
      <c r="C81" s="4">
        <v>0.35982700000000001</v>
      </c>
      <c r="N81">
        <v>80</v>
      </c>
      <c r="O81" s="4">
        <v>0.35982700000000001</v>
      </c>
      <c r="P81">
        <f t="shared" si="4"/>
        <v>0.7775511064369407</v>
      </c>
      <c r="Q81">
        <f t="shared" si="5"/>
        <v>-0.41772410643694069</v>
      </c>
      <c r="R81">
        <f t="shared" si="3"/>
        <v>0.49075321812481359</v>
      </c>
    </row>
    <row r="82" spans="1:18" x14ac:dyDescent="0.35">
      <c r="A82">
        <v>81</v>
      </c>
      <c r="B82" s="4">
        <v>0.91728200000000004</v>
      </c>
      <c r="C82" s="4">
        <v>1.0972</v>
      </c>
      <c r="N82">
        <v>81</v>
      </c>
      <c r="O82" s="4">
        <v>1.0972</v>
      </c>
      <c r="P82">
        <f t="shared" si="4"/>
        <v>0.66469020202080764</v>
      </c>
      <c r="Q82">
        <f t="shared" si="5"/>
        <v>0.43250979797919231</v>
      </c>
      <c r="R82">
        <f t="shared" si="3"/>
        <v>0.45583633523227801</v>
      </c>
    </row>
    <row r="83" spans="1:18" x14ac:dyDescent="0.35">
      <c r="A83">
        <v>82</v>
      </c>
      <c r="B83" s="4">
        <v>0.97262599999999999</v>
      </c>
      <c r="C83" s="4">
        <v>1.52122</v>
      </c>
      <c r="N83">
        <v>82</v>
      </c>
      <c r="O83" s="4">
        <v>1.52122</v>
      </c>
      <c r="P83">
        <f t="shared" si="4"/>
        <v>1.0193107780175574</v>
      </c>
      <c r="Q83">
        <f t="shared" si="5"/>
        <v>0.50190922198244259</v>
      </c>
      <c r="R83">
        <f t="shared" si="3"/>
        <v>0.31150106588425625</v>
      </c>
    </row>
    <row r="84" spans="1:18" x14ac:dyDescent="0.35">
      <c r="A84">
        <v>83</v>
      </c>
      <c r="B84" s="4">
        <v>0.95283499999999999</v>
      </c>
      <c r="C84" s="4">
        <v>1.7134499999999999</v>
      </c>
      <c r="N84">
        <v>83</v>
      </c>
      <c r="O84" s="4">
        <v>1.7134499999999999</v>
      </c>
      <c r="P84">
        <f t="shared" si="4"/>
        <v>1.2232322894292065</v>
      </c>
      <c r="Q84">
        <f t="shared" si="5"/>
        <v>0.49021771057079344</v>
      </c>
      <c r="R84">
        <f t="shared" si="3"/>
        <v>0.3334538831174384</v>
      </c>
    </row>
    <row r="85" spans="1:18" x14ac:dyDescent="0.35">
      <c r="A85">
        <v>84</v>
      </c>
      <c r="B85" s="4">
        <v>0.30329899999999999</v>
      </c>
      <c r="C85" s="4">
        <v>1.1600200000000001</v>
      </c>
      <c r="N85">
        <v>84</v>
      </c>
      <c r="O85" s="4">
        <v>1.1600200000000001</v>
      </c>
      <c r="P85">
        <f t="shared" si="4"/>
        <v>1.3156803629603164</v>
      </c>
      <c r="Q85">
        <f t="shared" si="5"/>
        <v>-0.15566036296031638</v>
      </c>
      <c r="R85">
        <f t="shared" si="3"/>
        <v>1.1857784910696696</v>
      </c>
    </row>
    <row r="86" spans="1:18" x14ac:dyDescent="0.35">
      <c r="A86">
        <v>85</v>
      </c>
      <c r="B86" s="4">
        <v>0.72199999999999998</v>
      </c>
      <c r="C86" s="4">
        <v>1.3020099999999999</v>
      </c>
      <c r="N86">
        <v>85</v>
      </c>
      <c r="O86" s="4">
        <v>1.3020099999999999</v>
      </c>
      <c r="P86">
        <f t="shared" si="4"/>
        <v>1.0495224410213775</v>
      </c>
      <c r="Q86">
        <f t="shared" si="5"/>
        <v>0.25248755897862241</v>
      </c>
      <c r="R86">
        <f t="shared" si="3"/>
        <v>0.9402344749045729</v>
      </c>
    </row>
    <row r="87" spans="1:18" x14ac:dyDescent="0.35">
      <c r="A87">
        <v>86</v>
      </c>
      <c r="B87" s="4">
        <v>0.87870800000000004</v>
      </c>
      <c r="C87" s="4">
        <v>1.5297099999999999</v>
      </c>
      <c r="N87">
        <v>86</v>
      </c>
      <c r="O87" s="4">
        <v>1.5297099999999999</v>
      </c>
      <c r="P87">
        <f t="shared" si="4"/>
        <v>1.1178088789378438</v>
      </c>
      <c r="Q87">
        <f t="shared" si="5"/>
        <v>0.41190112106215615</v>
      </c>
      <c r="R87">
        <f t="shared" si="3"/>
        <v>0.5048716037922909</v>
      </c>
    </row>
    <row r="88" spans="1:18" x14ac:dyDescent="0.35">
      <c r="A88">
        <v>87</v>
      </c>
      <c r="B88" s="4">
        <v>0.60487400000000002</v>
      </c>
      <c r="C88" s="4">
        <v>1.3697299999999999</v>
      </c>
      <c r="N88">
        <v>87</v>
      </c>
      <c r="O88" s="4">
        <v>1.3697299999999999</v>
      </c>
      <c r="P88">
        <f t="shared" si="4"/>
        <v>1.2273153365304867</v>
      </c>
      <c r="Q88">
        <f t="shared" si="5"/>
        <v>0.14241466346951315</v>
      </c>
      <c r="R88">
        <f t="shared" si="3"/>
        <v>1.2135863870002155</v>
      </c>
    </row>
    <row r="89" spans="1:18" x14ac:dyDescent="0.35">
      <c r="A89">
        <v>88</v>
      </c>
      <c r="B89" s="4">
        <v>0.30035400000000001</v>
      </c>
      <c r="C89" s="4">
        <v>0.98521899999999996</v>
      </c>
      <c r="N89">
        <v>88</v>
      </c>
      <c r="O89" s="4">
        <v>0.98521899999999996</v>
      </c>
      <c r="P89">
        <f t="shared" si="4"/>
        <v>1.1503770708929328</v>
      </c>
      <c r="Q89">
        <f t="shared" si="5"/>
        <v>-0.16515807089293288</v>
      </c>
      <c r="R89">
        <f t="shared" si="3"/>
        <v>1.1647540912339003</v>
      </c>
    </row>
    <row r="90" spans="1:18" x14ac:dyDescent="0.35">
      <c r="A90">
        <v>89</v>
      </c>
      <c r="B90" s="4">
        <v>0.235764</v>
      </c>
      <c r="C90" s="4">
        <v>0.72837300000000005</v>
      </c>
      <c r="N90">
        <v>89</v>
      </c>
      <c r="O90" s="4">
        <v>0.72837300000000005</v>
      </c>
      <c r="P90">
        <f t="shared" si="4"/>
        <v>0.9654563966926486</v>
      </c>
      <c r="Q90">
        <f t="shared" si="5"/>
        <v>-0.23708339669264855</v>
      </c>
      <c r="R90">
        <f t="shared" si="3"/>
        <v>0.98280026584654612</v>
      </c>
    </row>
    <row r="91" spans="1:18" x14ac:dyDescent="0.35">
      <c r="A91">
        <v>90</v>
      </c>
      <c r="B91" s="4">
        <v>0.73428300000000002</v>
      </c>
      <c r="C91" s="4">
        <v>1.0984700000000001</v>
      </c>
      <c r="N91">
        <v>90</v>
      </c>
      <c r="O91" s="4">
        <v>1.0984700000000001</v>
      </c>
      <c r="P91">
        <f t="shared" si="4"/>
        <v>0.84193292015843701</v>
      </c>
      <c r="Q91">
        <f t="shared" si="5"/>
        <v>0.25653707984156304</v>
      </c>
      <c r="R91">
        <f t="shared" si="3"/>
        <v>0.92892417557512041</v>
      </c>
    </row>
    <row r="92" spans="1:18" x14ac:dyDescent="0.35">
      <c r="A92">
        <v>91</v>
      </c>
      <c r="B92" s="4">
        <v>0.32977299999999998</v>
      </c>
      <c r="C92" s="4">
        <v>0.87900800000000001</v>
      </c>
      <c r="N92">
        <v>91</v>
      </c>
      <c r="O92" s="4">
        <v>0.87900800000000001</v>
      </c>
      <c r="P92">
        <f t="shared" si="4"/>
        <v>1.0199215518477842</v>
      </c>
      <c r="Q92">
        <f t="shared" si="5"/>
        <v>-0.1409135518477842</v>
      </c>
      <c r="R92">
        <f t="shared" si="3"/>
        <v>1.2166205340863365</v>
      </c>
    </row>
    <row r="93" spans="1:18" x14ac:dyDescent="0.35">
      <c r="A93">
        <v>92</v>
      </c>
      <c r="B93" s="4">
        <v>0.55375700000000005</v>
      </c>
      <c r="C93" s="4">
        <v>0.99326099999999995</v>
      </c>
      <c r="N93">
        <v>92</v>
      </c>
      <c r="O93" s="4">
        <v>0.99326099999999995</v>
      </c>
      <c r="P93">
        <f t="shared" si="4"/>
        <v>0.91437694843892792</v>
      </c>
      <c r="Q93">
        <f t="shared" si="5"/>
        <v>7.8884051561072033E-2</v>
      </c>
      <c r="R93">
        <f t="shared" si="3"/>
        <v>1.3180104974071276</v>
      </c>
    </row>
    <row r="94" spans="1:18" x14ac:dyDescent="0.35">
      <c r="A94">
        <v>93</v>
      </c>
      <c r="B94" s="4">
        <v>6.76422E-2</v>
      </c>
      <c r="C94" s="4">
        <v>0.56427300000000002</v>
      </c>
      <c r="N94">
        <v>93</v>
      </c>
      <c r="O94" s="4">
        <v>0.56427300000000002</v>
      </c>
      <c r="P94">
        <f t="shared" si="4"/>
        <v>0.96932398971838429</v>
      </c>
      <c r="Q94">
        <f t="shared" si="5"/>
        <v>-0.40505098971838427</v>
      </c>
      <c r="R94">
        <f t="shared" si="3"/>
        <v>0.52173524594515919</v>
      </c>
    </row>
    <row r="95" spans="1:18" x14ac:dyDescent="0.35">
      <c r="A95">
        <v>94</v>
      </c>
      <c r="B95" s="4">
        <v>0.95266700000000004</v>
      </c>
      <c r="C95" s="4">
        <v>1.2347999999999999</v>
      </c>
      <c r="N95">
        <v>94</v>
      </c>
      <c r="O95" s="4">
        <v>1.2347999999999999</v>
      </c>
      <c r="P95">
        <f t="shared" si="4"/>
        <v>0.76301324650471414</v>
      </c>
      <c r="Q95">
        <f t="shared" si="5"/>
        <v>0.47178675349528576</v>
      </c>
      <c r="R95">
        <f t="shared" si="3"/>
        <v>0.37003714151483164</v>
      </c>
    </row>
    <row r="96" spans="1:18" x14ac:dyDescent="0.35">
      <c r="A96">
        <v>95</v>
      </c>
      <c r="B96" s="4">
        <v>0.60986300000000004</v>
      </c>
      <c r="C96" s="4">
        <v>1.2272700000000001</v>
      </c>
      <c r="N96">
        <v>95</v>
      </c>
      <c r="O96" s="4">
        <v>1.2272700000000001</v>
      </c>
      <c r="P96">
        <f t="shared" si="4"/>
        <v>1.0854859583633969</v>
      </c>
      <c r="Q96">
        <f t="shared" si="5"/>
        <v>0.14178404163660319</v>
      </c>
      <c r="R96">
        <f t="shared" si="3"/>
        <v>1.2148640346132256</v>
      </c>
    </row>
    <row r="97" spans="1:18" x14ac:dyDescent="0.35">
      <c r="A97">
        <v>96</v>
      </c>
      <c r="B97" s="4">
        <v>0.123749</v>
      </c>
      <c r="C97" s="4">
        <v>0.73738099999999995</v>
      </c>
      <c r="N97">
        <v>96</v>
      </c>
      <c r="O97" s="4">
        <v>0.73738099999999995</v>
      </c>
      <c r="P97">
        <f t="shared" si="4"/>
        <v>1.0818645985668551</v>
      </c>
      <c r="Q97">
        <f t="shared" si="5"/>
        <v>-0.34448359856685518</v>
      </c>
      <c r="R97">
        <f t="shared" si="3"/>
        <v>0.68108933413054329</v>
      </c>
    </row>
    <row r="98" spans="1:18" x14ac:dyDescent="0.35">
      <c r="A98">
        <v>97</v>
      </c>
      <c r="B98" s="4">
        <v>6.2683100000000005E-2</v>
      </c>
      <c r="C98" s="4">
        <v>0.43137399999999998</v>
      </c>
      <c r="N98">
        <v>97</v>
      </c>
      <c r="O98" s="4">
        <v>0.43137399999999998</v>
      </c>
      <c r="P98">
        <f t="shared" si="4"/>
        <v>0.84626508603456574</v>
      </c>
      <c r="Q98">
        <f t="shared" si="5"/>
        <v>-0.41489108603456576</v>
      </c>
      <c r="R98">
        <f t="shared" si="3"/>
        <v>0.49759688232976551</v>
      </c>
    </row>
    <row r="99" spans="1:18" x14ac:dyDescent="0.35">
      <c r="A99">
        <v>98</v>
      </c>
      <c r="B99" s="4">
        <v>0.62062099999999998</v>
      </c>
      <c r="C99" s="4">
        <v>0.83630800000000005</v>
      </c>
      <c r="N99">
        <v>98</v>
      </c>
      <c r="O99" s="4">
        <v>0.83630800000000005</v>
      </c>
      <c r="P99">
        <f t="shared" si="4"/>
        <v>0.69909889117926538</v>
      </c>
      <c r="Q99">
        <f t="shared" si="5"/>
        <v>0.13720910882073467</v>
      </c>
      <c r="R99">
        <f t="shared" si="3"/>
        <v>1.2240021152186951</v>
      </c>
    </row>
    <row r="100" spans="1:18" x14ac:dyDescent="0.35">
      <c r="A100">
        <v>99</v>
      </c>
      <c r="B100" s="4">
        <v>0.98837299999999995</v>
      </c>
      <c r="C100" s="4">
        <v>1.4065300000000001</v>
      </c>
      <c r="N100">
        <v>99</v>
      </c>
      <c r="O100" s="4">
        <v>1.4065300000000001</v>
      </c>
      <c r="P100">
        <f t="shared" si="4"/>
        <v>0.89384148186358381</v>
      </c>
      <c r="Q100">
        <f t="shared" si="5"/>
        <v>0.51268851813641625</v>
      </c>
      <c r="R100">
        <f t="shared" si="3"/>
        <v>0.29212809972009096</v>
      </c>
    </row>
    <row r="101" spans="1:18" x14ac:dyDescent="0.35">
      <c r="A101">
        <v>100</v>
      </c>
      <c r="B101" s="4">
        <v>0.65075700000000003</v>
      </c>
      <c r="C101" s="4">
        <v>1.35402</v>
      </c>
      <c r="N101">
        <v>100</v>
      </c>
      <c r="O101" s="4">
        <v>1.35402</v>
      </c>
      <c r="P101">
        <f t="shared" si="4"/>
        <v>1.1680750842412388</v>
      </c>
      <c r="Q101">
        <f t="shared" si="5"/>
        <v>0.18594491575876115</v>
      </c>
      <c r="R101">
        <f t="shared" si="3"/>
        <v>1.1158993472496599</v>
      </c>
    </row>
    <row r="102" spans="1:18" x14ac:dyDescent="0.35">
      <c r="A102">
        <v>101</v>
      </c>
      <c r="B102" s="4">
        <v>0.37666300000000003</v>
      </c>
      <c r="C102" s="4">
        <v>1.0536700000000001</v>
      </c>
      <c r="N102">
        <v>101</v>
      </c>
      <c r="O102" s="4">
        <v>1.0536700000000001</v>
      </c>
      <c r="P102">
        <f t="shared" si="4"/>
        <v>1.1428217505205991</v>
      </c>
      <c r="Q102">
        <f t="shared" si="5"/>
        <v>-8.9151750520598982E-2</v>
      </c>
      <c r="R102">
        <f t="shared" si="3"/>
        <v>1.3047268656082087</v>
      </c>
    </row>
    <row r="103" spans="1:18" x14ac:dyDescent="0.35">
      <c r="A103">
        <v>102</v>
      </c>
      <c r="B103" s="4">
        <v>0.71632399999999996</v>
      </c>
      <c r="C103" s="4">
        <v>1.24316</v>
      </c>
      <c r="N103">
        <v>102</v>
      </c>
      <c r="O103" s="4">
        <v>1.24316</v>
      </c>
      <c r="P103">
        <f t="shared" si="4"/>
        <v>0.998376144293325</v>
      </c>
      <c r="Q103">
        <f t="shared" si="5"/>
        <v>0.24478385570667505</v>
      </c>
      <c r="R103">
        <f t="shared" si="3"/>
        <v>0.96162113989383957</v>
      </c>
    </row>
    <row r="104" spans="1:18" x14ac:dyDescent="0.35">
      <c r="A104">
        <v>103</v>
      </c>
      <c r="B104" s="4">
        <v>0.37498500000000001</v>
      </c>
      <c r="C104" s="4">
        <v>0.99656500000000003</v>
      </c>
      <c r="N104">
        <v>103</v>
      </c>
      <c r="O104" s="4">
        <v>0.99656500000000003</v>
      </c>
      <c r="P104">
        <f t="shared" si="4"/>
        <v>1.0895064853088274</v>
      </c>
      <c r="Q104">
        <f t="shared" si="5"/>
        <v>-9.2941485308827398E-2</v>
      </c>
      <c r="R104">
        <f t="shared" si="3"/>
        <v>1.2994513667740246</v>
      </c>
    </row>
    <row r="105" spans="1:18" x14ac:dyDescent="0.35">
      <c r="A105">
        <v>104</v>
      </c>
      <c r="B105" s="4">
        <v>0.44219999999999998</v>
      </c>
      <c r="C105" s="4">
        <v>0.94048200000000004</v>
      </c>
      <c r="N105">
        <v>104</v>
      </c>
      <c r="O105" s="4">
        <v>0.94048200000000004</v>
      </c>
      <c r="P105">
        <f t="shared" si="4"/>
        <v>0.9709129635255257</v>
      </c>
      <c r="Q105">
        <f t="shared" si="5"/>
        <v>-3.0430963525525656E-2</v>
      </c>
      <c r="R105">
        <f t="shared" si="3"/>
        <v>1.3596409484621417</v>
      </c>
    </row>
    <row r="106" spans="1:18" x14ac:dyDescent="0.35">
      <c r="A106">
        <v>105</v>
      </c>
      <c r="B106" s="4">
        <v>9.6206700000000006E-2</v>
      </c>
      <c r="C106" s="4">
        <v>0.56644799999999995</v>
      </c>
      <c r="N106">
        <v>105</v>
      </c>
      <c r="O106" s="4">
        <v>0.56644799999999995</v>
      </c>
      <c r="P106">
        <f t="shared" si="4"/>
        <v>0.94394128736756255</v>
      </c>
      <c r="Q106">
        <f t="shared" si="5"/>
        <v>-0.3774932873675626</v>
      </c>
      <c r="R106">
        <f t="shared" si="3"/>
        <v>0.59215690261802723</v>
      </c>
    </row>
    <row r="107" spans="1:18" x14ac:dyDescent="0.35">
      <c r="A107">
        <v>106</v>
      </c>
      <c r="B107" s="4">
        <v>0.98483299999999996</v>
      </c>
      <c r="C107" s="4">
        <v>1.26806</v>
      </c>
      <c r="N107">
        <v>106</v>
      </c>
      <c r="O107" s="4">
        <v>1.26806</v>
      </c>
      <c r="P107">
        <f t="shared" si="4"/>
        <v>0.76405925680451203</v>
      </c>
      <c r="Q107">
        <f t="shared" si="5"/>
        <v>0.50400074319548793</v>
      </c>
      <c r="R107">
        <f t="shared" si="3"/>
        <v>0.30767702757639726</v>
      </c>
    </row>
    <row r="108" spans="1:18" x14ac:dyDescent="0.35">
      <c r="A108">
        <v>107</v>
      </c>
      <c r="B108" s="4">
        <v>0.23085</v>
      </c>
      <c r="C108" s="4">
        <v>0.86487899999999995</v>
      </c>
      <c r="N108">
        <v>107</v>
      </c>
      <c r="O108" s="4">
        <v>0.86487899999999995</v>
      </c>
      <c r="P108">
        <f t="shared" si="4"/>
        <v>1.10148149977548</v>
      </c>
      <c r="Q108">
        <f t="shared" si="5"/>
        <v>-0.23660249977548009</v>
      </c>
      <c r="R108">
        <f t="shared" si="3"/>
        <v>0.98411554804949686</v>
      </c>
    </row>
    <row r="109" spans="1:18" x14ac:dyDescent="0.35">
      <c r="A109">
        <v>108</v>
      </c>
      <c r="B109" s="4">
        <v>0.105423</v>
      </c>
      <c r="C109" s="4">
        <v>0.53786199999999995</v>
      </c>
      <c r="N109">
        <v>108</v>
      </c>
      <c r="O109" s="4">
        <v>0.53786199999999995</v>
      </c>
      <c r="P109">
        <f t="shared" si="4"/>
        <v>0.90758196934658497</v>
      </c>
      <c r="Q109">
        <f t="shared" si="5"/>
        <v>-0.36971996934658502</v>
      </c>
      <c r="R109">
        <f t="shared" si="3"/>
        <v>0.61269852050024431</v>
      </c>
    </row>
    <row r="110" spans="1:18" x14ac:dyDescent="0.35">
      <c r="A110">
        <v>109</v>
      </c>
      <c r="B110" s="4">
        <v>0.85238599999999998</v>
      </c>
      <c r="C110" s="4">
        <v>1.1213200000000001</v>
      </c>
      <c r="N110">
        <v>109</v>
      </c>
      <c r="O110" s="4">
        <v>1.1213200000000001</v>
      </c>
      <c r="P110">
        <f t="shared" si="4"/>
        <v>0.75031155545737416</v>
      </c>
      <c r="Q110">
        <f t="shared" si="5"/>
        <v>0.37100844454262594</v>
      </c>
      <c r="R110">
        <f t="shared" si="3"/>
        <v>0.60927489323215911</v>
      </c>
    </row>
    <row r="111" spans="1:18" x14ac:dyDescent="0.35">
      <c r="A111">
        <v>110</v>
      </c>
      <c r="B111" s="4">
        <v>0.19653300000000001</v>
      </c>
      <c r="C111" s="4">
        <v>0.75719199999999998</v>
      </c>
      <c r="N111">
        <v>110</v>
      </c>
      <c r="O111" s="4">
        <v>0.75719199999999998</v>
      </c>
      <c r="P111">
        <f t="shared" si="4"/>
        <v>1.0309106715491101</v>
      </c>
      <c r="Q111">
        <f t="shared" si="5"/>
        <v>-0.27371867154911012</v>
      </c>
      <c r="R111">
        <f t="shared" si="3"/>
        <v>0.88054187883233925</v>
      </c>
    </row>
    <row r="112" spans="1:18" x14ac:dyDescent="0.35">
      <c r="A112">
        <v>111</v>
      </c>
      <c r="B112" s="4">
        <v>0.26136799999999999</v>
      </c>
      <c r="C112" s="4">
        <v>0.63996399999999998</v>
      </c>
      <c r="N112">
        <v>111</v>
      </c>
      <c r="O112" s="4">
        <v>0.63996399999999998</v>
      </c>
      <c r="P112">
        <f t="shared" si="4"/>
        <v>0.85579267686182914</v>
      </c>
      <c r="Q112">
        <f t="shared" si="5"/>
        <v>-0.21582867686182916</v>
      </c>
      <c r="R112">
        <f t="shared" si="3"/>
        <v>1.0399462814285221</v>
      </c>
    </row>
    <row r="113" spans="1:18" x14ac:dyDescent="0.35">
      <c r="A113">
        <v>112</v>
      </c>
      <c r="B113" s="4">
        <v>5.3573599999999999E-2</v>
      </c>
      <c r="C113" s="4">
        <v>0.373556</v>
      </c>
      <c r="N113">
        <v>112</v>
      </c>
      <c r="O113" s="4">
        <v>0.373556</v>
      </c>
      <c r="P113">
        <f t="shared" si="4"/>
        <v>0.7994148858619593</v>
      </c>
      <c r="Q113">
        <f t="shared" si="5"/>
        <v>-0.4258588858619593</v>
      </c>
      <c r="R113">
        <f t="shared" si="3"/>
        <v>0.47137391717698002</v>
      </c>
    </row>
    <row r="114" spans="1:18" x14ac:dyDescent="0.35">
      <c r="A114">
        <v>113</v>
      </c>
      <c r="B114" s="4">
        <v>0.60353100000000004</v>
      </c>
      <c r="C114" s="4">
        <v>0.79030900000000004</v>
      </c>
      <c r="N114">
        <v>113</v>
      </c>
      <c r="O114" s="4">
        <v>0.79030900000000004</v>
      </c>
      <c r="P114">
        <f t="shared" si="4"/>
        <v>0.6712928114028428</v>
      </c>
      <c r="Q114">
        <f t="shared" si="5"/>
        <v>0.11901618859715724</v>
      </c>
      <c r="R114">
        <f t="shared" si="3"/>
        <v>1.2579633790012754</v>
      </c>
    </row>
    <row r="115" spans="1:18" x14ac:dyDescent="0.35">
      <c r="A115">
        <v>114</v>
      </c>
      <c r="B115" s="4">
        <v>0.68577600000000005</v>
      </c>
      <c r="C115" s="4">
        <v>1.0809299999999999</v>
      </c>
      <c r="N115">
        <v>114</v>
      </c>
      <c r="O115" s="4">
        <v>1.0809299999999999</v>
      </c>
      <c r="P115">
        <f t="shared" si="4"/>
        <v>0.87171944610247709</v>
      </c>
      <c r="Q115">
        <f t="shared" si="5"/>
        <v>0.20921055389752286</v>
      </c>
      <c r="R115">
        <f t="shared" si="3"/>
        <v>1.0572638418853173</v>
      </c>
    </row>
    <row r="116" spans="1:18" x14ac:dyDescent="0.35">
      <c r="A116">
        <v>115</v>
      </c>
      <c r="B116" s="4">
        <v>6.1569199999999998E-2</v>
      </c>
      <c r="C116" s="4">
        <v>0.60203399999999996</v>
      </c>
      <c r="N116">
        <v>115</v>
      </c>
      <c r="O116" s="4">
        <v>0.60203399999999996</v>
      </c>
      <c r="P116">
        <f t="shared" si="4"/>
        <v>1.0114861400507928</v>
      </c>
      <c r="Q116">
        <f t="shared" si="5"/>
        <v>-0.40945214005079289</v>
      </c>
      <c r="R116">
        <f t="shared" si="3"/>
        <v>0.51086929475965204</v>
      </c>
    </row>
    <row r="117" spans="1:18" x14ac:dyDescent="0.35">
      <c r="A117">
        <v>116</v>
      </c>
      <c r="B117" s="4">
        <v>0.95401000000000002</v>
      </c>
      <c r="C117" s="4">
        <v>1.2550300000000001</v>
      </c>
      <c r="N117">
        <v>116</v>
      </c>
      <c r="O117" s="4">
        <v>1.2550300000000001</v>
      </c>
      <c r="P117">
        <f t="shared" si="4"/>
        <v>0.78117342808203416</v>
      </c>
      <c r="Q117">
        <f t="shared" si="5"/>
        <v>0.47385657191796593</v>
      </c>
      <c r="R117">
        <f t="shared" si="3"/>
        <v>0.3658091633770989</v>
      </c>
    </row>
    <row r="118" spans="1:18" x14ac:dyDescent="0.35">
      <c r="A118">
        <v>117</v>
      </c>
      <c r="B118" s="4">
        <v>0.26217699999999999</v>
      </c>
      <c r="C118" s="4">
        <v>0.88968999999999998</v>
      </c>
      <c r="N118">
        <v>117</v>
      </c>
      <c r="O118" s="4">
        <v>0.88968999999999998</v>
      </c>
      <c r="P118">
        <f t="shared" si="4"/>
        <v>1.0952150564622076</v>
      </c>
      <c r="Q118">
        <f t="shared" si="5"/>
        <v>-0.20552505646220764</v>
      </c>
      <c r="R118">
        <f t="shared" si="3"/>
        <v>1.0667944749863367</v>
      </c>
    </row>
    <row r="119" spans="1:18" x14ac:dyDescent="0.35">
      <c r="A119">
        <v>118</v>
      </c>
      <c r="B119" s="4">
        <v>0.441635</v>
      </c>
      <c r="C119" s="4">
        <v>0.88648000000000005</v>
      </c>
      <c r="N119">
        <v>118</v>
      </c>
      <c r="O119" s="4">
        <v>0.88648000000000005</v>
      </c>
      <c r="P119">
        <f t="shared" si="4"/>
        <v>0.91951418155269427</v>
      </c>
      <c r="Q119">
        <f t="shared" si="5"/>
        <v>-3.303418155269422E-2</v>
      </c>
      <c r="R119">
        <f t="shared" si="3"/>
        <v>1.3583227517393932</v>
      </c>
    </row>
    <row r="120" spans="1:18" x14ac:dyDescent="0.35">
      <c r="A120">
        <v>119</v>
      </c>
      <c r="B120" s="4">
        <v>0.61621099999999995</v>
      </c>
      <c r="C120" s="4">
        <v>1.05945</v>
      </c>
      <c r="N120">
        <v>119</v>
      </c>
      <c r="O120" s="4">
        <v>1.05945</v>
      </c>
      <c r="P120">
        <f t="shared" si="4"/>
        <v>0.9179704146274752</v>
      </c>
      <c r="Q120">
        <f t="shared" si="5"/>
        <v>0.14147958537252481</v>
      </c>
      <c r="R120">
        <f t="shared" si="3"/>
        <v>1.2154793165128894</v>
      </c>
    </row>
    <row r="121" spans="1:18" x14ac:dyDescent="0.35">
      <c r="A121">
        <v>120</v>
      </c>
      <c r="B121" s="4">
        <v>0.84051500000000001</v>
      </c>
      <c r="C121" s="4">
        <v>1.3702399999999999</v>
      </c>
      <c r="N121">
        <v>120</v>
      </c>
      <c r="O121" s="4">
        <v>1.3702399999999999</v>
      </c>
      <c r="P121">
        <f t="shared" si="4"/>
        <v>1.0011558866072707</v>
      </c>
      <c r="Q121">
        <f t="shared" si="5"/>
        <v>0.36908411339272917</v>
      </c>
      <c r="R121">
        <f t="shared" si="3"/>
        <v>0.61439073220711327</v>
      </c>
    </row>
    <row r="122" spans="1:18" x14ac:dyDescent="0.35">
      <c r="A122">
        <v>121</v>
      </c>
      <c r="B122" s="4">
        <v>0.57135000000000002</v>
      </c>
      <c r="C122" s="4">
        <v>1.25647</v>
      </c>
      <c r="N122">
        <v>121</v>
      </c>
      <c r="O122" s="4">
        <v>1.25647</v>
      </c>
      <c r="P122">
        <f t="shared" si="4"/>
        <v>1.1506223422735751</v>
      </c>
      <c r="Q122">
        <f t="shared" si="5"/>
        <v>0.1058476577264249</v>
      </c>
      <c r="R122">
        <f t="shared" si="3"/>
        <v>1.2800244374393861</v>
      </c>
    </row>
    <row r="123" spans="1:18" x14ac:dyDescent="0.35">
      <c r="A123">
        <v>122</v>
      </c>
      <c r="B123" s="4">
        <v>0.70442199999999999</v>
      </c>
      <c r="C123" s="4">
        <v>1.33266</v>
      </c>
      <c r="N123">
        <v>122</v>
      </c>
      <c r="O123" s="4">
        <v>1.33266</v>
      </c>
      <c r="P123">
        <f t="shared" si="4"/>
        <v>1.0959075874193152</v>
      </c>
      <c r="Q123">
        <f t="shared" si="5"/>
        <v>0.2367524125806848</v>
      </c>
      <c r="R123">
        <f t="shared" si="3"/>
        <v>0.98370562529020977</v>
      </c>
    </row>
    <row r="124" spans="1:18" x14ac:dyDescent="0.35">
      <c r="A124">
        <v>123</v>
      </c>
      <c r="B124" s="4">
        <v>0.29092400000000002</v>
      </c>
      <c r="C124" s="4">
        <v>0.95725300000000002</v>
      </c>
      <c r="N124">
        <v>123</v>
      </c>
      <c r="O124" s="4">
        <v>0.95725300000000002</v>
      </c>
      <c r="P124">
        <f t="shared" si="4"/>
        <v>1.1325492079901691</v>
      </c>
      <c r="Q124">
        <f t="shared" si="5"/>
        <v>-0.1752962079901691</v>
      </c>
      <c r="R124">
        <f t="shared" si="3"/>
        <v>1.1413883793014394</v>
      </c>
    </row>
    <row r="125" spans="1:18" x14ac:dyDescent="0.35">
      <c r="A125">
        <v>124</v>
      </c>
      <c r="B125" s="4">
        <v>0.56164599999999998</v>
      </c>
      <c r="C125" s="4">
        <v>1.04027</v>
      </c>
      <c r="N125">
        <v>124</v>
      </c>
      <c r="O125" s="4">
        <v>1.04027</v>
      </c>
      <c r="P125">
        <f t="shared" si="4"/>
        <v>0.95200686839648752</v>
      </c>
      <c r="Q125">
        <f t="shared" si="5"/>
        <v>8.8263131603512512E-2</v>
      </c>
      <c r="R125">
        <f t="shared" si="3"/>
        <v>1.3059350883323535</v>
      </c>
    </row>
    <row r="126" spans="1:18" x14ac:dyDescent="0.35">
      <c r="A126">
        <v>125</v>
      </c>
      <c r="B126" s="4">
        <v>0.68229700000000004</v>
      </c>
      <c r="C126" s="4">
        <v>1.2024300000000001</v>
      </c>
      <c r="N126">
        <v>125</v>
      </c>
      <c r="O126" s="4">
        <v>1.2024300000000001</v>
      </c>
      <c r="P126">
        <f t="shared" si="4"/>
        <v>0.99193175899801789</v>
      </c>
      <c r="Q126">
        <f t="shared" si="5"/>
        <v>0.21049824100198222</v>
      </c>
      <c r="R126">
        <f t="shared" si="3"/>
        <v>1.0539143900243593</v>
      </c>
    </row>
    <row r="127" spans="1:18" x14ac:dyDescent="0.35">
      <c r="A127">
        <v>126</v>
      </c>
      <c r="B127" s="4">
        <v>0.36840800000000001</v>
      </c>
      <c r="C127" s="4">
        <v>0.96962499999999996</v>
      </c>
      <c r="N127">
        <v>126</v>
      </c>
      <c r="O127" s="4">
        <v>0.96962499999999996</v>
      </c>
      <c r="P127">
        <f t="shared" si="4"/>
        <v>1.0699184395567487</v>
      </c>
      <c r="Q127">
        <f t="shared" si="5"/>
        <v>-0.10029343955674874</v>
      </c>
      <c r="R127">
        <f t="shared" si="3"/>
        <v>1.288657941120426</v>
      </c>
    </row>
    <row r="128" spans="1:18" x14ac:dyDescent="0.35">
      <c r="A128">
        <v>127</v>
      </c>
      <c r="B128" s="4">
        <v>1.8692E-2</v>
      </c>
      <c r="C128" s="4">
        <v>0.50350399999999995</v>
      </c>
      <c r="N128">
        <v>127</v>
      </c>
      <c r="O128" s="4">
        <v>0.50350399999999995</v>
      </c>
      <c r="P128">
        <f t="shared" si="4"/>
        <v>0.95795686353630383</v>
      </c>
      <c r="Q128">
        <f t="shared" si="5"/>
        <v>-0.45445286353630387</v>
      </c>
      <c r="R128">
        <f t="shared" si="3"/>
        <v>0.40661473806930726</v>
      </c>
    </row>
    <row r="129" spans="1:18" x14ac:dyDescent="0.35">
      <c r="A129">
        <v>128</v>
      </c>
      <c r="B129" s="4">
        <v>0.39724700000000002</v>
      </c>
      <c r="C129" s="4">
        <v>0.64899899999999999</v>
      </c>
      <c r="N129">
        <v>128</v>
      </c>
      <c r="O129" s="4">
        <v>0.64899899999999999</v>
      </c>
      <c r="P129">
        <f t="shared" si="4"/>
        <v>0.73378795919049655</v>
      </c>
      <c r="Q129">
        <f t="shared" si="5"/>
        <v>-8.478895919049656E-2</v>
      </c>
      <c r="R129">
        <f t="shared" si="3"/>
        <v>1.3105529115575878</v>
      </c>
    </row>
    <row r="130" spans="1:18" x14ac:dyDescent="0.35">
      <c r="A130">
        <v>129</v>
      </c>
      <c r="B130" s="4">
        <v>0.59713700000000003</v>
      </c>
      <c r="C130" s="4">
        <v>0.92163700000000004</v>
      </c>
      <c r="N130">
        <v>129</v>
      </c>
      <c r="O130" s="4">
        <v>0.92163700000000004</v>
      </c>
      <c r="P130">
        <f t="shared" si="4"/>
        <v>0.8037600366935338</v>
      </c>
      <c r="Q130">
        <f t="shared" si="5"/>
        <v>0.11787696330646624</v>
      </c>
      <c r="R130">
        <f t="shared" si="3"/>
        <v>1.2599581590465638</v>
      </c>
    </row>
    <row r="131" spans="1:18" x14ac:dyDescent="0.35">
      <c r="A131">
        <v>130</v>
      </c>
      <c r="B131" s="4">
        <v>0.13552900000000001</v>
      </c>
      <c r="C131" s="4">
        <v>0.59634699999999996</v>
      </c>
      <c r="N131">
        <v>130</v>
      </c>
      <c r="O131" s="4">
        <v>0.59634699999999996</v>
      </c>
      <c r="P131">
        <f t="shared" si="4"/>
        <v>0.93487826939069241</v>
      </c>
      <c r="Q131">
        <f t="shared" si="5"/>
        <v>-0.33853126939069245</v>
      </c>
      <c r="R131">
        <f t="shared" ref="R131:R194" si="6">_xlfn.NORM.DIST(Q131,0,$W$8,FALSE)</f>
        <v>0.69754196686197989</v>
      </c>
    </row>
    <row r="132" spans="1:18" x14ac:dyDescent="0.35">
      <c r="A132">
        <v>131</v>
      </c>
      <c r="B132" s="4">
        <v>0.91000400000000004</v>
      </c>
      <c r="C132" s="4">
        <v>1.20818</v>
      </c>
      <c r="N132">
        <v>131</v>
      </c>
      <c r="O132" s="4">
        <v>1.20818</v>
      </c>
      <c r="P132">
        <f t="shared" ref="P132:P195" si="7">$U$2+$U$3*O131</f>
        <v>0.7784384117257348</v>
      </c>
      <c r="Q132">
        <f t="shared" ref="Q132:Q195" si="8">O132-P132</f>
        <v>0.42974158827426523</v>
      </c>
      <c r="R132">
        <f t="shared" si="6"/>
        <v>0.46226927091525283</v>
      </c>
    </row>
    <row r="133" spans="1:18" x14ac:dyDescent="0.35">
      <c r="A133">
        <v>132</v>
      </c>
      <c r="B133" s="4">
        <v>0.65901200000000004</v>
      </c>
      <c r="C133" s="4">
        <v>1.2630999999999999</v>
      </c>
      <c r="N133">
        <v>132</v>
      </c>
      <c r="O133" s="4">
        <v>1.2630999999999999</v>
      </c>
      <c r="P133">
        <f t="shared" si="7"/>
        <v>1.0726837541424215</v>
      </c>
      <c r="Q133">
        <f t="shared" si="8"/>
        <v>0.19041624585757844</v>
      </c>
      <c r="R133">
        <f t="shared" si="6"/>
        <v>1.10492841161913</v>
      </c>
    </row>
    <row r="134" spans="1:18" x14ac:dyDescent="0.35">
      <c r="A134">
        <v>133</v>
      </c>
      <c r="B134" s="4">
        <v>0.17923</v>
      </c>
      <c r="C134" s="4">
        <v>0.81077999999999995</v>
      </c>
      <c r="N134">
        <v>133</v>
      </c>
      <c r="O134" s="4">
        <v>0.81077999999999995</v>
      </c>
      <c r="P134">
        <f t="shared" si="7"/>
        <v>1.0990961153676648</v>
      </c>
      <c r="Q134">
        <f t="shared" si="8"/>
        <v>-0.28831611536766488</v>
      </c>
      <c r="R134">
        <f t="shared" si="6"/>
        <v>0.83913302653755795</v>
      </c>
    </row>
    <row r="135" spans="1:18" x14ac:dyDescent="0.35">
      <c r="A135">
        <v>134</v>
      </c>
      <c r="B135" s="4">
        <v>0.35272199999999998</v>
      </c>
      <c r="C135" s="4">
        <v>0.75811200000000001</v>
      </c>
      <c r="N135">
        <v>134</v>
      </c>
      <c r="O135" s="4">
        <v>0.75811200000000001</v>
      </c>
      <c r="P135">
        <f t="shared" si="7"/>
        <v>0.88156444695174807</v>
      </c>
      <c r="Q135">
        <f t="shared" si="8"/>
        <v>-0.12345244695174806</v>
      </c>
      <c r="R135">
        <f t="shared" si="6"/>
        <v>1.2500440104191763</v>
      </c>
    </row>
    <row r="136" spans="1:18" x14ac:dyDescent="0.35">
      <c r="A136">
        <v>135</v>
      </c>
      <c r="B136" s="4">
        <v>0.37620500000000001</v>
      </c>
      <c r="C136" s="4">
        <v>0.75526199999999999</v>
      </c>
      <c r="N136">
        <v>135</v>
      </c>
      <c r="O136" s="4">
        <v>0.75526199999999999</v>
      </c>
      <c r="P136">
        <f t="shared" si="7"/>
        <v>0.85623512719553674</v>
      </c>
      <c r="Q136">
        <f t="shared" si="8"/>
        <v>-0.10097312719553675</v>
      </c>
      <c r="R136">
        <f t="shared" si="6"/>
        <v>1.2876233587895458</v>
      </c>
    </row>
    <row r="137" spans="1:18" x14ac:dyDescent="0.35">
      <c r="A137">
        <v>136</v>
      </c>
      <c r="B137" s="4">
        <v>0.98384099999999997</v>
      </c>
      <c r="C137" s="4">
        <v>1.36147</v>
      </c>
      <c r="N137">
        <v>136</v>
      </c>
      <c r="O137" s="4">
        <v>1.36147</v>
      </c>
      <c r="P137">
        <f t="shared" si="7"/>
        <v>0.85486449300959455</v>
      </c>
      <c r="Q137">
        <f t="shared" si="8"/>
        <v>0.50660550699040541</v>
      </c>
      <c r="R137">
        <f t="shared" si="6"/>
        <v>0.302958413291399</v>
      </c>
    </row>
    <row r="138" spans="1:18" x14ac:dyDescent="0.35">
      <c r="A138">
        <v>137</v>
      </c>
      <c r="B138" s="4">
        <v>0.51414499999999996</v>
      </c>
      <c r="C138" s="4">
        <v>1.1948799999999999</v>
      </c>
      <c r="N138">
        <v>137</v>
      </c>
      <c r="O138" s="4">
        <v>1.1948799999999999</v>
      </c>
      <c r="P138">
        <f t="shared" si="7"/>
        <v>1.1464046363750793</v>
      </c>
      <c r="Q138">
        <f t="shared" si="8"/>
        <v>4.8475363624920664E-2</v>
      </c>
      <c r="R138">
        <f t="shared" si="6"/>
        <v>1.3483225405523769</v>
      </c>
    </row>
    <row r="139" spans="1:18" x14ac:dyDescent="0.35">
      <c r="A139">
        <v>138</v>
      </c>
      <c r="B139" s="4">
        <v>0.36144999999999999</v>
      </c>
      <c r="C139" s="4">
        <v>0.95889100000000005</v>
      </c>
      <c r="N139">
        <v>138</v>
      </c>
      <c r="O139" s="4">
        <v>0.95889100000000005</v>
      </c>
      <c r="P139">
        <f t="shared" si="7"/>
        <v>1.0662874612746911</v>
      </c>
      <c r="Q139">
        <f t="shared" si="8"/>
        <v>-0.10739646127469105</v>
      </c>
      <c r="R139">
        <f t="shared" si="6"/>
        <v>1.2775447813744958</v>
      </c>
    </row>
    <row r="140" spans="1:18" x14ac:dyDescent="0.35">
      <c r="A140">
        <v>139</v>
      </c>
      <c r="B140" s="4">
        <v>0.93125899999999995</v>
      </c>
      <c r="C140" s="4">
        <v>1.4107000000000001</v>
      </c>
      <c r="N140">
        <v>139</v>
      </c>
      <c r="O140" s="4">
        <v>1.4107000000000001</v>
      </c>
      <c r="P140">
        <f t="shared" si="7"/>
        <v>0.95279462236019752</v>
      </c>
      <c r="Q140">
        <f t="shared" si="8"/>
        <v>0.45790537763980255</v>
      </c>
      <c r="R140">
        <f t="shared" si="6"/>
        <v>0.39916407173928981</v>
      </c>
    </row>
    <row r="141" spans="1:18" x14ac:dyDescent="0.35">
      <c r="A141">
        <v>140</v>
      </c>
      <c r="B141" s="4">
        <v>0.82319600000000004</v>
      </c>
      <c r="C141" s="4">
        <v>1.5285500000000001</v>
      </c>
      <c r="N141">
        <v>140</v>
      </c>
      <c r="O141" s="4">
        <v>1.5285500000000001</v>
      </c>
      <c r="P141">
        <f t="shared" si="7"/>
        <v>1.1700805384711963</v>
      </c>
      <c r="Q141">
        <f t="shared" si="8"/>
        <v>0.35846946152880377</v>
      </c>
      <c r="R141">
        <f t="shared" si="6"/>
        <v>0.64288903902502759</v>
      </c>
    </row>
    <row r="142" spans="1:18" x14ac:dyDescent="0.35">
      <c r="A142">
        <v>141</v>
      </c>
      <c r="B142" s="4">
        <v>0.678925</v>
      </c>
      <c r="C142" s="4">
        <v>1.4432</v>
      </c>
      <c r="N142">
        <v>141</v>
      </c>
      <c r="O142" s="4">
        <v>1.4432</v>
      </c>
      <c r="P142">
        <f t="shared" si="7"/>
        <v>1.2267574643705945</v>
      </c>
      <c r="Q142">
        <f t="shared" si="8"/>
        <v>0.21644253562940552</v>
      </c>
      <c r="R142">
        <f t="shared" si="6"/>
        <v>1.0383273881715835</v>
      </c>
    </row>
    <row r="143" spans="1:18" x14ac:dyDescent="0.35">
      <c r="A143">
        <v>142</v>
      </c>
      <c r="B143" s="4">
        <v>0.83641100000000002</v>
      </c>
      <c r="C143" s="4">
        <v>1.5580099999999999</v>
      </c>
      <c r="N143">
        <v>142</v>
      </c>
      <c r="O143" s="4">
        <v>1.5580099999999999</v>
      </c>
      <c r="P143">
        <f t="shared" si="7"/>
        <v>1.1857105774336947</v>
      </c>
      <c r="Q143">
        <f t="shared" si="8"/>
        <v>0.37229942256630522</v>
      </c>
      <c r="R143">
        <f t="shared" si="6"/>
        <v>0.60585195677930404</v>
      </c>
    </row>
    <row r="144" spans="1:18" x14ac:dyDescent="0.35">
      <c r="A144">
        <v>143</v>
      </c>
      <c r="B144" s="4">
        <v>0.79666099999999995</v>
      </c>
      <c r="C144" s="4">
        <v>1.5756699999999999</v>
      </c>
      <c r="N144">
        <v>143</v>
      </c>
      <c r="O144" s="4">
        <v>1.5756699999999999</v>
      </c>
      <c r="P144">
        <f t="shared" si="7"/>
        <v>1.2409254935347547</v>
      </c>
      <c r="Q144">
        <f t="shared" si="8"/>
        <v>0.33474450646524523</v>
      </c>
      <c r="R144">
        <f t="shared" si="6"/>
        <v>0.70806174745324346</v>
      </c>
    </row>
    <row r="145" spans="1:18" x14ac:dyDescent="0.35">
      <c r="A145">
        <v>144</v>
      </c>
      <c r="B145" s="4">
        <v>0.630386</v>
      </c>
      <c r="C145" s="4">
        <v>1.41822</v>
      </c>
      <c r="N145">
        <v>144</v>
      </c>
      <c r="O145" s="4">
        <v>1.41822</v>
      </c>
      <c r="P145">
        <f t="shared" si="7"/>
        <v>1.2494186162448384</v>
      </c>
      <c r="Q145">
        <f t="shared" si="8"/>
        <v>0.16880138375516163</v>
      </c>
      <c r="R145">
        <f t="shared" si="6"/>
        <v>1.156463319235473</v>
      </c>
    </row>
    <row r="146" spans="1:18" x14ac:dyDescent="0.35">
      <c r="A146">
        <v>145</v>
      </c>
      <c r="B146" s="4">
        <v>0.94140599999999997</v>
      </c>
      <c r="C146" s="4">
        <v>1.65052</v>
      </c>
      <c r="N146">
        <v>145</v>
      </c>
      <c r="O146" s="4">
        <v>1.65052</v>
      </c>
      <c r="P146">
        <f t="shared" si="7"/>
        <v>1.1736970890249805</v>
      </c>
      <c r="Q146">
        <f t="shared" si="8"/>
        <v>0.4768229109750195</v>
      </c>
      <c r="R146">
        <f t="shared" si="6"/>
        <v>0.35980240753778664</v>
      </c>
    </row>
    <row r="147" spans="1:18" x14ac:dyDescent="0.35">
      <c r="A147">
        <v>146</v>
      </c>
      <c r="B147" s="4">
        <v>0.46701100000000001</v>
      </c>
      <c r="C147" s="4">
        <v>1.29227</v>
      </c>
      <c r="N147">
        <v>146</v>
      </c>
      <c r="O147" s="4">
        <v>1.29227</v>
      </c>
      <c r="P147">
        <f t="shared" si="7"/>
        <v>1.2854157982861618</v>
      </c>
      <c r="Q147">
        <f t="shared" si="8"/>
        <v>6.854201713838215E-3</v>
      </c>
      <c r="R147">
        <f t="shared" si="6"/>
        <v>1.3666763104208344</v>
      </c>
    </row>
    <row r="148" spans="1:18" x14ac:dyDescent="0.35">
      <c r="A148">
        <v>147</v>
      </c>
      <c r="B148" s="4">
        <v>0.15026900000000001</v>
      </c>
      <c r="C148" s="4">
        <v>0.79640299999999997</v>
      </c>
      <c r="N148">
        <v>147</v>
      </c>
      <c r="O148" s="4">
        <v>0.79640299999999997</v>
      </c>
      <c r="P148">
        <f t="shared" si="7"/>
        <v>1.1131246764918519</v>
      </c>
      <c r="Q148">
        <f t="shared" si="8"/>
        <v>-0.3167216764918519</v>
      </c>
      <c r="R148">
        <f t="shared" si="6"/>
        <v>0.75859318672554465</v>
      </c>
    </row>
    <row r="149" spans="1:18" x14ac:dyDescent="0.35">
      <c r="A149">
        <v>148</v>
      </c>
      <c r="B149" s="4">
        <v>0.59996000000000005</v>
      </c>
      <c r="C149" s="4">
        <v>0.99816199999999999</v>
      </c>
      <c r="N149">
        <v>148</v>
      </c>
      <c r="O149" s="4">
        <v>0.99816199999999999</v>
      </c>
      <c r="P149">
        <f t="shared" si="7"/>
        <v>0.8746501986390145</v>
      </c>
      <c r="Q149">
        <f t="shared" si="8"/>
        <v>0.1235118013609855</v>
      </c>
      <c r="R149">
        <f t="shared" si="6"/>
        <v>1.2499364346463822</v>
      </c>
    </row>
    <row r="150" spans="1:18" x14ac:dyDescent="0.35">
      <c r="A150">
        <v>149</v>
      </c>
      <c r="B150" s="4">
        <v>0.67808500000000005</v>
      </c>
      <c r="C150" s="4">
        <v>1.17717</v>
      </c>
      <c r="N150">
        <v>149</v>
      </c>
      <c r="O150" s="4">
        <v>1.17717</v>
      </c>
      <c r="P150">
        <f t="shared" si="7"/>
        <v>0.97168099959392906</v>
      </c>
      <c r="Q150">
        <f t="shared" si="8"/>
        <v>0.20548900040607099</v>
      </c>
      <c r="R150">
        <f t="shared" si="6"/>
        <v>1.0668872979290693</v>
      </c>
    </row>
    <row r="151" spans="1:18" x14ac:dyDescent="0.35">
      <c r="A151">
        <v>150</v>
      </c>
      <c r="B151" s="4">
        <v>0.64474500000000001</v>
      </c>
      <c r="C151" s="4">
        <v>1.23333</v>
      </c>
      <c r="N151">
        <v>150</v>
      </c>
      <c r="O151" s="4">
        <v>1.23333</v>
      </c>
      <c r="P151">
        <f t="shared" si="7"/>
        <v>1.057770292350819</v>
      </c>
      <c r="Q151">
        <f t="shared" si="8"/>
        <v>0.17555970764918105</v>
      </c>
      <c r="R151">
        <f t="shared" si="6"/>
        <v>1.1407690163365451</v>
      </c>
    </row>
    <row r="152" spans="1:18" x14ac:dyDescent="0.35">
      <c r="A152">
        <v>151</v>
      </c>
      <c r="B152" s="4">
        <v>0.352356</v>
      </c>
      <c r="C152" s="4">
        <v>0.96901999999999999</v>
      </c>
      <c r="N152">
        <v>151</v>
      </c>
      <c r="O152" s="4">
        <v>0.96901999999999999</v>
      </c>
      <c r="P152">
        <f t="shared" si="7"/>
        <v>1.0847789996780164</v>
      </c>
      <c r="Q152">
        <f t="shared" si="8"/>
        <v>-0.11575899967801639</v>
      </c>
      <c r="R152">
        <f t="shared" si="6"/>
        <v>1.2636239366406161</v>
      </c>
    </row>
    <row r="153" spans="1:18" x14ac:dyDescent="0.35">
      <c r="A153">
        <v>152</v>
      </c>
      <c r="B153" s="4">
        <v>0.16555800000000001</v>
      </c>
      <c r="C153" s="4">
        <v>0.65006799999999998</v>
      </c>
      <c r="N153">
        <v>152</v>
      </c>
      <c r="O153" s="4">
        <v>0.65006799999999998</v>
      </c>
      <c r="P153">
        <f t="shared" si="7"/>
        <v>0.95766590434946353</v>
      </c>
      <c r="Q153">
        <f t="shared" si="8"/>
        <v>-0.30759790434946355</v>
      </c>
      <c r="R153">
        <f t="shared" si="6"/>
        <v>0.78439162115576722</v>
      </c>
    </row>
    <row r="154" spans="1:18" x14ac:dyDescent="0.35">
      <c r="A154">
        <v>153</v>
      </c>
      <c r="B154" s="4">
        <v>0.777451</v>
      </c>
      <c r="C154" s="4">
        <v>1.1024799999999999</v>
      </c>
      <c r="N154">
        <v>153</v>
      </c>
      <c r="O154" s="4">
        <v>1.1024799999999999</v>
      </c>
      <c r="P154">
        <f t="shared" si="7"/>
        <v>0.80427414474433112</v>
      </c>
      <c r="Q154">
        <f t="shared" si="8"/>
        <v>0.29820585525566878</v>
      </c>
      <c r="R154">
        <f t="shared" si="6"/>
        <v>0.81103688791337913</v>
      </c>
    </row>
    <row r="155" spans="1:18" x14ac:dyDescent="0.35">
      <c r="A155">
        <v>154</v>
      </c>
      <c r="B155" s="4">
        <v>0.64390599999999998</v>
      </c>
      <c r="C155" s="4">
        <v>1.1951499999999999</v>
      </c>
      <c r="N155">
        <v>154</v>
      </c>
      <c r="O155" s="4">
        <v>1.1951499999999999</v>
      </c>
      <c r="P155">
        <f t="shared" si="7"/>
        <v>1.0218500581936187</v>
      </c>
      <c r="Q155">
        <f t="shared" si="8"/>
        <v>0.1732999418063812</v>
      </c>
      <c r="R155">
        <f t="shared" si="6"/>
        <v>1.1460612391819907</v>
      </c>
    </row>
    <row r="156" spans="1:18" x14ac:dyDescent="0.35">
      <c r="A156">
        <v>155</v>
      </c>
      <c r="B156" s="4">
        <v>0.17330899999999999</v>
      </c>
      <c r="C156" s="4">
        <v>0.77088299999999998</v>
      </c>
      <c r="N156">
        <v>155</v>
      </c>
      <c r="O156" s="4">
        <v>0.77088299999999998</v>
      </c>
      <c r="P156">
        <f t="shared" si="7"/>
        <v>1.0664173108291488</v>
      </c>
      <c r="Q156">
        <f t="shared" si="8"/>
        <v>-0.29553431082914883</v>
      </c>
      <c r="R156">
        <f t="shared" si="6"/>
        <v>0.81862517997256579</v>
      </c>
    </row>
    <row r="157" spans="1:18" x14ac:dyDescent="0.35">
      <c r="A157">
        <v>156</v>
      </c>
      <c r="B157" s="4">
        <v>0.89170799999999995</v>
      </c>
      <c r="C157" s="4">
        <v>1.27715</v>
      </c>
      <c r="N157">
        <v>156</v>
      </c>
      <c r="O157" s="4">
        <v>1.27715</v>
      </c>
      <c r="P157">
        <f t="shared" si="7"/>
        <v>0.86237701112138487</v>
      </c>
      <c r="Q157">
        <f t="shared" si="8"/>
        <v>0.41477298887861513</v>
      </c>
      <c r="R157">
        <f t="shared" si="6"/>
        <v>0.49788321116149081</v>
      </c>
    </row>
    <row r="158" spans="1:18" x14ac:dyDescent="0.35">
      <c r="A158">
        <v>157</v>
      </c>
      <c r="B158" s="4">
        <v>0.104019</v>
      </c>
      <c r="C158" s="4">
        <v>0.74259399999999998</v>
      </c>
      <c r="N158">
        <v>157</v>
      </c>
      <c r="O158" s="4">
        <v>0.74259399999999998</v>
      </c>
      <c r="P158">
        <f t="shared" si="7"/>
        <v>1.1058531014422219</v>
      </c>
      <c r="Q158">
        <f t="shared" si="8"/>
        <v>-0.36325910144222195</v>
      </c>
      <c r="R158">
        <f t="shared" si="6"/>
        <v>0.62997286381055828</v>
      </c>
    </row>
    <row r="159" spans="1:18" x14ac:dyDescent="0.35">
      <c r="A159">
        <v>158</v>
      </c>
      <c r="B159" s="4">
        <v>0.28259299999999998</v>
      </c>
      <c r="C159" s="4">
        <v>0.65388999999999997</v>
      </c>
      <c r="N159">
        <v>158</v>
      </c>
      <c r="O159" s="4">
        <v>0.65388999999999997</v>
      </c>
      <c r="P159">
        <f t="shared" si="7"/>
        <v>0.84877214428415049</v>
      </c>
      <c r="Q159">
        <f t="shared" si="8"/>
        <v>-0.19488214428415052</v>
      </c>
      <c r="R159">
        <f t="shared" si="6"/>
        <v>1.0938221195926632</v>
      </c>
    </row>
    <row r="160" spans="1:18" x14ac:dyDescent="0.35">
      <c r="A160">
        <v>159</v>
      </c>
      <c r="B160" s="4">
        <v>0.70375100000000002</v>
      </c>
      <c r="C160" s="4">
        <v>1.0306999999999999</v>
      </c>
      <c r="N160">
        <v>159</v>
      </c>
      <c r="O160" s="4">
        <v>1.0306999999999999</v>
      </c>
      <c r="P160">
        <f t="shared" si="7"/>
        <v>0.80611223732632098</v>
      </c>
      <c r="Q160">
        <f t="shared" si="8"/>
        <v>0.22458776267367897</v>
      </c>
      <c r="R160">
        <f t="shared" si="6"/>
        <v>1.0166575852215225</v>
      </c>
    </row>
    <row r="161" spans="1:18" x14ac:dyDescent="0.35">
      <c r="A161">
        <v>160</v>
      </c>
      <c r="B161" s="4">
        <v>9.5916699999999994E-2</v>
      </c>
      <c r="C161" s="4">
        <v>0.61126499999999995</v>
      </c>
      <c r="N161">
        <v>160</v>
      </c>
      <c r="O161" s="4">
        <v>0.61126499999999995</v>
      </c>
      <c r="P161">
        <f t="shared" si="7"/>
        <v>0.98732931367890675</v>
      </c>
      <c r="Q161">
        <f t="shared" si="8"/>
        <v>-0.3760643136789068</v>
      </c>
      <c r="R161">
        <f t="shared" si="6"/>
        <v>0.59591243765726887</v>
      </c>
    </row>
    <row r="162" spans="1:18" x14ac:dyDescent="0.35">
      <c r="A162">
        <v>161</v>
      </c>
      <c r="B162" s="4">
        <v>0.27873199999999998</v>
      </c>
      <c r="C162" s="4">
        <v>0.58436500000000002</v>
      </c>
      <c r="N162">
        <v>161</v>
      </c>
      <c r="O162" s="4">
        <v>0.58436500000000002</v>
      </c>
      <c r="P162">
        <f t="shared" si="7"/>
        <v>0.78561284007165955</v>
      </c>
      <c r="Q162">
        <f t="shared" si="8"/>
        <v>-0.20124784007165952</v>
      </c>
      <c r="R162">
        <f t="shared" si="6"/>
        <v>1.0777475181208898</v>
      </c>
    </row>
    <row r="163" spans="1:18" x14ac:dyDescent="0.35">
      <c r="A163">
        <v>162</v>
      </c>
      <c r="B163" s="4">
        <v>0.71731599999999995</v>
      </c>
      <c r="C163" s="4">
        <v>1.0095000000000001</v>
      </c>
      <c r="N163">
        <v>162</v>
      </c>
      <c r="O163" s="4">
        <v>1.0095000000000001</v>
      </c>
      <c r="P163">
        <f t="shared" si="7"/>
        <v>0.77267597705346858</v>
      </c>
      <c r="Q163">
        <f t="shared" si="8"/>
        <v>0.23682402294653149</v>
      </c>
      <c r="R163">
        <f t="shared" si="6"/>
        <v>0.98350978200676265</v>
      </c>
    </row>
    <row r="164" spans="1:18" x14ac:dyDescent="0.35">
      <c r="A164">
        <v>163</v>
      </c>
      <c r="B164" s="4">
        <v>4.6707199999999997E-2</v>
      </c>
      <c r="C164" s="4">
        <v>0.55145599999999995</v>
      </c>
      <c r="N164">
        <v>163</v>
      </c>
      <c r="O164" s="4">
        <v>0.55145599999999995</v>
      </c>
      <c r="P164">
        <f t="shared" si="7"/>
        <v>0.97713371903260016</v>
      </c>
      <c r="Q164">
        <f t="shared" si="8"/>
        <v>-0.42567771903260021</v>
      </c>
      <c r="R164">
        <f t="shared" si="6"/>
        <v>0.4718010520509815</v>
      </c>
    </row>
    <row r="165" spans="1:18" x14ac:dyDescent="0.35">
      <c r="A165">
        <v>164</v>
      </c>
      <c r="B165" s="4">
        <v>0.106964</v>
      </c>
      <c r="C165" s="4">
        <v>0.38269199999999998</v>
      </c>
      <c r="N165">
        <v>164</v>
      </c>
      <c r="O165" s="4">
        <v>0.38269199999999998</v>
      </c>
      <c r="P165">
        <f t="shared" si="7"/>
        <v>0.75684924006218046</v>
      </c>
      <c r="Q165">
        <f t="shared" si="8"/>
        <v>-0.37415724006218049</v>
      </c>
      <c r="R165">
        <f t="shared" si="6"/>
        <v>0.60093916740991016</v>
      </c>
    </row>
    <row r="166" spans="1:18" x14ac:dyDescent="0.35">
      <c r="A166">
        <v>165</v>
      </c>
      <c r="B166" s="4">
        <v>0.79794299999999996</v>
      </c>
      <c r="C166" s="4">
        <v>0.98928899999999997</v>
      </c>
      <c r="N166">
        <v>165</v>
      </c>
      <c r="O166" s="4">
        <v>0.98928899999999997</v>
      </c>
      <c r="P166">
        <f t="shared" si="7"/>
        <v>0.67568653558627001</v>
      </c>
      <c r="Q166">
        <f t="shared" si="8"/>
        <v>0.31360246441372996</v>
      </c>
      <c r="R166">
        <f t="shared" si="6"/>
        <v>0.76740058370560382</v>
      </c>
    </row>
    <row r="167" spans="1:18" x14ac:dyDescent="0.35">
      <c r="A167">
        <v>166</v>
      </c>
      <c r="B167" s="4">
        <v>3.7200900000000002E-2</v>
      </c>
      <c r="C167" s="4">
        <v>0.53184600000000004</v>
      </c>
      <c r="N167">
        <v>166</v>
      </c>
      <c r="O167" s="4">
        <v>0.53184600000000004</v>
      </c>
      <c r="P167">
        <f t="shared" si="7"/>
        <v>0.96741375849502909</v>
      </c>
      <c r="Q167">
        <f t="shared" si="8"/>
        <v>-0.43556775849502904</v>
      </c>
      <c r="R167">
        <f t="shared" si="6"/>
        <v>0.44878712848596125</v>
      </c>
    </row>
    <row r="168" spans="1:18" x14ac:dyDescent="0.35">
      <c r="A168">
        <v>167</v>
      </c>
      <c r="B168" s="4">
        <v>0.46722399999999997</v>
      </c>
      <c r="C168" s="4">
        <v>0.73314699999999999</v>
      </c>
      <c r="N168">
        <v>167</v>
      </c>
      <c r="O168" s="4">
        <v>0.73314699999999999</v>
      </c>
      <c r="P168">
        <f t="shared" si="7"/>
        <v>0.74741831501434675</v>
      </c>
      <c r="Q168">
        <f t="shared" si="8"/>
        <v>-1.4271315014346753E-2</v>
      </c>
      <c r="R168">
        <f t="shared" si="6"/>
        <v>1.3654196181142555</v>
      </c>
    </row>
    <row r="169" spans="1:18" x14ac:dyDescent="0.35">
      <c r="A169">
        <v>168</v>
      </c>
      <c r="B169" s="4">
        <v>0.74517800000000001</v>
      </c>
      <c r="C169" s="4">
        <v>1.11175</v>
      </c>
      <c r="N169">
        <v>168</v>
      </c>
      <c r="O169" s="4">
        <v>1.11175</v>
      </c>
      <c r="P169">
        <f t="shared" si="7"/>
        <v>0.84422885265095904</v>
      </c>
      <c r="Q169">
        <f t="shared" si="8"/>
        <v>0.26752114734904098</v>
      </c>
      <c r="R169">
        <f t="shared" si="6"/>
        <v>0.89805494696215016</v>
      </c>
    </row>
    <row r="170" spans="1:18" x14ac:dyDescent="0.35">
      <c r="A170">
        <v>169</v>
      </c>
      <c r="B170" s="4">
        <v>0.24679599999999999</v>
      </c>
      <c r="C170" s="4">
        <v>0.80267100000000002</v>
      </c>
      <c r="N170">
        <v>169</v>
      </c>
      <c r="O170" s="4">
        <v>0.80267100000000002</v>
      </c>
      <c r="P170">
        <f t="shared" si="7"/>
        <v>1.026308226229999</v>
      </c>
      <c r="Q170">
        <f t="shared" si="8"/>
        <v>-0.22363722622999893</v>
      </c>
      <c r="R170">
        <f t="shared" si="6"/>
        <v>1.019203850313281</v>
      </c>
    </row>
    <row r="171" spans="1:18" x14ac:dyDescent="0.35">
      <c r="A171">
        <v>170</v>
      </c>
      <c r="B171" s="4">
        <v>0.137543</v>
      </c>
      <c r="C171" s="4">
        <v>0.53887799999999997</v>
      </c>
      <c r="N171">
        <v>170</v>
      </c>
      <c r="O171" s="4">
        <v>0.53887799999999997</v>
      </c>
      <c r="P171">
        <f t="shared" si="7"/>
        <v>0.87766463199953582</v>
      </c>
      <c r="Q171">
        <f t="shared" si="8"/>
        <v>-0.33878663199953585</v>
      </c>
      <c r="R171">
        <f t="shared" si="6"/>
        <v>0.69683398766385463</v>
      </c>
    </row>
    <row r="172" spans="1:18" x14ac:dyDescent="0.35">
      <c r="A172">
        <v>171</v>
      </c>
      <c r="B172" s="4">
        <v>0.78579699999999997</v>
      </c>
      <c r="C172" s="4">
        <v>1.05524</v>
      </c>
      <c r="N172">
        <v>171</v>
      </c>
      <c r="O172" s="4">
        <v>1.05524</v>
      </c>
      <c r="P172">
        <f t="shared" si="7"/>
        <v>0.75080017452155567</v>
      </c>
      <c r="Q172">
        <f t="shared" si="8"/>
        <v>0.30443982547844428</v>
      </c>
      <c r="R172">
        <f t="shared" si="6"/>
        <v>0.79334364912673982</v>
      </c>
    </row>
    <row r="173" spans="1:18" x14ac:dyDescent="0.35">
      <c r="A173">
        <v>172</v>
      </c>
      <c r="B173" s="4">
        <v>0.92581199999999997</v>
      </c>
      <c r="C173" s="4">
        <v>1.45343</v>
      </c>
      <c r="N173">
        <v>172</v>
      </c>
      <c r="O173" s="4">
        <v>1.45343</v>
      </c>
      <c r="P173">
        <f t="shared" si="7"/>
        <v>0.99913119540628248</v>
      </c>
      <c r="Q173">
        <f t="shared" si="8"/>
        <v>0.45429880459371752</v>
      </c>
      <c r="R173">
        <f t="shared" si="6"/>
        <v>0.40694909823672104</v>
      </c>
    </row>
    <row r="174" spans="1:18" x14ac:dyDescent="0.35">
      <c r="A174">
        <v>173</v>
      </c>
      <c r="B174" s="4">
        <v>0.34550500000000001</v>
      </c>
      <c r="C174" s="4">
        <v>1.07222</v>
      </c>
      <c r="N174">
        <v>173</v>
      </c>
      <c r="O174" s="4">
        <v>1.07222</v>
      </c>
      <c r="P174">
        <f t="shared" si="7"/>
        <v>1.1906304327748134</v>
      </c>
      <c r="Q174">
        <f t="shared" si="8"/>
        <v>-0.11841043277481345</v>
      </c>
      <c r="R174">
        <f t="shared" si="6"/>
        <v>1.2590260508227682</v>
      </c>
    </row>
    <row r="175" spans="1:18" x14ac:dyDescent="0.35">
      <c r="A175">
        <v>174</v>
      </c>
      <c r="B175" s="4">
        <v>0.92215000000000003</v>
      </c>
      <c r="C175" s="4">
        <v>1.4582599999999999</v>
      </c>
      <c r="N175">
        <v>174</v>
      </c>
      <c r="O175" s="4">
        <v>1.4582599999999999</v>
      </c>
      <c r="P175">
        <f t="shared" si="7"/>
        <v>1.0072972896088432</v>
      </c>
      <c r="Q175">
        <f t="shared" si="8"/>
        <v>0.45096271039115665</v>
      </c>
      <c r="R175">
        <f t="shared" si="6"/>
        <v>0.41422906111194346</v>
      </c>
    </row>
    <row r="176" spans="1:18" x14ac:dyDescent="0.35">
      <c r="A176">
        <v>175</v>
      </c>
      <c r="B176" s="4">
        <v>0.61090100000000003</v>
      </c>
      <c r="C176" s="4">
        <v>1.3400300000000001</v>
      </c>
      <c r="N176">
        <v>175</v>
      </c>
      <c r="O176" s="4">
        <v>1.3400300000000001</v>
      </c>
      <c r="P176">
        <f t="shared" si="7"/>
        <v>1.1929532970267787</v>
      </c>
      <c r="Q176">
        <f t="shared" si="8"/>
        <v>0.1470767029732214</v>
      </c>
      <c r="R176">
        <f t="shared" si="6"/>
        <v>1.2040081946151919</v>
      </c>
    </row>
    <row r="177" spans="1:18" x14ac:dyDescent="0.35">
      <c r="A177">
        <v>176</v>
      </c>
      <c r="B177" s="4">
        <v>0.42929099999999998</v>
      </c>
      <c r="C177" s="4">
        <v>1.09931</v>
      </c>
      <c r="N177">
        <v>176</v>
      </c>
      <c r="O177" s="4">
        <v>1.09931</v>
      </c>
      <c r="P177">
        <f t="shared" si="7"/>
        <v>1.1360936199025882</v>
      </c>
      <c r="Q177">
        <f t="shared" si="8"/>
        <v>-3.678361990258816E-2</v>
      </c>
      <c r="R177">
        <f t="shared" si="6"/>
        <v>1.3562367126160038</v>
      </c>
    </row>
    <row r="178" spans="1:18" x14ac:dyDescent="0.35">
      <c r="A178">
        <v>177</v>
      </c>
      <c r="B178" s="4">
        <v>0.18368499999999999</v>
      </c>
      <c r="C178" s="4">
        <v>0.73333800000000005</v>
      </c>
      <c r="N178">
        <v>177</v>
      </c>
      <c r="O178" s="4">
        <v>0.73333800000000005</v>
      </c>
      <c r="P178">
        <f t="shared" si="7"/>
        <v>1.0203255282394303</v>
      </c>
      <c r="Q178">
        <f t="shared" si="8"/>
        <v>-0.2869875282394303</v>
      </c>
      <c r="R178">
        <f t="shared" si="6"/>
        <v>0.84290712811566282</v>
      </c>
    </row>
    <row r="179" spans="1:18" x14ac:dyDescent="0.35">
      <c r="A179">
        <v>178</v>
      </c>
      <c r="B179" s="4">
        <v>0.26377899999999999</v>
      </c>
      <c r="C179" s="4">
        <v>0.63044800000000001</v>
      </c>
      <c r="N179">
        <v>178</v>
      </c>
      <c r="O179" s="4">
        <v>0.63044800000000001</v>
      </c>
      <c r="P179">
        <f t="shared" si="7"/>
        <v>0.84432070918763102</v>
      </c>
      <c r="Q179">
        <f t="shared" si="8"/>
        <v>-0.21387270918763102</v>
      </c>
      <c r="R179">
        <f t="shared" si="6"/>
        <v>1.0450906501311814</v>
      </c>
    </row>
    <row r="180" spans="1:18" x14ac:dyDescent="0.35">
      <c r="A180">
        <v>179</v>
      </c>
      <c r="B180" s="4">
        <v>0.36302200000000001</v>
      </c>
      <c r="C180" s="4">
        <v>0.67824600000000002</v>
      </c>
      <c r="N180">
        <v>179</v>
      </c>
      <c r="O180" s="4">
        <v>0.67824600000000002</v>
      </c>
      <c r="P180">
        <f t="shared" si="7"/>
        <v>0.79483841045373982</v>
      </c>
      <c r="Q180">
        <f t="shared" si="8"/>
        <v>-0.1165924104537398</v>
      </c>
      <c r="R180">
        <f t="shared" si="6"/>
        <v>1.262188129198887</v>
      </c>
    </row>
    <row r="181" spans="1:18" x14ac:dyDescent="0.35">
      <c r="A181">
        <v>180</v>
      </c>
      <c r="B181" s="4">
        <v>0.50907899999999995</v>
      </c>
      <c r="C181" s="4">
        <v>0.84820200000000001</v>
      </c>
      <c r="N181">
        <v>180</v>
      </c>
      <c r="O181" s="4">
        <v>0.84820200000000001</v>
      </c>
      <c r="P181">
        <f t="shared" si="7"/>
        <v>0.81782562898695521</v>
      </c>
      <c r="Q181">
        <f t="shared" si="8"/>
        <v>3.0376371013044801E-2</v>
      </c>
      <c r="R181">
        <f t="shared" si="6"/>
        <v>1.359667448000095</v>
      </c>
    </row>
    <row r="182" spans="1:18" x14ac:dyDescent="0.35">
      <c r="A182">
        <v>181</v>
      </c>
      <c r="B182" s="4">
        <v>0.20716899999999999</v>
      </c>
      <c r="C182" s="4">
        <v>0.63127</v>
      </c>
      <c r="N182">
        <v>181</v>
      </c>
      <c r="O182" s="4">
        <v>0.63127</v>
      </c>
      <c r="P182">
        <f t="shared" si="7"/>
        <v>0.89956159519958234</v>
      </c>
      <c r="Q182">
        <f t="shared" si="8"/>
        <v>-0.26829159519958234</v>
      </c>
      <c r="R182">
        <f t="shared" si="6"/>
        <v>0.89588097575109193</v>
      </c>
    </row>
    <row r="183" spans="1:18" x14ac:dyDescent="0.35">
      <c r="A183">
        <v>182</v>
      </c>
      <c r="B183" s="4">
        <v>0.971939</v>
      </c>
      <c r="C183" s="4">
        <v>1.2875700000000001</v>
      </c>
      <c r="N183">
        <v>182</v>
      </c>
      <c r="O183" s="4">
        <v>1.2875700000000001</v>
      </c>
      <c r="P183">
        <f t="shared" si="7"/>
        <v>0.79523373020842203</v>
      </c>
      <c r="Q183">
        <f t="shared" si="8"/>
        <v>0.49233626979157807</v>
      </c>
      <c r="R183">
        <f t="shared" si="6"/>
        <v>0.3294034406244471</v>
      </c>
    </row>
    <row r="184" spans="1:18" x14ac:dyDescent="0.35">
      <c r="A184">
        <v>183</v>
      </c>
      <c r="B184" s="4">
        <v>0.49621599999999999</v>
      </c>
      <c r="C184" s="4">
        <v>1.1399999999999999</v>
      </c>
      <c r="N184">
        <v>183</v>
      </c>
      <c r="O184" s="4">
        <v>1.1399999999999999</v>
      </c>
      <c r="P184">
        <f t="shared" si="7"/>
        <v>1.1108643323957368</v>
      </c>
      <c r="Q184">
        <f t="shared" si="8"/>
        <v>2.9135667604263116E-2</v>
      </c>
      <c r="R184">
        <f t="shared" si="6"/>
        <v>1.3602569977041092</v>
      </c>
    </row>
    <row r="185" spans="1:18" x14ac:dyDescent="0.35">
      <c r="A185">
        <v>184</v>
      </c>
      <c r="B185" s="4">
        <v>0.106735</v>
      </c>
      <c r="C185" s="4">
        <v>0.67673700000000003</v>
      </c>
      <c r="N185">
        <v>184</v>
      </c>
      <c r="O185" s="4">
        <v>0.67673700000000003</v>
      </c>
      <c r="P185">
        <f t="shared" si="7"/>
        <v>1.0398943370204785</v>
      </c>
      <c r="Q185">
        <f t="shared" si="8"/>
        <v>-0.36315733702047848</v>
      </c>
      <c r="R185">
        <f t="shared" si="6"/>
        <v>0.63024633936287233</v>
      </c>
    </row>
    <row r="186" spans="1:18" x14ac:dyDescent="0.35">
      <c r="A186">
        <v>185</v>
      </c>
      <c r="B186" s="4">
        <v>0.13792399999999999</v>
      </c>
      <c r="C186" s="4">
        <v>0.47629199999999999</v>
      </c>
      <c r="N186">
        <v>185</v>
      </c>
      <c r="O186" s="4">
        <v>0.47629199999999999</v>
      </c>
      <c r="P186">
        <f t="shared" si="7"/>
        <v>0.81709991425481943</v>
      </c>
      <c r="Q186">
        <f t="shared" si="8"/>
        <v>-0.34080791425481943</v>
      </c>
      <c r="R186">
        <f t="shared" si="6"/>
        <v>0.6912367097632055</v>
      </c>
    </row>
    <row r="187" spans="1:18" x14ac:dyDescent="0.35">
      <c r="A187">
        <v>186</v>
      </c>
      <c r="B187" s="4">
        <v>0.259048</v>
      </c>
      <c r="C187" s="4">
        <v>0.497195</v>
      </c>
      <c r="N187">
        <v>186</v>
      </c>
      <c r="O187" s="4">
        <v>0.497195</v>
      </c>
      <c r="P187">
        <f t="shared" si="7"/>
        <v>0.7207010477982656</v>
      </c>
      <c r="Q187">
        <f t="shared" si="8"/>
        <v>-0.22350604779826561</v>
      </c>
      <c r="R187">
        <f t="shared" si="6"/>
        <v>1.0195548977121245</v>
      </c>
    </row>
    <row r="188" spans="1:18" x14ac:dyDescent="0.35">
      <c r="A188">
        <v>187</v>
      </c>
      <c r="B188" s="4">
        <v>0.88268999999999997</v>
      </c>
      <c r="C188" s="4">
        <v>1.1312899999999999</v>
      </c>
      <c r="N188">
        <v>187</v>
      </c>
      <c r="O188" s="4">
        <v>1.1312899999999999</v>
      </c>
      <c r="P188">
        <f t="shared" si="7"/>
        <v>0.73075380793466882</v>
      </c>
      <c r="Q188">
        <f t="shared" si="8"/>
        <v>0.40053619206533109</v>
      </c>
      <c r="R188">
        <f t="shared" si="6"/>
        <v>0.53299598595007569</v>
      </c>
    </row>
    <row r="189" spans="1:18" x14ac:dyDescent="0.35">
      <c r="A189">
        <v>188</v>
      </c>
      <c r="B189" s="4">
        <v>0.55232199999999998</v>
      </c>
      <c r="C189" s="4">
        <v>1.1179699999999999</v>
      </c>
      <c r="N189">
        <v>188</v>
      </c>
      <c r="O189" s="4">
        <v>1.1179699999999999</v>
      </c>
      <c r="P189">
        <f t="shared" si="7"/>
        <v>1.0357054865785289</v>
      </c>
      <c r="Q189">
        <f t="shared" si="8"/>
        <v>8.2264513421471008E-2</v>
      </c>
      <c r="R189">
        <f t="shared" si="6"/>
        <v>1.3138017989221784</v>
      </c>
    </row>
    <row r="190" spans="1:18" x14ac:dyDescent="0.35">
      <c r="A190">
        <v>189</v>
      </c>
      <c r="B190" s="4">
        <v>0.115463</v>
      </c>
      <c r="C190" s="4">
        <v>0.67444599999999999</v>
      </c>
      <c r="N190">
        <v>189</v>
      </c>
      <c r="O190" s="4">
        <v>0.67444599999999999</v>
      </c>
      <c r="P190">
        <f t="shared" si="7"/>
        <v>1.0292995752252834</v>
      </c>
      <c r="Q190">
        <f t="shared" si="8"/>
        <v>-0.35485357522528338</v>
      </c>
      <c r="R190">
        <f t="shared" si="6"/>
        <v>0.65269861663033846</v>
      </c>
    </row>
    <row r="191" spans="1:18" x14ac:dyDescent="0.35">
      <c r="A191">
        <v>190</v>
      </c>
      <c r="B191" s="4">
        <v>0.65508999999999995</v>
      </c>
      <c r="C191" s="4">
        <v>0.99231400000000003</v>
      </c>
      <c r="N191">
        <v>190</v>
      </c>
      <c r="O191" s="4">
        <v>0.99231400000000003</v>
      </c>
      <c r="P191">
        <f t="shared" si="7"/>
        <v>0.81599811673903222</v>
      </c>
      <c r="Q191">
        <f t="shared" si="8"/>
        <v>0.17631588326096781</v>
      </c>
      <c r="R191">
        <f t="shared" si="6"/>
        <v>1.1389883148153261</v>
      </c>
    </row>
    <row r="192" spans="1:18" x14ac:dyDescent="0.35">
      <c r="A192">
        <v>191</v>
      </c>
      <c r="B192" s="4">
        <v>0.32397500000000001</v>
      </c>
      <c r="C192" s="4">
        <v>0.82013100000000005</v>
      </c>
      <c r="N192">
        <v>191</v>
      </c>
      <c r="O192" s="4">
        <v>0.82013100000000005</v>
      </c>
      <c r="P192">
        <f t="shared" si="7"/>
        <v>0.96886855442923092</v>
      </c>
      <c r="Q192">
        <f t="shared" si="8"/>
        <v>-0.14873755442923087</v>
      </c>
      <c r="R192">
        <f t="shared" si="6"/>
        <v>1.2005402359674635</v>
      </c>
    </row>
    <row r="193" spans="1:18" x14ac:dyDescent="0.35">
      <c r="A193">
        <v>192</v>
      </c>
      <c r="B193" s="4">
        <v>0.162109</v>
      </c>
      <c r="C193" s="4">
        <v>0.57217499999999999</v>
      </c>
      <c r="N193">
        <v>192</v>
      </c>
      <c r="O193" s="4">
        <v>0.57217499999999999</v>
      </c>
      <c r="P193">
        <f t="shared" si="7"/>
        <v>0.88606156985446571</v>
      </c>
      <c r="Q193">
        <f t="shared" si="8"/>
        <v>-0.31388656985446572</v>
      </c>
      <c r="R193">
        <f t="shared" si="6"/>
        <v>0.76659779483789181</v>
      </c>
    </row>
    <row r="194" spans="1:18" x14ac:dyDescent="0.35">
      <c r="A194">
        <v>193</v>
      </c>
      <c r="B194" s="4">
        <v>0.70201100000000005</v>
      </c>
      <c r="C194" s="4">
        <v>0.98809899999999995</v>
      </c>
      <c r="N194">
        <v>193</v>
      </c>
      <c r="O194" s="4">
        <v>0.98809899999999995</v>
      </c>
      <c r="P194">
        <f t="shared" si="7"/>
        <v>0.76681351013184207</v>
      </c>
      <c r="Q194">
        <f t="shared" si="8"/>
        <v>0.22128548986815788</v>
      </c>
      <c r="R194">
        <f t="shared" si="6"/>
        <v>1.0254842851550012</v>
      </c>
    </row>
    <row r="195" spans="1:18" x14ac:dyDescent="0.35">
      <c r="A195">
        <v>194</v>
      </c>
      <c r="B195" s="4">
        <v>0.85465999999999998</v>
      </c>
      <c r="C195" s="4">
        <v>1.3487100000000001</v>
      </c>
      <c r="N195">
        <v>194</v>
      </c>
      <c r="O195" s="4">
        <v>1.3487100000000001</v>
      </c>
      <c r="P195">
        <f t="shared" si="7"/>
        <v>0.96684145860686377</v>
      </c>
      <c r="Q195">
        <f t="shared" si="8"/>
        <v>0.38186854139313631</v>
      </c>
      <c r="R195">
        <f t="shared" ref="R195:R201" si="9">_xlfn.NORM.DIST(Q195,0,$W$8,FALSE)</f>
        <v>0.58071809429457311</v>
      </c>
    </row>
    <row r="196" spans="1:18" x14ac:dyDescent="0.35">
      <c r="A196">
        <v>195</v>
      </c>
      <c r="B196" s="4">
        <v>0.48085</v>
      </c>
      <c r="C196" s="4">
        <v>1.1552</v>
      </c>
      <c r="N196">
        <v>195</v>
      </c>
      <c r="O196" s="4">
        <v>1.1552</v>
      </c>
      <c r="P196">
        <f t="shared" ref="P196:P201" si="10">$U$2+$U$3*O195</f>
        <v>1.1402680426162646</v>
      </c>
      <c r="Q196">
        <f t="shared" ref="Q196:Q201" si="11">O196-P196</f>
        <v>1.4931957383735428E-2</v>
      </c>
      <c r="R196">
        <f t="shared" si="9"/>
        <v>1.3652649644303283</v>
      </c>
    </row>
    <row r="197" spans="1:18" x14ac:dyDescent="0.35">
      <c r="A197">
        <v>196</v>
      </c>
      <c r="B197" s="4">
        <v>0.84347499999999997</v>
      </c>
      <c r="C197" s="4">
        <v>1.4210799999999999</v>
      </c>
      <c r="N197">
        <v>196</v>
      </c>
      <c r="O197" s="4">
        <v>1.4210799999999999</v>
      </c>
      <c r="P197">
        <f t="shared" si="10"/>
        <v>1.04720438601217</v>
      </c>
      <c r="Q197">
        <f t="shared" si="11"/>
        <v>0.37387561398782987</v>
      </c>
      <c r="R197">
        <f t="shared" si="9"/>
        <v>0.60168289421530108</v>
      </c>
    </row>
    <row r="198" spans="1:18" x14ac:dyDescent="0.35">
      <c r="A198">
        <v>197</v>
      </c>
      <c r="B198" s="4">
        <v>0.40860000000000002</v>
      </c>
      <c r="C198" s="4">
        <v>1.11914</v>
      </c>
      <c r="N198">
        <v>197</v>
      </c>
      <c r="O198" s="4">
        <v>1.11914</v>
      </c>
      <c r="P198">
        <f t="shared" si="10"/>
        <v>1.1750725324536804</v>
      </c>
      <c r="Q198">
        <f t="shared" si="11"/>
        <v>-5.593253245368035E-2</v>
      </c>
      <c r="R198">
        <f t="shared" si="9"/>
        <v>1.3421731842251929</v>
      </c>
    </row>
    <row r="199" spans="1:18" x14ac:dyDescent="0.35">
      <c r="A199">
        <v>198</v>
      </c>
      <c r="B199" s="4">
        <v>0.58171099999999998</v>
      </c>
      <c r="C199" s="4">
        <v>1.1412800000000001</v>
      </c>
      <c r="E199" s="7"/>
      <c r="F199" s="8"/>
      <c r="N199">
        <v>198</v>
      </c>
      <c r="O199" s="4">
        <v>1.1412800000000001</v>
      </c>
      <c r="P199">
        <f t="shared" si="10"/>
        <v>1.0298622566279334</v>
      </c>
      <c r="Q199">
        <f t="shared" si="11"/>
        <v>0.11141774337206667</v>
      </c>
      <c r="R199">
        <f t="shared" si="9"/>
        <v>1.2709619057055093</v>
      </c>
    </row>
    <row r="200" spans="1:18" x14ac:dyDescent="0.35">
      <c r="A200">
        <v>199</v>
      </c>
      <c r="B200" s="4">
        <v>0.97593700000000005</v>
      </c>
      <c r="C200" s="4">
        <v>1.5465800000000001</v>
      </c>
      <c r="E200" s="7"/>
      <c r="F200" s="9"/>
      <c r="N200">
        <v>199</v>
      </c>
      <c r="O200" s="4">
        <v>1.5465800000000001</v>
      </c>
      <c r="P200">
        <f t="shared" si="10"/>
        <v>1.0405099200934631</v>
      </c>
      <c r="Q200">
        <f t="shared" si="11"/>
        <v>0.50607007990653696</v>
      </c>
      <c r="R200">
        <f t="shared" si="9"/>
        <v>0.30392438838458757</v>
      </c>
    </row>
    <row r="201" spans="1:18" x14ac:dyDescent="0.35">
      <c r="A201">
        <v>200</v>
      </c>
      <c r="B201" s="4">
        <v>0.68396000000000001</v>
      </c>
      <c r="C201" s="4">
        <v>1.4572499999999999</v>
      </c>
      <c r="E201" s="7"/>
      <c r="F201" s="9"/>
      <c r="N201">
        <v>200</v>
      </c>
      <c r="O201" s="4">
        <v>1.4572499999999999</v>
      </c>
      <c r="P201">
        <f t="shared" si="10"/>
        <v>1.2354285290627129</v>
      </c>
      <c r="Q201">
        <f t="shared" si="11"/>
        <v>0.22182147093728699</v>
      </c>
      <c r="R201">
        <f t="shared" si="9"/>
        <v>1.0240553745202661</v>
      </c>
    </row>
    <row r="202" spans="1:18" x14ac:dyDescent="0.35">
      <c r="E202" s="7"/>
      <c r="F202" s="9"/>
    </row>
    <row r="203" spans="1:18" x14ac:dyDescent="0.35">
      <c r="C203" s="4"/>
      <c r="O203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3"/>
  <sheetViews>
    <sheetView zoomScale="90" zoomScaleNormal="90" workbookViewId="0">
      <pane ySplit="1" topLeftCell="A2" activePane="bottomLeft" state="frozen"/>
      <selection pane="bottomLeft" activeCell="S2" sqref="S2"/>
    </sheetView>
  </sheetViews>
  <sheetFormatPr defaultRowHeight="14.5" x14ac:dyDescent="0.35"/>
  <cols>
    <col min="1" max="1" width="4" bestFit="1" customWidth="1"/>
    <col min="2" max="2" width="9.08984375" customWidth="1"/>
    <col min="4" max="4" width="4.6328125" customWidth="1"/>
    <col min="6" max="6" width="13.453125" bestFit="1" customWidth="1"/>
    <col min="14" max="14" width="4.36328125" bestFit="1" customWidth="1"/>
    <col min="16" max="16" width="10" bestFit="1" customWidth="1"/>
    <col min="19" max="19" width="13.54296875" bestFit="1" customWidth="1"/>
    <col min="20" max="20" width="3" customWidth="1"/>
    <col min="21" max="21" width="17" customWidth="1"/>
    <col min="22" max="22" width="12" bestFit="1" customWidth="1"/>
    <col min="29" max="30" width="8.6328125" bestFit="1" customWidth="1"/>
  </cols>
  <sheetData>
    <row r="1" spans="1:33" ht="29" x14ac:dyDescent="0.35">
      <c r="A1" t="s">
        <v>15</v>
      </c>
      <c r="B1" s="3" t="s">
        <v>8</v>
      </c>
      <c r="C1" s="3" t="s">
        <v>10</v>
      </c>
      <c r="E1" t="s">
        <v>33</v>
      </c>
      <c r="F1" s="4">
        <v>0.5</v>
      </c>
      <c r="N1" t="s">
        <v>15</v>
      </c>
      <c r="O1" s="26" t="s">
        <v>37</v>
      </c>
      <c r="P1" s="10" t="s">
        <v>44</v>
      </c>
      <c r="Q1" t="s">
        <v>40</v>
      </c>
      <c r="R1" t="s">
        <v>42</v>
      </c>
      <c r="S1" t="s">
        <v>55</v>
      </c>
    </row>
    <row r="2" spans="1:33" x14ac:dyDescent="0.35">
      <c r="A2">
        <v>1</v>
      </c>
      <c r="B2" s="4">
        <v>0.25645400000000002</v>
      </c>
      <c r="C2" s="4">
        <v>0.24</v>
      </c>
      <c r="N2">
        <v>1</v>
      </c>
      <c r="O2" s="4">
        <v>0.24</v>
      </c>
      <c r="P2">
        <f>$V$2</f>
        <v>0.47889999999999999</v>
      </c>
      <c r="Q2">
        <f>O2-P2</f>
        <v>-0.2389</v>
      </c>
      <c r="R2">
        <f t="shared" ref="R2:R33" si="0">_xlfn.NORM.DIST(Q2,0,$X$9,FALSE)</f>
        <v>0.97334866678398291</v>
      </c>
      <c r="S2" s="11">
        <f>LN(R2)</f>
        <v>-2.7012918966817182E-2</v>
      </c>
      <c r="U2" t="s">
        <v>36</v>
      </c>
      <c r="V2" s="11">
        <v>0.47889999999999999</v>
      </c>
    </row>
    <row r="3" spans="1:33" x14ac:dyDescent="0.35">
      <c r="A3">
        <v>2</v>
      </c>
      <c r="B3" s="4">
        <v>0.23024</v>
      </c>
      <c r="C3" s="4">
        <v>0.35024</v>
      </c>
      <c r="E3">
        <f>$F$1*C2+B3</f>
        <v>0.35024</v>
      </c>
      <c r="F3" t="s">
        <v>34</v>
      </c>
      <c r="N3">
        <v>2</v>
      </c>
      <c r="O3" s="4">
        <v>0.35024</v>
      </c>
      <c r="P3">
        <f>$V$2+$V$3*O2</f>
        <v>0.59623599999999999</v>
      </c>
      <c r="Q3">
        <f>O3-P3</f>
        <v>-0.24599599999999999</v>
      </c>
      <c r="R3">
        <f t="shared" si="0"/>
        <v>0.95439775634202972</v>
      </c>
      <c r="S3" s="11">
        <f t="shared" ref="S3:S66" si="1">LN(R3)</f>
        <v>-4.66747590582458E-2</v>
      </c>
      <c r="U3" t="s">
        <v>33</v>
      </c>
      <c r="V3">
        <v>0.4889</v>
      </c>
    </row>
    <row r="4" spans="1:33" x14ac:dyDescent="0.35">
      <c r="A4">
        <v>3</v>
      </c>
      <c r="B4" s="4">
        <v>0.67518599999999995</v>
      </c>
      <c r="C4" s="4">
        <v>0.85030600000000001</v>
      </c>
      <c r="E4">
        <f>$F$1*C3+B4</f>
        <v>0.85030600000000001</v>
      </c>
      <c r="F4" t="s">
        <v>35</v>
      </c>
      <c r="N4">
        <v>3</v>
      </c>
      <c r="O4" s="4">
        <v>0.85030600000000001</v>
      </c>
      <c r="P4">
        <f t="shared" ref="P4:P67" si="2">$V$2+$V$3*O3</f>
        <v>0.65013233599999998</v>
      </c>
      <c r="Q4">
        <f t="shared" ref="Q4:Q67" si="3">O4-P4</f>
        <v>0.20017366400000003</v>
      </c>
      <c r="R4">
        <f t="shared" si="0"/>
        <v>1.0726703164289189</v>
      </c>
      <c r="S4" s="11">
        <f t="shared" si="1"/>
        <v>7.0151162409269177E-2</v>
      </c>
      <c r="U4" t="s">
        <v>38</v>
      </c>
      <c r="V4" s="12">
        <f t="array" ref="V4">SUM(Q2:Q201^2)</f>
        <v>17.011411756572539</v>
      </c>
    </row>
    <row r="5" spans="1:33" x14ac:dyDescent="0.35">
      <c r="A5">
        <v>4</v>
      </c>
      <c r="B5" s="4">
        <v>4.75159E-2</v>
      </c>
      <c r="C5" s="4">
        <v>0.47266900000000001</v>
      </c>
      <c r="N5">
        <v>4</v>
      </c>
      <c r="O5" s="4">
        <v>0.47266900000000001</v>
      </c>
      <c r="P5">
        <f t="shared" si="2"/>
        <v>0.89461460339999999</v>
      </c>
      <c r="Q5">
        <f t="shared" si="3"/>
        <v>-0.42194560339999998</v>
      </c>
      <c r="R5">
        <f t="shared" si="0"/>
        <v>0.48760929567507155</v>
      </c>
      <c r="S5" s="11">
        <f t="shared" si="1"/>
        <v>-0.71824081741590318</v>
      </c>
    </row>
    <row r="6" spans="1:33" x14ac:dyDescent="0.35">
      <c r="A6">
        <v>5</v>
      </c>
      <c r="B6" s="4">
        <v>0.71682699999999999</v>
      </c>
      <c r="C6" s="4">
        <v>0.95316199999999995</v>
      </c>
      <c r="N6">
        <v>5</v>
      </c>
      <c r="O6" s="4">
        <v>0.95316199999999995</v>
      </c>
      <c r="P6">
        <f t="shared" si="2"/>
        <v>0.70998787409999997</v>
      </c>
      <c r="Q6">
        <f t="shared" si="3"/>
        <v>0.24317412589999998</v>
      </c>
      <c r="R6">
        <f t="shared" si="0"/>
        <v>0.9619556865123895</v>
      </c>
      <c r="S6" s="11">
        <f t="shared" si="1"/>
        <v>-3.8786893293840378E-2</v>
      </c>
    </row>
    <row r="7" spans="1:33" x14ac:dyDescent="0.35">
      <c r="A7">
        <v>6</v>
      </c>
      <c r="B7" s="4">
        <v>0.85461399999999998</v>
      </c>
      <c r="C7" s="4">
        <v>1.3311999999999999</v>
      </c>
      <c r="N7">
        <v>6</v>
      </c>
      <c r="O7" s="4">
        <v>1.3311999999999999</v>
      </c>
      <c r="P7">
        <f t="shared" si="2"/>
        <v>0.94490090179999997</v>
      </c>
      <c r="Q7">
        <f t="shared" si="3"/>
        <v>0.38629909819999997</v>
      </c>
      <c r="R7">
        <f t="shared" si="0"/>
        <v>0.57487309538325637</v>
      </c>
      <c r="S7" s="11">
        <f t="shared" si="1"/>
        <v>-0.55360596622472147</v>
      </c>
    </row>
    <row r="8" spans="1:33" x14ac:dyDescent="0.35">
      <c r="A8">
        <v>7</v>
      </c>
      <c r="B8" s="4">
        <v>0.55798300000000001</v>
      </c>
      <c r="C8" s="4">
        <v>1.2235799999999999</v>
      </c>
      <c r="N8">
        <v>7</v>
      </c>
      <c r="O8" s="4">
        <v>1.2235799999999999</v>
      </c>
      <c r="P8">
        <f t="shared" si="2"/>
        <v>1.1297236800000001</v>
      </c>
      <c r="Q8">
        <f t="shared" si="3"/>
        <v>9.3856319999999771E-2</v>
      </c>
      <c r="R8">
        <f t="shared" si="0"/>
        <v>1.2824630880989778</v>
      </c>
      <c r="S8" s="11">
        <f t="shared" si="1"/>
        <v>0.24878251643922655</v>
      </c>
      <c r="U8" t="s">
        <v>26</v>
      </c>
      <c r="V8">
        <v>8.7499999999999994E-2</v>
      </c>
      <c r="W8" s="11"/>
    </row>
    <row r="9" spans="1:33" x14ac:dyDescent="0.35">
      <c r="A9">
        <v>8</v>
      </c>
      <c r="B9" s="4">
        <v>3.9031999999999997E-2</v>
      </c>
      <c r="C9" s="4">
        <v>0.65082200000000001</v>
      </c>
      <c r="N9">
        <v>8</v>
      </c>
      <c r="O9" s="4">
        <v>0.65082200000000001</v>
      </c>
      <c r="P9">
        <f t="shared" si="2"/>
        <v>1.0771082619999999</v>
      </c>
      <c r="Q9">
        <f t="shared" si="3"/>
        <v>-0.42628626199999986</v>
      </c>
      <c r="R9">
        <f t="shared" si="0"/>
        <v>0.47745748487428746</v>
      </c>
      <c r="S9" s="11">
        <f t="shared" si="1"/>
        <v>-0.73928015993786034</v>
      </c>
      <c r="U9" t="s">
        <v>41</v>
      </c>
      <c r="X9">
        <f>SQRT(V8)</f>
        <v>0.2958039891549808</v>
      </c>
    </row>
    <row r="10" spans="1:33" ht="18" customHeight="1" x14ac:dyDescent="0.35">
      <c r="A10">
        <v>9</v>
      </c>
      <c r="B10" s="4">
        <v>0.184616</v>
      </c>
      <c r="C10" s="4">
        <v>0.51002700000000001</v>
      </c>
      <c r="N10">
        <v>9</v>
      </c>
      <c r="O10" s="4">
        <v>0.51002700000000001</v>
      </c>
      <c r="P10">
        <f t="shared" si="2"/>
        <v>0.79708687580000004</v>
      </c>
      <c r="Q10">
        <f t="shared" si="3"/>
        <v>-0.28705987580000003</v>
      </c>
      <c r="R10">
        <f t="shared" si="0"/>
        <v>0.84218404867130725</v>
      </c>
      <c r="S10" s="11">
        <f t="shared" si="1"/>
        <v>-0.17175670350573963</v>
      </c>
      <c r="U10" t="s">
        <v>42</v>
      </c>
      <c r="V10">
        <f>PRODUCT(R2:R201)</f>
        <v>5.811398929043228E-17</v>
      </c>
      <c r="AG10" s="19"/>
    </row>
    <row r="11" spans="1:33" x14ac:dyDescent="0.35">
      <c r="A11">
        <v>10</v>
      </c>
      <c r="B11" s="4">
        <v>1.67999E-2</v>
      </c>
      <c r="C11" s="4">
        <v>0.271814</v>
      </c>
      <c r="N11">
        <v>10</v>
      </c>
      <c r="O11" s="4">
        <v>0.271814</v>
      </c>
      <c r="P11">
        <f t="shared" si="2"/>
        <v>0.72825220030000004</v>
      </c>
      <c r="Q11">
        <f t="shared" si="3"/>
        <v>-0.45643820030000004</v>
      </c>
      <c r="R11">
        <f t="shared" si="0"/>
        <v>0.41009323139033493</v>
      </c>
      <c r="S11" s="11">
        <f t="shared" si="1"/>
        <v>-0.89137075149883427</v>
      </c>
      <c r="U11" t="s">
        <v>43</v>
      </c>
      <c r="V11" s="11">
        <f>SUM(S2:S201)</f>
        <v>-37.384125259492144</v>
      </c>
    </row>
    <row r="12" spans="1:33" x14ac:dyDescent="0.35">
      <c r="A12">
        <v>11</v>
      </c>
      <c r="B12" s="4">
        <v>0.59606899999999996</v>
      </c>
      <c r="C12" s="4">
        <v>0.73197599999999996</v>
      </c>
      <c r="N12">
        <v>11</v>
      </c>
      <c r="O12" s="4">
        <v>0.73197599999999996</v>
      </c>
      <c r="P12">
        <f t="shared" si="2"/>
        <v>0.61178986459999996</v>
      </c>
      <c r="Q12">
        <f t="shared" si="3"/>
        <v>0.1201861354</v>
      </c>
      <c r="R12">
        <f t="shared" si="0"/>
        <v>1.2418205966471947</v>
      </c>
      <c r="S12" s="11">
        <f t="shared" si="1"/>
        <v>0.21657852593382795</v>
      </c>
    </row>
    <row r="13" spans="1:33" x14ac:dyDescent="0.35">
      <c r="A13">
        <v>12</v>
      </c>
      <c r="B13" s="4">
        <v>0.23567199999999999</v>
      </c>
      <c r="C13" s="4">
        <v>0.60165999999999997</v>
      </c>
      <c r="N13">
        <v>12</v>
      </c>
      <c r="O13" s="4">
        <v>0.60165999999999997</v>
      </c>
      <c r="P13">
        <f t="shared" si="2"/>
        <v>0.83676306639999998</v>
      </c>
      <c r="Q13">
        <f t="shared" si="3"/>
        <v>-0.2351030664</v>
      </c>
      <c r="R13">
        <f t="shared" si="0"/>
        <v>0.98341055924887133</v>
      </c>
      <c r="S13" s="11">
        <f t="shared" si="1"/>
        <v>-1.672858657071882E-2</v>
      </c>
      <c r="U13" t="s">
        <v>39</v>
      </c>
    </row>
    <row r="14" spans="1:33" x14ac:dyDescent="0.35">
      <c r="A14">
        <v>13</v>
      </c>
      <c r="B14" s="4">
        <v>7.2448700000000005E-2</v>
      </c>
      <c r="C14" s="4">
        <v>0.37327900000000003</v>
      </c>
      <c r="N14">
        <v>13</v>
      </c>
      <c r="O14" s="4">
        <v>0.37327900000000003</v>
      </c>
      <c r="P14">
        <f t="shared" si="2"/>
        <v>0.77305157399999991</v>
      </c>
      <c r="Q14">
        <f t="shared" si="3"/>
        <v>-0.39977257399999988</v>
      </c>
      <c r="R14">
        <f t="shared" si="0"/>
        <v>0.54111327648912377</v>
      </c>
      <c r="S14" s="11">
        <f t="shared" si="1"/>
        <v>-0.61412663852444782</v>
      </c>
      <c r="U14" s="23">
        <f>V11</f>
        <v>-37.384125259492144</v>
      </c>
      <c r="V14" s="16">
        <v>0.1</v>
      </c>
      <c r="W14" s="16">
        <v>0.2</v>
      </c>
      <c r="X14" s="16">
        <v>0.3</v>
      </c>
      <c r="Y14" s="16">
        <v>0.4</v>
      </c>
      <c r="Z14" s="16">
        <v>0.5</v>
      </c>
      <c r="AA14" s="16">
        <v>0.6</v>
      </c>
      <c r="AB14" s="16">
        <v>0.7</v>
      </c>
      <c r="AC14" s="16">
        <v>0.8</v>
      </c>
      <c r="AD14" s="16">
        <v>0.9</v>
      </c>
    </row>
    <row r="15" spans="1:33" x14ac:dyDescent="0.35">
      <c r="A15">
        <v>14</v>
      </c>
      <c r="B15" s="4">
        <v>0.85891700000000004</v>
      </c>
      <c r="C15" s="4">
        <v>1.04556</v>
      </c>
      <c r="N15">
        <v>14</v>
      </c>
      <c r="O15" s="4">
        <v>1.04556</v>
      </c>
      <c r="P15">
        <f t="shared" si="2"/>
        <v>0.66139610309999997</v>
      </c>
      <c r="Q15">
        <f t="shared" si="3"/>
        <v>0.38416389690000008</v>
      </c>
      <c r="R15">
        <f t="shared" si="0"/>
        <v>0.5803026904822598</v>
      </c>
      <c r="S15" s="11">
        <f t="shared" si="1"/>
        <v>-0.54420543143192501</v>
      </c>
      <c r="U15" s="14">
        <v>0.1</v>
      </c>
      <c r="V15" s="24">
        <f t="dataTable" ref="V15:AD23" dt2D="1" dtr="1" r1="V3" r2="V2"/>
        <v>-691.78476631718945</v>
      </c>
      <c r="W15" s="24">
        <v>-534.17969965640009</v>
      </c>
      <c r="X15" s="24">
        <v>-399.02451034194399</v>
      </c>
      <c r="Y15" s="24">
        <v>-286.31919837382162</v>
      </c>
      <c r="Z15" s="24">
        <v>-196.06376375203203</v>
      </c>
      <c r="AA15" s="24">
        <v>-128.25820647657574</v>
      </c>
      <c r="AB15" s="24">
        <v>-82.902526547452794</v>
      </c>
      <c r="AC15" s="24">
        <v>-59.99672396466309</v>
      </c>
      <c r="AD15" s="24">
        <v>-59.540798728206632</v>
      </c>
    </row>
    <row r="16" spans="1:33" x14ac:dyDescent="0.35">
      <c r="A16">
        <v>15</v>
      </c>
      <c r="B16" s="4">
        <v>0.83085600000000004</v>
      </c>
      <c r="C16" s="4">
        <v>1.3536300000000001</v>
      </c>
      <c r="N16">
        <v>15</v>
      </c>
      <c r="O16" s="4">
        <v>1.3536300000000001</v>
      </c>
      <c r="P16">
        <f t="shared" si="2"/>
        <v>0.99007428399999997</v>
      </c>
      <c r="Q16">
        <f t="shared" si="3"/>
        <v>0.36355571600000014</v>
      </c>
      <c r="R16">
        <f t="shared" si="0"/>
        <v>0.6337167462280956</v>
      </c>
      <c r="S16" s="11">
        <f t="shared" si="1"/>
        <v>-0.45615319688837569</v>
      </c>
      <c r="U16" s="14">
        <v>0.2</v>
      </c>
      <c r="V16" s="24">
        <v>-532.94977386004655</v>
      </c>
      <c r="W16" s="24">
        <v>-396.61751588497151</v>
      </c>
      <c r="X16" s="24">
        <v>-282.73513525623002</v>
      </c>
      <c r="Y16" s="24">
        <v>-191.30263197382143</v>
      </c>
      <c r="Z16" s="24">
        <v>-122.32000603774618</v>
      </c>
      <c r="AA16" s="24">
        <v>-75.787257448004283</v>
      </c>
      <c r="AB16" s="24">
        <v>-51.704386204595622</v>
      </c>
      <c r="AC16" s="24">
        <v>-50.071392307520206</v>
      </c>
      <c r="AD16" s="24">
        <v>-70.888275756778057</v>
      </c>
    </row>
    <row r="17" spans="1:30" x14ac:dyDescent="0.35">
      <c r="A17">
        <v>16</v>
      </c>
      <c r="B17" s="4">
        <v>0.21592700000000001</v>
      </c>
      <c r="C17" s="4">
        <v>0.89274399999999998</v>
      </c>
      <c r="N17">
        <v>16</v>
      </c>
      <c r="O17" s="4">
        <v>0.89274399999999998</v>
      </c>
      <c r="P17">
        <f t="shared" si="2"/>
        <v>1.1406897069999999</v>
      </c>
      <c r="Q17">
        <f t="shared" si="3"/>
        <v>-0.24794570699999996</v>
      </c>
      <c r="R17">
        <f t="shared" si="0"/>
        <v>0.94916003998040299</v>
      </c>
      <c r="S17" s="11">
        <f t="shared" si="1"/>
        <v>-5.217785393670181E-2</v>
      </c>
      <c r="U17" s="14">
        <v>0.3</v>
      </c>
      <c r="V17" s="24">
        <v>-396.97192426004642</v>
      </c>
      <c r="W17" s="24">
        <v>-281.91247497068599</v>
      </c>
      <c r="X17" s="24">
        <v>-189.30290302765843</v>
      </c>
      <c r="Y17" s="24">
        <v>-119.14320843096435</v>
      </c>
      <c r="Z17" s="24">
        <v>-71.433391180603451</v>
      </c>
      <c r="AA17" s="24">
        <v>-46.173451276575783</v>
      </c>
      <c r="AB17" s="24">
        <v>-43.363388718881353</v>
      </c>
      <c r="AC17" s="24">
        <v>-63.003203507520233</v>
      </c>
      <c r="AD17" s="24">
        <v>-105.09289564249231</v>
      </c>
    </row>
    <row r="18" spans="1:30" x14ac:dyDescent="0.35">
      <c r="A18">
        <v>17</v>
      </c>
      <c r="B18" s="4">
        <v>0.22300700000000001</v>
      </c>
      <c r="C18" s="4">
        <v>0.66937899999999995</v>
      </c>
      <c r="N18">
        <v>17</v>
      </c>
      <c r="O18" s="4">
        <v>0.66937899999999995</v>
      </c>
      <c r="P18">
        <f t="shared" si="2"/>
        <v>0.91536254159999997</v>
      </c>
      <c r="Q18">
        <f t="shared" si="3"/>
        <v>-0.24598354160000002</v>
      </c>
      <c r="R18">
        <f t="shared" si="0"/>
        <v>0.95443118417939843</v>
      </c>
      <c r="S18" s="11">
        <f t="shared" si="1"/>
        <v>-4.6639734612982528E-2</v>
      </c>
      <c r="U18" s="14">
        <v>0.4</v>
      </c>
      <c r="V18" s="24">
        <v>-283.85121751718941</v>
      </c>
      <c r="W18" s="24">
        <v>-190.06457691354288</v>
      </c>
      <c r="X18" s="24">
        <v>-118.72781365622993</v>
      </c>
      <c r="Y18" s="24">
        <v>-69.840927745250028</v>
      </c>
      <c r="Z18" s="24">
        <v>-43.403919180603395</v>
      </c>
      <c r="AA18" s="24">
        <v>-39.416787962290073</v>
      </c>
      <c r="AB18" s="24">
        <v>-57.87953409030996</v>
      </c>
      <c r="AC18" s="24">
        <v>-98.792157564663142</v>
      </c>
      <c r="AD18" s="24">
        <v>-162.15465838534962</v>
      </c>
    </row>
    <row r="19" spans="1:30" x14ac:dyDescent="0.35">
      <c r="A19">
        <v>18</v>
      </c>
      <c r="B19" s="4">
        <v>0.254166</v>
      </c>
      <c r="C19" s="4">
        <v>0.58885500000000002</v>
      </c>
      <c r="N19">
        <v>18</v>
      </c>
      <c r="O19" s="4">
        <v>0.58885500000000002</v>
      </c>
      <c r="P19">
        <f t="shared" si="2"/>
        <v>0.80615939309999995</v>
      </c>
      <c r="Q19">
        <f t="shared" si="3"/>
        <v>-0.21730439309999994</v>
      </c>
      <c r="R19">
        <f t="shared" si="0"/>
        <v>1.0297172863141539</v>
      </c>
      <c r="S19" s="11">
        <f t="shared" si="1"/>
        <v>2.9284285258558442E-2</v>
      </c>
      <c r="U19" s="14">
        <v>0.5</v>
      </c>
      <c r="V19" s="24">
        <v>-193.58765363147515</v>
      </c>
      <c r="W19" s="24">
        <v>-121.073821713543</v>
      </c>
      <c r="X19" s="24">
        <v>-71.009867141944198</v>
      </c>
      <c r="Y19" s="24">
        <v>-43.395789916678623</v>
      </c>
      <c r="Z19" s="25">
        <v>-38.23159003774628</v>
      </c>
      <c r="AA19" s="24">
        <v>-55.517267505147188</v>
      </c>
      <c r="AB19" s="24">
        <v>-95.252822318881371</v>
      </c>
      <c r="AC19" s="24">
        <v>-157.43825447894886</v>
      </c>
      <c r="AD19" s="24">
        <v>-242.07356398534947</v>
      </c>
    </row>
    <row r="20" spans="1:30" x14ac:dyDescent="0.35">
      <c r="A20">
        <v>19</v>
      </c>
      <c r="B20" s="4">
        <v>0.76403799999999999</v>
      </c>
      <c r="C20" s="4">
        <v>1.05847</v>
      </c>
      <c r="N20">
        <v>19</v>
      </c>
      <c r="O20" s="4">
        <v>1.05847</v>
      </c>
      <c r="P20">
        <f t="shared" si="2"/>
        <v>0.76679120950000001</v>
      </c>
      <c r="Q20">
        <f t="shared" si="3"/>
        <v>0.29167879050000001</v>
      </c>
      <c r="R20">
        <f t="shared" si="0"/>
        <v>0.82941734794968758</v>
      </c>
      <c r="S20" s="11">
        <f t="shared" si="1"/>
        <v>-0.18703181512420511</v>
      </c>
      <c r="U20" s="14">
        <v>0.6</v>
      </c>
      <c r="V20" s="24">
        <v>-126.18123260290378</v>
      </c>
      <c r="W20" s="24">
        <v>-74.94020937068592</v>
      </c>
      <c r="X20" s="24">
        <v>-46.149063484801353</v>
      </c>
      <c r="Y20" s="24">
        <v>-39.807794945250059</v>
      </c>
      <c r="Z20" s="24">
        <v>-55.916403752032004</v>
      </c>
      <c r="AA20" s="24">
        <v>-94.474889905147165</v>
      </c>
      <c r="AB20" s="24">
        <v>-155.48325340459562</v>
      </c>
      <c r="AC20" s="24">
        <v>-238.94149425037733</v>
      </c>
      <c r="AD20" s="24">
        <v>-344.84961244249251</v>
      </c>
    </row>
    <row r="21" spans="1:30" x14ac:dyDescent="0.35">
      <c r="A21">
        <v>20</v>
      </c>
      <c r="B21" s="4">
        <v>0.28643800000000003</v>
      </c>
      <c r="C21" s="4">
        <v>0.81567100000000003</v>
      </c>
      <c r="N21">
        <v>20</v>
      </c>
      <c r="O21" s="4">
        <v>0.81567100000000003</v>
      </c>
      <c r="P21">
        <f t="shared" si="2"/>
        <v>0.99638598300000003</v>
      </c>
      <c r="Q21">
        <f t="shared" si="3"/>
        <v>-0.180714983</v>
      </c>
      <c r="R21">
        <f t="shared" si="0"/>
        <v>1.1190757362744501</v>
      </c>
      <c r="S21" s="11">
        <f t="shared" si="1"/>
        <v>0.11250310914352415</v>
      </c>
      <c r="U21" s="14">
        <v>0.7</v>
      </c>
      <c r="V21" s="24">
        <v>-81.631954431475194</v>
      </c>
      <c r="W21" s="24">
        <v>-51.663739884971655</v>
      </c>
      <c r="X21" s="24">
        <v>-44.145402684801319</v>
      </c>
      <c r="Y21" s="24">
        <v>-59.076942830964363</v>
      </c>
      <c r="Z21" s="24">
        <v>-96.458360323460582</v>
      </c>
      <c r="AA21" s="24">
        <v>-156.28965516228993</v>
      </c>
      <c r="AB21" s="24">
        <v>-238.57082734745288</v>
      </c>
      <c r="AC21" s="24">
        <v>-343.30187687894863</v>
      </c>
      <c r="AD21" s="24">
        <v>-470.48280375677791</v>
      </c>
    </row>
    <row r="22" spans="1:30" x14ac:dyDescent="0.35">
      <c r="A22">
        <v>21</v>
      </c>
      <c r="B22" s="4">
        <v>0.18040500000000001</v>
      </c>
      <c r="C22" s="4">
        <v>0.58823999999999999</v>
      </c>
      <c r="N22">
        <v>21</v>
      </c>
      <c r="O22" s="4">
        <v>0.58823999999999999</v>
      </c>
      <c r="P22">
        <f t="shared" si="2"/>
        <v>0.87768155190000008</v>
      </c>
      <c r="Q22">
        <f t="shared" si="3"/>
        <v>-0.28944155190000009</v>
      </c>
      <c r="R22">
        <f t="shared" si="0"/>
        <v>0.8356021765831626</v>
      </c>
      <c r="S22" s="11">
        <f t="shared" si="1"/>
        <v>-0.1796026444884197</v>
      </c>
      <c r="U22" s="14">
        <v>0.8</v>
      </c>
      <c r="V22" s="24">
        <v>-59.939819117189465</v>
      </c>
      <c r="W22" s="24">
        <v>-51.244413256400264</v>
      </c>
      <c r="X22" s="24">
        <v>-64.99888474194421</v>
      </c>
      <c r="Y22" s="24">
        <v>-101.20323357382142</v>
      </c>
      <c r="Z22" s="24">
        <v>-159.8574597520321</v>
      </c>
      <c r="AA22" s="24">
        <v>-240.96156327657579</v>
      </c>
      <c r="AB22" s="24">
        <v>-344.51554414745289</v>
      </c>
      <c r="AC22" s="24">
        <v>-470.51940236466311</v>
      </c>
      <c r="AD22" s="24">
        <v>-618.97313792820637</v>
      </c>
    </row>
    <row r="23" spans="1:30" x14ac:dyDescent="0.35">
      <c r="A23">
        <v>22</v>
      </c>
      <c r="B23" s="4">
        <v>0.16822799999999999</v>
      </c>
      <c r="C23" s="4">
        <v>0.46234799999999998</v>
      </c>
      <c r="N23">
        <v>22</v>
      </c>
      <c r="O23" s="4">
        <v>0.46234799999999998</v>
      </c>
      <c r="P23">
        <f t="shared" si="2"/>
        <v>0.76649053600000006</v>
      </c>
      <c r="Q23">
        <f t="shared" si="3"/>
        <v>-0.30414253600000007</v>
      </c>
      <c r="R23">
        <f t="shared" si="0"/>
        <v>0.79495716534407124</v>
      </c>
      <c r="S23" s="11">
        <f t="shared" si="1"/>
        <v>-0.22946704584973893</v>
      </c>
      <c r="U23" s="14">
        <v>0.9</v>
      </c>
      <c r="V23" s="24">
        <v>-61.104826660046641</v>
      </c>
      <c r="W23" s="24">
        <v>-73.682229484971629</v>
      </c>
      <c r="X23" s="24">
        <v>-108.70950965622991</v>
      </c>
      <c r="Y23" s="24">
        <v>-166.18666717382149</v>
      </c>
      <c r="Z23" s="24">
        <v>-246.11370203774638</v>
      </c>
      <c r="AA23" s="24">
        <v>-348.49061424800453</v>
      </c>
      <c r="AB23" s="24">
        <v>-473.3174038045957</v>
      </c>
      <c r="AC23" s="24">
        <v>-620.59407070752093</v>
      </c>
      <c r="AD23" s="24">
        <v>-790.3206149567792</v>
      </c>
    </row>
    <row r="24" spans="1:30" x14ac:dyDescent="0.35">
      <c r="A24">
        <v>23</v>
      </c>
      <c r="B24" s="4">
        <v>0.58662400000000003</v>
      </c>
      <c r="C24" s="4">
        <v>0.81779800000000002</v>
      </c>
      <c r="N24">
        <v>23</v>
      </c>
      <c r="O24" s="4">
        <v>0.81779800000000002</v>
      </c>
      <c r="P24">
        <f t="shared" si="2"/>
        <v>0.70494193719999998</v>
      </c>
      <c r="Q24">
        <f t="shared" si="3"/>
        <v>0.11285606280000005</v>
      </c>
      <c r="R24">
        <f t="shared" si="0"/>
        <v>1.2540016544442212</v>
      </c>
      <c r="S24" s="11">
        <f t="shared" si="1"/>
        <v>0.22633976154336835</v>
      </c>
    </row>
    <row r="25" spans="1:30" x14ac:dyDescent="0.35">
      <c r="A25">
        <v>24</v>
      </c>
      <c r="B25" s="4">
        <v>0.543045</v>
      </c>
      <c r="C25" s="4">
        <v>0.95194400000000001</v>
      </c>
      <c r="N25">
        <v>24</v>
      </c>
      <c r="O25" s="4">
        <v>0.95194400000000001</v>
      </c>
      <c r="P25">
        <f t="shared" si="2"/>
        <v>0.87872144220000004</v>
      </c>
      <c r="Q25">
        <f t="shared" si="3"/>
        <v>7.3222557799999977E-2</v>
      </c>
      <c r="R25">
        <f t="shared" si="0"/>
        <v>1.3079778533475475</v>
      </c>
      <c r="S25" s="11">
        <f t="shared" si="1"/>
        <v>0.26848232120018678</v>
      </c>
    </row>
    <row r="26" spans="1:30" x14ac:dyDescent="0.35">
      <c r="A26">
        <v>25</v>
      </c>
      <c r="B26" s="4">
        <v>0.196655</v>
      </c>
      <c r="C26" s="4">
        <v>0.67262699999999997</v>
      </c>
      <c r="N26">
        <v>25</v>
      </c>
      <c r="O26" s="4">
        <v>0.67262699999999997</v>
      </c>
      <c r="P26">
        <f t="shared" si="2"/>
        <v>0.94430542159999997</v>
      </c>
      <c r="Q26">
        <f t="shared" si="3"/>
        <v>-0.2716784216</v>
      </c>
      <c r="R26">
        <f t="shared" si="0"/>
        <v>0.88457591033782446</v>
      </c>
      <c r="S26" s="11">
        <f t="shared" si="1"/>
        <v>-0.1226469461843447</v>
      </c>
    </row>
    <row r="27" spans="1:30" x14ac:dyDescent="0.35">
      <c r="A27">
        <v>26</v>
      </c>
      <c r="B27" s="4">
        <v>0.40217599999999998</v>
      </c>
      <c r="C27" s="4">
        <v>0.73848999999999998</v>
      </c>
      <c r="N27">
        <v>26</v>
      </c>
      <c r="O27" s="4">
        <v>0.73848999999999998</v>
      </c>
      <c r="P27">
        <f t="shared" si="2"/>
        <v>0.80774734029999995</v>
      </c>
      <c r="Q27">
        <f t="shared" si="3"/>
        <v>-6.925734029999997E-2</v>
      </c>
      <c r="R27">
        <f t="shared" si="0"/>
        <v>1.3122073060339989</v>
      </c>
      <c r="S27" s="11">
        <f t="shared" si="1"/>
        <v>0.27171068568786877</v>
      </c>
    </row>
    <row r="28" spans="1:30" x14ac:dyDescent="0.35">
      <c r="A28">
        <v>27</v>
      </c>
      <c r="B28" s="4">
        <v>0.50553899999999996</v>
      </c>
      <c r="C28" s="4">
        <v>0.87478400000000001</v>
      </c>
      <c r="N28">
        <v>27</v>
      </c>
      <c r="O28" s="4">
        <v>0.87478400000000001</v>
      </c>
      <c r="P28">
        <f t="shared" si="2"/>
        <v>0.8399477609999999</v>
      </c>
      <c r="Q28">
        <f t="shared" si="3"/>
        <v>3.4836239000000102E-2</v>
      </c>
      <c r="R28">
        <f t="shared" si="0"/>
        <v>1.3393508559944121</v>
      </c>
      <c r="S28" s="11">
        <f t="shared" si="1"/>
        <v>0.2921850607608108</v>
      </c>
    </row>
    <row r="29" spans="1:30" x14ac:dyDescent="0.35">
      <c r="A29">
        <v>28</v>
      </c>
      <c r="B29" s="4">
        <v>0.61654699999999996</v>
      </c>
      <c r="C29" s="4">
        <v>1.0539400000000001</v>
      </c>
      <c r="N29">
        <v>28</v>
      </c>
      <c r="O29" s="4">
        <v>1.0539400000000001</v>
      </c>
      <c r="P29">
        <f t="shared" si="2"/>
        <v>0.90658189759999996</v>
      </c>
      <c r="Q29">
        <f t="shared" si="3"/>
        <v>0.14735810240000013</v>
      </c>
      <c r="R29">
        <f t="shared" si="0"/>
        <v>1.1912907281061245</v>
      </c>
      <c r="S29" s="11">
        <f t="shared" si="1"/>
        <v>0.17503736478787471</v>
      </c>
    </row>
    <row r="30" spans="1:30" x14ac:dyDescent="0.35">
      <c r="A30">
        <v>29</v>
      </c>
      <c r="B30" s="4">
        <v>0.46691899999999997</v>
      </c>
      <c r="C30" s="4">
        <v>0.99388799999999999</v>
      </c>
      <c r="N30">
        <v>29</v>
      </c>
      <c r="O30" s="4">
        <v>0.99388799999999999</v>
      </c>
      <c r="P30">
        <f t="shared" si="2"/>
        <v>0.99417126600000005</v>
      </c>
      <c r="Q30">
        <f t="shared" si="3"/>
        <v>-2.8326600000005975E-4</v>
      </c>
      <c r="R30">
        <f t="shared" si="0"/>
        <v>1.3486704443075401</v>
      </c>
      <c r="S30" s="11">
        <f t="shared" si="1"/>
        <v>0.29911925109245852</v>
      </c>
    </row>
    <row r="31" spans="1:30" x14ac:dyDescent="0.35">
      <c r="A31">
        <v>30</v>
      </c>
      <c r="B31" s="4">
        <v>0.61338800000000004</v>
      </c>
      <c r="C31" s="4">
        <v>1.11033</v>
      </c>
      <c r="N31">
        <v>30</v>
      </c>
      <c r="O31" s="4">
        <v>1.11033</v>
      </c>
      <c r="P31">
        <f t="shared" si="2"/>
        <v>0.96481184319999991</v>
      </c>
      <c r="Q31">
        <f t="shared" si="3"/>
        <v>0.14551815680000013</v>
      </c>
      <c r="R31">
        <f t="shared" si="0"/>
        <v>1.1949647157916314</v>
      </c>
      <c r="S31" s="11">
        <f t="shared" si="1"/>
        <v>0.17811665841335766</v>
      </c>
    </row>
    <row r="32" spans="1:30" x14ac:dyDescent="0.35">
      <c r="A32">
        <v>31</v>
      </c>
      <c r="B32" s="4">
        <v>0.39295999999999998</v>
      </c>
      <c r="C32" s="4">
        <v>0.94812600000000002</v>
      </c>
      <c r="N32">
        <v>31</v>
      </c>
      <c r="O32" s="4">
        <v>0.94812600000000002</v>
      </c>
      <c r="P32">
        <f t="shared" si="2"/>
        <v>1.021740337</v>
      </c>
      <c r="Q32">
        <f t="shared" si="3"/>
        <v>-7.3614336999999974E-2</v>
      </c>
      <c r="R32">
        <f t="shared" si="0"/>
        <v>1.3075479532654548</v>
      </c>
      <c r="S32" s="11">
        <f t="shared" si="1"/>
        <v>0.26815359182204257</v>
      </c>
    </row>
    <row r="33" spans="1:19" x14ac:dyDescent="0.35">
      <c r="A33">
        <v>32</v>
      </c>
      <c r="B33" s="4">
        <v>0.70535300000000001</v>
      </c>
      <c r="C33" s="4">
        <v>1.1794199999999999</v>
      </c>
      <c r="N33">
        <v>32</v>
      </c>
      <c r="O33" s="4">
        <v>1.1794199999999999</v>
      </c>
      <c r="P33">
        <f t="shared" si="2"/>
        <v>0.94243880140000003</v>
      </c>
      <c r="Q33">
        <f t="shared" si="3"/>
        <v>0.23698119859999989</v>
      </c>
      <c r="R33">
        <f t="shared" si="0"/>
        <v>0.97844071485268747</v>
      </c>
      <c r="S33" s="11">
        <f t="shared" si="1"/>
        <v>-2.179508176620332E-2</v>
      </c>
    </row>
    <row r="34" spans="1:19" x14ac:dyDescent="0.35">
      <c r="A34">
        <v>33</v>
      </c>
      <c r="B34" s="4">
        <v>5.96924E-2</v>
      </c>
      <c r="C34" s="4">
        <v>0.64939999999999998</v>
      </c>
      <c r="N34">
        <v>33</v>
      </c>
      <c r="O34" s="4">
        <v>0.64939999999999998</v>
      </c>
      <c r="P34">
        <f t="shared" si="2"/>
        <v>1.055518438</v>
      </c>
      <c r="Q34">
        <f t="shared" si="3"/>
        <v>-0.40611843800000003</v>
      </c>
      <c r="R34">
        <f t="shared" ref="R34:R65" si="4">_xlfn.NORM.DIST(Q34,0,$X$9,FALSE)</f>
        <v>0.5255289904234639</v>
      </c>
      <c r="S34" s="11">
        <f t="shared" si="1"/>
        <v>-0.64334992287287351</v>
      </c>
    </row>
    <row r="35" spans="1:19" x14ac:dyDescent="0.35">
      <c r="A35">
        <v>34</v>
      </c>
      <c r="B35" s="4">
        <v>0.31718400000000002</v>
      </c>
      <c r="C35" s="4">
        <v>0.64188500000000004</v>
      </c>
      <c r="N35">
        <v>34</v>
      </c>
      <c r="O35" s="4">
        <v>0.64188500000000004</v>
      </c>
      <c r="P35">
        <f t="shared" si="2"/>
        <v>0.79639166000000006</v>
      </c>
      <c r="Q35">
        <f t="shared" si="3"/>
        <v>-0.15450666000000002</v>
      </c>
      <c r="R35">
        <f t="shared" si="4"/>
        <v>1.1766913049661338</v>
      </c>
      <c r="S35" s="11">
        <f t="shared" si="1"/>
        <v>0.16270652112257952</v>
      </c>
    </row>
    <row r="36" spans="1:19" x14ac:dyDescent="0.35">
      <c r="A36">
        <v>35</v>
      </c>
      <c r="B36" s="4">
        <v>0.93118299999999998</v>
      </c>
      <c r="C36" s="4">
        <v>1.25213</v>
      </c>
      <c r="N36">
        <v>35</v>
      </c>
      <c r="O36" s="4">
        <v>1.25213</v>
      </c>
      <c r="P36">
        <f t="shared" si="2"/>
        <v>0.79271757650000008</v>
      </c>
      <c r="Q36">
        <f t="shared" si="3"/>
        <v>0.45941242349999989</v>
      </c>
      <c r="R36">
        <f t="shared" si="4"/>
        <v>0.40375939039423703</v>
      </c>
      <c r="S36" s="11">
        <f t="shared" si="1"/>
        <v>-0.90693614677334977</v>
      </c>
    </row>
    <row r="37" spans="1:19" x14ac:dyDescent="0.35">
      <c r="A37">
        <v>36</v>
      </c>
      <c r="B37" s="4">
        <v>0.57911699999999999</v>
      </c>
      <c r="C37" s="4">
        <v>1.2051799999999999</v>
      </c>
      <c r="N37">
        <v>36</v>
      </c>
      <c r="O37" s="4">
        <v>1.2051799999999999</v>
      </c>
      <c r="P37">
        <f t="shared" si="2"/>
        <v>1.0910663569999999</v>
      </c>
      <c r="Q37">
        <f t="shared" si="3"/>
        <v>0.11411364300000004</v>
      </c>
      <c r="R37">
        <f t="shared" si="4"/>
        <v>1.2519579903344655</v>
      </c>
      <c r="S37" s="11">
        <f t="shared" si="1"/>
        <v>0.22470871806900314</v>
      </c>
    </row>
    <row r="38" spans="1:19" x14ac:dyDescent="0.35">
      <c r="A38">
        <v>37</v>
      </c>
      <c r="B38" s="4">
        <v>0.30058299999999999</v>
      </c>
      <c r="C38" s="4">
        <v>0.903173</v>
      </c>
      <c r="N38">
        <v>37</v>
      </c>
      <c r="O38" s="4">
        <v>0.903173</v>
      </c>
      <c r="P38">
        <f t="shared" si="2"/>
        <v>1.068112502</v>
      </c>
      <c r="Q38">
        <f t="shared" si="3"/>
        <v>-0.16493950199999996</v>
      </c>
      <c r="R38">
        <f t="shared" si="4"/>
        <v>1.1544942185662879</v>
      </c>
      <c r="S38" s="11">
        <f t="shared" si="1"/>
        <v>0.14366234206170866</v>
      </c>
    </row>
    <row r="39" spans="1:19" x14ac:dyDescent="0.35">
      <c r="A39">
        <v>38</v>
      </c>
      <c r="B39" s="4">
        <v>5.87921E-2</v>
      </c>
      <c r="C39" s="4">
        <v>0.510378</v>
      </c>
      <c r="N39">
        <v>38</v>
      </c>
      <c r="O39" s="4">
        <v>0.510378</v>
      </c>
      <c r="P39">
        <f t="shared" si="2"/>
        <v>0.92046127970000002</v>
      </c>
      <c r="Q39">
        <f t="shared" si="3"/>
        <v>-0.41008327970000003</v>
      </c>
      <c r="R39">
        <f t="shared" si="4"/>
        <v>0.51590017914797703</v>
      </c>
      <c r="S39" s="11">
        <f t="shared" si="1"/>
        <v>-0.66184198347829393</v>
      </c>
    </row>
    <row r="40" spans="1:19" x14ac:dyDescent="0.35">
      <c r="A40">
        <v>39</v>
      </c>
      <c r="B40" s="4">
        <v>0.31303399999999998</v>
      </c>
      <c r="C40" s="4">
        <v>0.56822300000000003</v>
      </c>
      <c r="N40">
        <v>39</v>
      </c>
      <c r="O40" s="4">
        <v>0.56822300000000003</v>
      </c>
      <c r="P40">
        <f t="shared" si="2"/>
        <v>0.72842380419999997</v>
      </c>
      <c r="Q40">
        <f t="shared" si="3"/>
        <v>-0.16020080419999994</v>
      </c>
      <c r="R40">
        <f t="shared" si="4"/>
        <v>1.1647035371483452</v>
      </c>
      <c r="S40" s="11">
        <f t="shared" si="1"/>
        <v>0.15246658008274463</v>
      </c>
    </row>
    <row r="41" spans="1:19" x14ac:dyDescent="0.35">
      <c r="A41">
        <v>40</v>
      </c>
      <c r="B41" s="4">
        <v>0.41755700000000001</v>
      </c>
      <c r="C41" s="4">
        <v>0.70166799999999996</v>
      </c>
      <c r="N41">
        <v>40</v>
      </c>
      <c r="O41" s="4">
        <v>0.70166799999999996</v>
      </c>
      <c r="P41">
        <f t="shared" si="2"/>
        <v>0.75670422469999998</v>
      </c>
      <c r="Q41">
        <f t="shared" si="3"/>
        <v>-5.5036224700000025E-2</v>
      </c>
      <c r="R41">
        <f t="shared" si="4"/>
        <v>1.3255284604634199</v>
      </c>
      <c r="S41" s="11">
        <f t="shared" si="1"/>
        <v>0.28181121800901782</v>
      </c>
    </row>
    <row r="42" spans="1:19" x14ac:dyDescent="0.35">
      <c r="A42">
        <v>41</v>
      </c>
      <c r="B42" s="4">
        <v>0.97019999999999995</v>
      </c>
      <c r="C42" s="4">
        <v>1.3210299999999999</v>
      </c>
      <c r="N42">
        <v>41</v>
      </c>
      <c r="O42" s="4">
        <v>1.3210299999999999</v>
      </c>
      <c r="P42">
        <f t="shared" si="2"/>
        <v>0.82194548519999999</v>
      </c>
      <c r="Q42">
        <f t="shared" si="3"/>
        <v>0.49908451479999993</v>
      </c>
      <c r="R42">
        <f t="shared" si="4"/>
        <v>0.32490411719860818</v>
      </c>
      <c r="S42" s="11">
        <f t="shared" si="1"/>
        <v>-1.1242251641848251</v>
      </c>
    </row>
    <row r="43" spans="1:19" x14ac:dyDescent="0.35">
      <c r="A43">
        <v>42</v>
      </c>
      <c r="B43" s="4">
        <v>0.207764</v>
      </c>
      <c r="C43" s="4">
        <v>0.86828099999999997</v>
      </c>
      <c r="N43">
        <v>42</v>
      </c>
      <c r="O43" s="4">
        <v>0.86828099999999997</v>
      </c>
      <c r="P43">
        <f t="shared" si="2"/>
        <v>1.1247515670000001</v>
      </c>
      <c r="Q43">
        <f t="shared" si="3"/>
        <v>-0.25647056700000015</v>
      </c>
      <c r="R43">
        <f t="shared" si="4"/>
        <v>0.92612160608322047</v>
      </c>
      <c r="S43" s="11">
        <f t="shared" si="1"/>
        <v>-7.6749728894254701E-2</v>
      </c>
    </row>
    <row r="44" spans="1:19" x14ac:dyDescent="0.35">
      <c r="A44">
        <v>43</v>
      </c>
      <c r="B44" s="4">
        <v>0.13600200000000001</v>
      </c>
      <c r="C44" s="4">
        <v>0.57014200000000004</v>
      </c>
      <c r="N44">
        <v>43</v>
      </c>
      <c r="O44" s="4">
        <v>0.57014200000000004</v>
      </c>
      <c r="P44">
        <f t="shared" si="2"/>
        <v>0.90340258089999992</v>
      </c>
      <c r="Q44">
        <f t="shared" si="3"/>
        <v>-0.33326058089999988</v>
      </c>
      <c r="R44">
        <f t="shared" si="4"/>
        <v>0.71496348792279674</v>
      </c>
      <c r="S44" s="11">
        <f t="shared" si="1"/>
        <v>-0.33552380343427624</v>
      </c>
    </row>
    <row r="45" spans="1:19" x14ac:dyDescent="0.35">
      <c r="A45">
        <v>44</v>
      </c>
      <c r="B45" s="4">
        <v>0.96398899999999998</v>
      </c>
      <c r="C45" s="4">
        <v>1.2490600000000001</v>
      </c>
      <c r="N45">
        <v>44</v>
      </c>
      <c r="O45" s="4">
        <v>1.2490600000000001</v>
      </c>
      <c r="P45">
        <f t="shared" si="2"/>
        <v>0.75764242380000002</v>
      </c>
      <c r="Q45">
        <f t="shared" si="3"/>
        <v>0.49141757620000004</v>
      </c>
      <c r="R45">
        <f t="shared" si="4"/>
        <v>0.33931371040334318</v>
      </c>
      <c r="S45" s="11">
        <f t="shared" si="1"/>
        <v>-1.0808302000998622</v>
      </c>
    </row>
    <row r="46" spans="1:19" x14ac:dyDescent="0.35">
      <c r="A46">
        <v>45</v>
      </c>
      <c r="B46" s="4">
        <v>0.96064799999999995</v>
      </c>
      <c r="C46" s="4">
        <v>1.58518</v>
      </c>
      <c r="N46">
        <v>45</v>
      </c>
      <c r="O46" s="4">
        <v>1.58518</v>
      </c>
      <c r="P46">
        <f t="shared" si="2"/>
        <v>1.0895654340000001</v>
      </c>
      <c r="Q46">
        <f t="shared" si="3"/>
        <v>0.49561456599999998</v>
      </c>
      <c r="R46">
        <f t="shared" si="4"/>
        <v>0.33137586851551787</v>
      </c>
      <c r="S46" s="11">
        <f t="shared" si="1"/>
        <v>-1.104501993431779</v>
      </c>
    </row>
    <row r="47" spans="1:19" x14ac:dyDescent="0.35">
      <c r="A47">
        <v>46</v>
      </c>
      <c r="B47" s="4">
        <v>0.771011</v>
      </c>
      <c r="C47" s="4">
        <v>1.5636000000000001</v>
      </c>
      <c r="N47">
        <v>46</v>
      </c>
      <c r="O47" s="4">
        <v>1.5636000000000001</v>
      </c>
      <c r="P47">
        <f t="shared" si="2"/>
        <v>1.2538945020000001</v>
      </c>
      <c r="Q47">
        <f t="shared" si="3"/>
        <v>0.30970549800000002</v>
      </c>
      <c r="R47">
        <f t="shared" si="4"/>
        <v>0.77959535883408515</v>
      </c>
      <c r="S47" s="11">
        <f t="shared" si="1"/>
        <v>-0.24898026463212017</v>
      </c>
    </row>
    <row r="48" spans="1:19" x14ac:dyDescent="0.35">
      <c r="A48">
        <v>47</v>
      </c>
      <c r="B48" s="4">
        <v>0.40643299999999999</v>
      </c>
      <c r="C48" s="4">
        <v>1.1882299999999999</v>
      </c>
      <c r="N48">
        <v>47</v>
      </c>
      <c r="O48" s="4">
        <v>1.1882299999999999</v>
      </c>
      <c r="P48">
        <f t="shared" si="2"/>
        <v>1.2433440400000002</v>
      </c>
      <c r="Q48">
        <f t="shared" si="3"/>
        <v>-5.5114040000000308E-2</v>
      </c>
      <c r="R48">
        <f t="shared" si="4"/>
        <v>1.3254635386093965</v>
      </c>
      <c r="S48" s="11">
        <f t="shared" si="1"/>
        <v>0.28176223871820211</v>
      </c>
    </row>
    <row r="49" spans="1:19" x14ac:dyDescent="0.35">
      <c r="A49">
        <v>48</v>
      </c>
      <c r="B49" s="4">
        <v>8.3175700000000005E-2</v>
      </c>
      <c r="C49" s="4">
        <v>0.67729200000000001</v>
      </c>
      <c r="N49">
        <v>48</v>
      </c>
      <c r="O49" s="4">
        <v>0.67729200000000001</v>
      </c>
      <c r="P49">
        <f t="shared" si="2"/>
        <v>1.0598256469999998</v>
      </c>
      <c r="Q49">
        <f t="shared" si="3"/>
        <v>-0.38253364699999981</v>
      </c>
      <c r="R49">
        <f t="shared" si="4"/>
        <v>0.58446224337436059</v>
      </c>
      <c r="S49" s="11">
        <f t="shared" si="1"/>
        <v>-0.53706309660750573</v>
      </c>
    </row>
    <row r="50" spans="1:19" x14ac:dyDescent="0.35">
      <c r="A50">
        <v>49</v>
      </c>
      <c r="B50" s="4">
        <v>0.160187</v>
      </c>
      <c r="C50" s="4">
        <v>0.49883300000000003</v>
      </c>
      <c r="N50">
        <v>49</v>
      </c>
      <c r="O50" s="4">
        <v>0.49883300000000003</v>
      </c>
      <c r="P50">
        <f t="shared" si="2"/>
        <v>0.81002805879999995</v>
      </c>
      <c r="Q50">
        <f t="shared" si="3"/>
        <v>-0.31119505879999992</v>
      </c>
      <c r="R50">
        <f t="shared" si="4"/>
        <v>0.77548609174600036</v>
      </c>
      <c r="S50" s="11">
        <f t="shared" si="1"/>
        <v>-0.2542652310898767</v>
      </c>
    </row>
    <row r="51" spans="1:19" x14ac:dyDescent="0.35">
      <c r="A51">
        <v>50</v>
      </c>
      <c r="B51" s="4">
        <v>0.328934</v>
      </c>
      <c r="C51" s="4">
        <v>0.57835000000000003</v>
      </c>
      <c r="N51">
        <v>50</v>
      </c>
      <c r="O51" s="4">
        <v>0.57835000000000003</v>
      </c>
      <c r="P51">
        <f t="shared" si="2"/>
        <v>0.72277945370000007</v>
      </c>
      <c r="Q51">
        <f t="shared" si="3"/>
        <v>-0.14442945370000004</v>
      </c>
      <c r="R51">
        <f t="shared" si="4"/>
        <v>1.1971221510804475</v>
      </c>
      <c r="S51" s="11">
        <f t="shared" si="1"/>
        <v>0.1799204690555804</v>
      </c>
    </row>
    <row r="52" spans="1:19" x14ac:dyDescent="0.35">
      <c r="A52">
        <v>51</v>
      </c>
      <c r="B52" s="4">
        <v>0.50087000000000004</v>
      </c>
      <c r="C52" s="4">
        <v>0.790045</v>
      </c>
      <c r="N52">
        <v>51</v>
      </c>
      <c r="O52" s="4">
        <v>0.790045</v>
      </c>
      <c r="P52">
        <f t="shared" si="2"/>
        <v>0.76165531500000005</v>
      </c>
      <c r="Q52">
        <f t="shared" si="3"/>
        <v>2.8389684999999942E-2</v>
      </c>
      <c r="R52">
        <f t="shared" si="4"/>
        <v>1.3424739493950824</v>
      </c>
      <c r="S52" s="11">
        <f t="shared" si="1"/>
        <v>0.29451414266518733</v>
      </c>
    </row>
    <row r="53" spans="1:19" x14ac:dyDescent="0.35">
      <c r="A53">
        <v>52</v>
      </c>
      <c r="B53" s="4">
        <v>0.31446800000000003</v>
      </c>
      <c r="C53" s="4">
        <v>0.70949099999999998</v>
      </c>
      <c r="N53">
        <v>52</v>
      </c>
      <c r="O53" s="4">
        <v>0.70949099999999998</v>
      </c>
      <c r="P53">
        <f t="shared" si="2"/>
        <v>0.86515300049999999</v>
      </c>
      <c r="Q53">
        <f t="shared" si="3"/>
        <v>-0.15566200050000001</v>
      </c>
      <c r="R53">
        <f t="shared" si="4"/>
        <v>1.1742842399132807</v>
      </c>
      <c r="S53" s="11">
        <f t="shared" si="1"/>
        <v>0.16065880446368591</v>
      </c>
    </row>
    <row r="54" spans="1:19" x14ac:dyDescent="0.35">
      <c r="A54">
        <v>53</v>
      </c>
      <c r="B54" s="4">
        <v>0.39263900000000002</v>
      </c>
      <c r="C54" s="4">
        <v>0.74738499999999997</v>
      </c>
      <c r="N54">
        <v>53</v>
      </c>
      <c r="O54" s="4">
        <v>0.74738499999999997</v>
      </c>
      <c r="P54">
        <f t="shared" si="2"/>
        <v>0.82577014989999997</v>
      </c>
      <c r="Q54">
        <f t="shared" si="3"/>
        <v>-7.8385149900000006E-2</v>
      </c>
      <c r="R54">
        <f t="shared" si="4"/>
        <v>1.3021409754940785</v>
      </c>
      <c r="S54" s="11">
        <f t="shared" si="1"/>
        <v>0.26400981403406593</v>
      </c>
    </row>
    <row r="55" spans="1:19" x14ac:dyDescent="0.35">
      <c r="A55">
        <v>54</v>
      </c>
      <c r="B55" s="4">
        <v>0.147339</v>
      </c>
      <c r="C55" s="4">
        <v>0.52103100000000002</v>
      </c>
      <c r="N55">
        <v>54</v>
      </c>
      <c r="O55" s="4">
        <v>0.52103100000000002</v>
      </c>
      <c r="P55">
        <f t="shared" si="2"/>
        <v>0.84429652649999998</v>
      </c>
      <c r="Q55">
        <f t="shared" si="3"/>
        <v>-0.32326552649999996</v>
      </c>
      <c r="R55">
        <f t="shared" si="4"/>
        <v>0.74228160988420644</v>
      </c>
      <c r="S55" s="11">
        <f t="shared" si="1"/>
        <v>-0.29802657967151513</v>
      </c>
    </row>
    <row r="56" spans="1:19" x14ac:dyDescent="0.35">
      <c r="A56">
        <v>55</v>
      </c>
      <c r="B56" s="4">
        <v>0.39483600000000002</v>
      </c>
      <c r="C56" s="4">
        <v>0.65535200000000005</v>
      </c>
      <c r="N56">
        <v>55</v>
      </c>
      <c r="O56" s="4">
        <v>0.65535200000000005</v>
      </c>
      <c r="P56">
        <f t="shared" si="2"/>
        <v>0.73363205590000002</v>
      </c>
      <c r="Q56">
        <f t="shared" si="3"/>
        <v>-7.8280055899999978E-2</v>
      </c>
      <c r="R56">
        <f t="shared" si="4"/>
        <v>1.3022634909449011</v>
      </c>
      <c r="S56" s="11">
        <f t="shared" si="1"/>
        <v>0.2641038973091423</v>
      </c>
    </row>
    <row r="57" spans="1:19" x14ac:dyDescent="0.35">
      <c r="A57">
        <v>56</v>
      </c>
      <c r="B57" s="4">
        <v>0.107941</v>
      </c>
      <c r="C57" s="4">
        <v>0.43561699999999998</v>
      </c>
      <c r="N57">
        <v>56</v>
      </c>
      <c r="O57" s="4">
        <v>0.43561699999999998</v>
      </c>
      <c r="P57">
        <f t="shared" si="2"/>
        <v>0.79930159280000002</v>
      </c>
      <c r="Q57">
        <f t="shared" si="3"/>
        <v>-0.36368459280000004</v>
      </c>
      <c r="R57">
        <f t="shared" si="4"/>
        <v>0.63337743867313401</v>
      </c>
      <c r="S57" s="11">
        <f t="shared" si="1"/>
        <v>-0.45668876491025628</v>
      </c>
    </row>
    <row r="58" spans="1:19" x14ac:dyDescent="0.35">
      <c r="A58">
        <v>57</v>
      </c>
      <c r="B58" s="4">
        <v>0.201599</v>
      </c>
      <c r="C58" s="4">
        <v>0.41940699999999997</v>
      </c>
      <c r="N58">
        <v>57</v>
      </c>
      <c r="O58" s="4">
        <v>0.41940699999999997</v>
      </c>
      <c r="P58">
        <f t="shared" si="2"/>
        <v>0.69187315130000004</v>
      </c>
      <c r="Q58">
        <f t="shared" si="3"/>
        <v>-0.27246615130000007</v>
      </c>
      <c r="R58">
        <f t="shared" si="4"/>
        <v>0.88241191252614437</v>
      </c>
      <c r="S58" s="11">
        <f t="shared" si="1"/>
        <v>-0.12509631099101445</v>
      </c>
    </row>
    <row r="59" spans="1:19" x14ac:dyDescent="0.35">
      <c r="A59">
        <v>58</v>
      </c>
      <c r="B59" s="4">
        <v>0.40118399999999999</v>
      </c>
      <c r="C59" s="4">
        <v>0.61088799999999999</v>
      </c>
      <c r="N59">
        <v>58</v>
      </c>
      <c r="O59" s="4">
        <v>0.61088799999999999</v>
      </c>
      <c r="P59">
        <f t="shared" si="2"/>
        <v>0.68394808229999993</v>
      </c>
      <c r="Q59">
        <f t="shared" si="3"/>
        <v>-7.306008229999994E-2</v>
      </c>
      <c r="R59">
        <f t="shared" si="4"/>
        <v>1.3081555063311745</v>
      </c>
      <c r="S59" s="11">
        <f t="shared" si="1"/>
        <v>0.26861813460070999</v>
      </c>
    </row>
    <row r="60" spans="1:19" x14ac:dyDescent="0.35">
      <c r="A60">
        <v>59</v>
      </c>
      <c r="B60" s="4">
        <v>0.93106100000000003</v>
      </c>
      <c r="C60" s="4">
        <v>1.2364999999999999</v>
      </c>
      <c r="N60">
        <v>59</v>
      </c>
      <c r="O60" s="4">
        <v>1.2364999999999999</v>
      </c>
      <c r="P60">
        <f t="shared" si="2"/>
        <v>0.77756314319999997</v>
      </c>
      <c r="Q60">
        <f t="shared" si="3"/>
        <v>0.45893685679999996</v>
      </c>
      <c r="R60">
        <f t="shared" si="4"/>
        <v>0.40476828534261905</v>
      </c>
      <c r="S60" s="11">
        <f t="shared" si="1"/>
        <v>-0.90444051056375241</v>
      </c>
    </row>
    <row r="61" spans="1:19" x14ac:dyDescent="0.35">
      <c r="A61">
        <v>60</v>
      </c>
      <c r="B61" s="4">
        <v>0.57188399999999995</v>
      </c>
      <c r="C61" s="4">
        <v>1.19014</v>
      </c>
      <c r="N61">
        <v>60</v>
      </c>
      <c r="O61" s="4">
        <v>1.19014</v>
      </c>
      <c r="P61">
        <f t="shared" si="2"/>
        <v>1.0834248500000001</v>
      </c>
      <c r="Q61">
        <f t="shared" si="3"/>
        <v>0.10671514999999987</v>
      </c>
      <c r="R61">
        <f t="shared" si="4"/>
        <v>1.2637010032290628</v>
      </c>
      <c r="S61" s="11">
        <f t="shared" si="1"/>
        <v>0.23404471966448309</v>
      </c>
    </row>
    <row r="62" spans="1:19" x14ac:dyDescent="0.35">
      <c r="A62">
        <v>61</v>
      </c>
      <c r="B62" s="4">
        <v>0.672516</v>
      </c>
      <c r="C62" s="4">
        <v>1.2675799999999999</v>
      </c>
      <c r="N62">
        <v>61</v>
      </c>
      <c r="O62" s="4">
        <v>1.2675799999999999</v>
      </c>
      <c r="P62">
        <f t="shared" si="2"/>
        <v>1.0607594460000001</v>
      </c>
      <c r="Q62">
        <f t="shared" si="3"/>
        <v>0.20682055399999988</v>
      </c>
      <c r="R62">
        <f t="shared" si="4"/>
        <v>1.056215899841046</v>
      </c>
      <c r="S62" s="11">
        <f t="shared" si="1"/>
        <v>5.4692614993943775E-2</v>
      </c>
    </row>
    <row r="63" spans="1:19" x14ac:dyDescent="0.35">
      <c r="A63">
        <v>62</v>
      </c>
      <c r="B63" s="4">
        <v>0.206207</v>
      </c>
      <c r="C63" s="4">
        <v>0.83999900000000005</v>
      </c>
      <c r="N63">
        <v>62</v>
      </c>
      <c r="O63" s="4">
        <v>0.83999900000000005</v>
      </c>
      <c r="P63">
        <f t="shared" si="2"/>
        <v>1.0986198620000001</v>
      </c>
      <c r="Q63">
        <f t="shared" si="3"/>
        <v>-0.25862086200000001</v>
      </c>
      <c r="R63">
        <f t="shared" si="4"/>
        <v>0.92027856813600784</v>
      </c>
      <c r="S63" s="11">
        <f t="shared" si="1"/>
        <v>-8.3078863318948912E-2</v>
      </c>
    </row>
    <row r="64" spans="1:19" x14ac:dyDescent="0.35">
      <c r="A64">
        <v>63</v>
      </c>
      <c r="B64" s="4">
        <v>0.85505699999999996</v>
      </c>
      <c r="C64" s="4">
        <v>1.2750600000000001</v>
      </c>
      <c r="N64">
        <v>63</v>
      </c>
      <c r="O64" s="4">
        <v>1.2750600000000001</v>
      </c>
      <c r="P64">
        <f t="shared" si="2"/>
        <v>0.88957551109999999</v>
      </c>
      <c r="Q64">
        <f t="shared" si="3"/>
        <v>0.38548448890000009</v>
      </c>
      <c r="R64">
        <f t="shared" si="4"/>
        <v>0.57694208918969891</v>
      </c>
      <c r="S64" s="11">
        <f t="shared" si="1"/>
        <v>-0.55001338286678458</v>
      </c>
    </row>
    <row r="65" spans="1:19" x14ac:dyDescent="0.35">
      <c r="A65">
        <v>64</v>
      </c>
      <c r="B65" s="4">
        <v>7.1411100000000005E-2</v>
      </c>
      <c r="C65" s="4">
        <v>0.70893899999999999</v>
      </c>
      <c r="N65">
        <v>64</v>
      </c>
      <c r="O65" s="4">
        <v>0.70893899999999999</v>
      </c>
      <c r="P65">
        <f t="shared" si="2"/>
        <v>1.102276834</v>
      </c>
      <c r="Q65">
        <f t="shared" si="3"/>
        <v>-0.393337834</v>
      </c>
      <c r="R65">
        <f t="shared" si="4"/>
        <v>0.55712591010484136</v>
      </c>
      <c r="S65" s="11">
        <f t="shared" si="1"/>
        <v>-0.58496401414288313</v>
      </c>
    </row>
    <row r="66" spans="1:19" x14ac:dyDescent="0.35">
      <c r="A66">
        <v>65</v>
      </c>
      <c r="B66" s="4">
        <v>0.28871200000000002</v>
      </c>
      <c r="C66" s="4">
        <v>0.643181</v>
      </c>
      <c r="N66">
        <v>65</v>
      </c>
      <c r="O66" s="4">
        <v>0.643181</v>
      </c>
      <c r="P66">
        <f t="shared" si="2"/>
        <v>0.82550027709999996</v>
      </c>
      <c r="Q66">
        <f t="shared" si="3"/>
        <v>-0.18231927709999995</v>
      </c>
      <c r="R66">
        <f t="shared" ref="R66:R97" si="5">_xlfn.NORM.DIST(Q66,0,$X$9,FALSE)</f>
        <v>1.1153575551096522</v>
      </c>
      <c r="S66" s="11">
        <f t="shared" si="1"/>
        <v>0.1091750307345168</v>
      </c>
    </row>
    <row r="67" spans="1:19" x14ac:dyDescent="0.35">
      <c r="A67">
        <v>66</v>
      </c>
      <c r="B67" s="4">
        <v>0.62800599999999995</v>
      </c>
      <c r="C67" s="4">
        <v>0.94959700000000002</v>
      </c>
      <c r="N67">
        <v>66</v>
      </c>
      <c r="O67" s="4">
        <v>0.94959700000000002</v>
      </c>
      <c r="P67">
        <f t="shared" si="2"/>
        <v>0.79335119089999995</v>
      </c>
      <c r="Q67">
        <f t="shared" si="3"/>
        <v>0.15624580910000008</v>
      </c>
      <c r="R67">
        <f t="shared" si="5"/>
        <v>1.1730629859394672</v>
      </c>
      <c r="S67" s="11">
        <f t="shared" ref="S67:S130" si="6">LN(R67)</f>
        <v>0.15961826468281923</v>
      </c>
    </row>
    <row r="68" spans="1:19" x14ac:dyDescent="0.35">
      <c r="A68">
        <v>67</v>
      </c>
      <c r="B68" s="4">
        <v>2.3208599999999999E-2</v>
      </c>
      <c r="C68" s="4">
        <v>0.49800699999999998</v>
      </c>
      <c r="N68">
        <v>67</v>
      </c>
      <c r="O68" s="4">
        <v>0.49800699999999998</v>
      </c>
      <c r="P68">
        <f t="shared" ref="P68:P131" si="7">$V$2+$V$3*O67</f>
        <v>0.94315797329999995</v>
      </c>
      <c r="Q68">
        <f t="shared" ref="Q68:Q131" si="8">O68-P68</f>
        <v>-0.44515097329999997</v>
      </c>
      <c r="R68">
        <f t="shared" si="5"/>
        <v>0.43464761515862976</v>
      </c>
      <c r="S68" s="11">
        <f t="shared" si="6"/>
        <v>-0.83321965628074446</v>
      </c>
    </row>
    <row r="69" spans="1:19" x14ac:dyDescent="0.35">
      <c r="A69">
        <v>68</v>
      </c>
      <c r="B69" s="4">
        <v>0.13549800000000001</v>
      </c>
      <c r="C69" s="4">
        <v>0.38450200000000001</v>
      </c>
      <c r="N69">
        <v>68</v>
      </c>
      <c r="O69" s="4">
        <v>0.38450200000000001</v>
      </c>
      <c r="P69">
        <f t="shared" si="7"/>
        <v>0.72237562229999996</v>
      </c>
      <c r="Q69">
        <f t="shared" si="8"/>
        <v>-0.33787362229999995</v>
      </c>
      <c r="R69">
        <f t="shared" si="5"/>
        <v>0.70242611351146567</v>
      </c>
      <c r="S69" s="11">
        <f t="shared" si="6"/>
        <v>-0.35321505980180601</v>
      </c>
    </row>
    <row r="70" spans="1:19" x14ac:dyDescent="0.35">
      <c r="A70">
        <v>69</v>
      </c>
      <c r="B70" s="4">
        <v>0.33892800000000001</v>
      </c>
      <c r="C70" s="4">
        <v>0.53117899999999996</v>
      </c>
      <c r="N70">
        <v>69</v>
      </c>
      <c r="O70" s="4">
        <v>0.53117899999999996</v>
      </c>
      <c r="P70">
        <f t="shared" si="7"/>
        <v>0.66688302779999997</v>
      </c>
      <c r="Q70">
        <f t="shared" si="8"/>
        <v>-0.13570402780000002</v>
      </c>
      <c r="R70">
        <f t="shared" si="5"/>
        <v>1.2139600760683527</v>
      </c>
      <c r="S70" s="11">
        <f t="shared" si="6"/>
        <v>0.19388780582665055</v>
      </c>
    </row>
    <row r="71" spans="1:19" x14ac:dyDescent="0.35">
      <c r="A71">
        <v>70</v>
      </c>
      <c r="B71" s="4">
        <v>0.60969499999999999</v>
      </c>
      <c r="C71" s="4">
        <v>0.87528499999999998</v>
      </c>
      <c r="N71">
        <v>70</v>
      </c>
      <c r="O71" s="4">
        <v>0.87528499999999998</v>
      </c>
      <c r="P71">
        <f t="shared" si="7"/>
        <v>0.73859341310000004</v>
      </c>
      <c r="Q71">
        <f t="shared" si="8"/>
        <v>0.13669158689999994</v>
      </c>
      <c r="R71">
        <f t="shared" si="5"/>
        <v>1.2120954325737952</v>
      </c>
      <c r="S71" s="11">
        <f t="shared" si="6"/>
        <v>0.19235062429466726</v>
      </c>
    </row>
    <row r="72" spans="1:19" x14ac:dyDescent="0.35">
      <c r="A72">
        <v>71</v>
      </c>
      <c r="B72" s="4">
        <v>0.170074</v>
      </c>
      <c r="C72" s="4">
        <v>0.60771699999999995</v>
      </c>
      <c r="N72">
        <v>71</v>
      </c>
      <c r="O72" s="4">
        <v>0.60771699999999995</v>
      </c>
      <c r="P72">
        <f t="shared" si="7"/>
        <v>0.90682683650000007</v>
      </c>
      <c r="Q72">
        <f t="shared" si="8"/>
        <v>-0.29910983650000011</v>
      </c>
      <c r="R72">
        <f t="shared" si="5"/>
        <v>0.80886880575406306</v>
      </c>
      <c r="S72" s="11">
        <f t="shared" si="6"/>
        <v>-0.21211854348714163</v>
      </c>
    </row>
    <row r="73" spans="1:19" x14ac:dyDescent="0.35">
      <c r="A73">
        <v>72</v>
      </c>
      <c r="B73" s="4">
        <v>0.56990099999999999</v>
      </c>
      <c r="C73" s="4">
        <v>0.87375899999999995</v>
      </c>
      <c r="N73">
        <v>72</v>
      </c>
      <c r="O73" s="4">
        <v>0.87375899999999995</v>
      </c>
      <c r="P73">
        <f t="shared" si="7"/>
        <v>0.77601284130000003</v>
      </c>
      <c r="Q73">
        <f t="shared" si="8"/>
        <v>9.7746158699999919E-2</v>
      </c>
      <c r="R73">
        <f t="shared" si="5"/>
        <v>1.2770128551229813</v>
      </c>
      <c r="S73" s="11">
        <f t="shared" si="6"/>
        <v>0.24452364365829396</v>
      </c>
    </row>
    <row r="74" spans="1:19" x14ac:dyDescent="0.35">
      <c r="A74">
        <v>73</v>
      </c>
      <c r="B74" s="4">
        <v>0.41642800000000002</v>
      </c>
      <c r="C74" s="4">
        <v>0.85330700000000004</v>
      </c>
      <c r="N74">
        <v>73</v>
      </c>
      <c r="O74" s="4">
        <v>0.85330700000000004</v>
      </c>
      <c r="P74">
        <f t="shared" si="7"/>
        <v>0.90608077509999996</v>
      </c>
      <c r="Q74">
        <f t="shared" si="8"/>
        <v>-5.277377509999992E-2</v>
      </c>
      <c r="R74">
        <f t="shared" si="5"/>
        <v>1.3273772678234441</v>
      </c>
      <c r="S74" s="11">
        <f t="shared" si="6"/>
        <v>0.28320501624286654</v>
      </c>
    </row>
    <row r="75" spans="1:19" x14ac:dyDescent="0.35">
      <c r="A75">
        <v>74</v>
      </c>
      <c r="B75" s="4">
        <v>0.96992500000000004</v>
      </c>
      <c r="C75" s="4">
        <v>1.3965799999999999</v>
      </c>
      <c r="N75">
        <v>74</v>
      </c>
      <c r="O75" s="4">
        <v>1.3965799999999999</v>
      </c>
      <c r="P75">
        <f t="shared" si="7"/>
        <v>0.89608179229999996</v>
      </c>
      <c r="Q75">
        <f t="shared" si="8"/>
        <v>0.50049820769999998</v>
      </c>
      <c r="R75">
        <f t="shared" si="5"/>
        <v>0.32229112130617399</v>
      </c>
      <c r="S75" s="11">
        <f t="shared" si="6"/>
        <v>-1.1323000384577446</v>
      </c>
    </row>
    <row r="76" spans="1:19" x14ac:dyDescent="0.35">
      <c r="A76">
        <v>75</v>
      </c>
      <c r="B76" s="4">
        <v>0.76258899999999996</v>
      </c>
      <c r="C76" s="4">
        <v>1.46088</v>
      </c>
      <c r="N76">
        <v>75</v>
      </c>
      <c r="O76" s="4">
        <v>1.46088</v>
      </c>
      <c r="P76">
        <f t="shared" si="7"/>
        <v>1.1616879619999998</v>
      </c>
      <c r="Q76">
        <f t="shared" si="8"/>
        <v>0.29919203800000016</v>
      </c>
      <c r="R76">
        <f t="shared" si="5"/>
        <v>0.80864151638679582</v>
      </c>
      <c r="S76" s="11">
        <f t="shared" si="6"/>
        <v>-0.2123995795530659</v>
      </c>
    </row>
    <row r="77" spans="1:19" x14ac:dyDescent="0.35">
      <c r="A77">
        <v>76</v>
      </c>
      <c r="B77" s="4">
        <v>0.960785</v>
      </c>
      <c r="C77" s="4">
        <v>1.6912199999999999</v>
      </c>
      <c r="N77">
        <v>76</v>
      </c>
      <c r="O77" s="4">
        <v>1.6912199999999999</v>
      </c>
      <c r="P77">
        <f t="shared" si="7"/>
        <v>1.193124232</v>
      </c>
      <c r="Q77">
        <f t="shared" si="8"/>
        <v>0.49809576799999999</v>
      </c>
      <c r="R77">
        <f t="shared" si="5"/>
        <v>0.32673980969446437</v>
      </c>
      <c r="S77" s="11">
        <f t="shared" si="6"/>
        <v>-1.1185911138211593</v>
      </c>
    </row>
    <row r="78" spans="1:19" x14ac:dyDescent="0.35">
      <c r="A78">
        <v>77</v>
      </c>
      <c r="B78" s="4">
        <v>3.11127E-2</v>
      </c>
      <c r="C78" s="4">
        <v>0.87672499999999998</v>
      </c>
      <c r="N78">
        <v>77</v>
      </c>
      <c r="O78" s="4">
        <v>0.87672499999999998</v>
      </c>
      <c r="P78">
        <f t="shared" si="7"/>
        <v>1.3057374579999999</v>
      </c>
      <c r="Q78">
        <f t="shared" si="8"/>
        <v>-0.42901245799999987</v>
      </c>
      <c r="R78">
        <f t="shared" si="5"/>
        <v>0.47113800284096197</v>
      </c>
      <c r="S78" s="11">
        <f t="shared" si="6"/>
        <v>-0.75260422821939799</v>
      </c>
    </row>
    <row r="79" spans="1:19" x14ac:dyDescent="0.35">
      <c r="A79">
        <v>78</v>
      </c>
      <c r="B79" s="4">
        <v>0.151978</v>
      </c>
      <c r="C79" s="4">
        <v>0.59033999999999998</v>
      </c>
      <c r="N79">
        <v>78</v>
      </c>
      <c r="O79" s="4">
        <v>0.59033999999999998</v>
      </c>
      <c r="P79">
        <f t="shared" si="7"/>
        <v>0.90753085249999998</v>
      </c>
      <c r="Q79">
        <f t="shared" si="8"/>
        <v>-0.31719085250000001</v>
      </c>
      <c r="R79">
        <f t="shared" si="5"/>
        <v>0.75896866500121929</v>
      </c>
      <c r="S79" s="11">
        <f t="shared" si="6"/>
        <v>-0.2757947870221128</v>
      </c>
    </row>
    <row r="80" spans="1:19" x14ac:dyDescent="0.35">
      <c r="A80">
        <v>79</v>
      </c>
      <c r="B80" s="4">
        <v>0.29933199999999999</v>
      </c>
      <c r="C80" s="4">
        <v>0.59450199999999997</v>
      </c>
      <c r="N80">
        <v>79</v>
      </c>
      <c r="O80" s="4">
        <v>0.59450199999999997</v>
      </c>
      <c r="P80">
        <f t="shared" si="7"/>
        <v>0.76751722600000005</v>
      </c>
      <c r="Q80">
        <f t="shared" si="8"/>
        <v>-0.17301522600000008</v>
      </c>
      <c r="R80">
        <f t="shared" si="5"/>
        <v>1.1366288669138556</v>
      </c>
      <c r="S80" s="11">
        <f t="shared" si="6"/>
        <v>0.12806674715986224</v>
      </c>
    </row>
    <row r="81" spans="1:19" x14ac:dyDescent="0.35">
      <c r="A81">
        <v>80</v>
      </c>
      <c r="B81" s="4">
        <v>6.2576300000000001E-2</v>
      </c>
      <c r="C81" s="4">
        <v>0.35982700000000001</v>
      </c>
      <c r="N81">
        <v>80</v>
      </c>
      <c r="O81" s="4">
        <v>0.35982700000000001</v>
      </c>
      <c r="P81">
        <f t="shared" si="7"/>
        <v>0.76955202779999998</v>
      </c>
      <c r="Q81">
        <f t="shared" si="8"/>
        <v>-0.40972502779999997</v>
      </c>
      <c r="R81">
        <f t="shared" si="5"/>
        <v>0.51676672775951682</v>
      </c>
      <c r="S81" s="11">
        <f t="shared" si="6"/>
        <v>-0.66016370985659267</v>
      </c>
    </row>
    <row r="82" spans="1:19" x14ac:dyDescent="0.35">
      <c r="A82">
        <v>81</v>
      </c>
      <c r="B82" s="4">
        <v>0.91728200000000004</v>
      </c>
      <c r="C82" s="4">
        <v>1.0972</v>
      </c>
      <c r="N82">
        <v>81</v>
      </c>
      <c r="O82" s="4">
        <v>1.0972</v>
      </c>
      <c r="P82">
        <f t="shared" si="7"/>
        <v>0.65481942029999995</v>
      </c>
      <c r="Q82">
        <f t="shared" si="8"/>
        <v>0.4423805797</v>
      </c>
      <c r="R82">
        <f t="shared" si="5"/>
        <v>0.44079767153732696</v>
      </c>
      <c r="S82" s="11">
        <f t="shared" si="6"/>
        <v>-0.8191693035137203</v>
      </c>
    </row>
    <row r="83" spans="1:19" x14ac:dyDescent="0.35">
      <c r="A83">
        <v>82</v>
      </c>
      <c r="B83" s="4">
        <v>0.97262599999999999</v>
      </c>
      <c r="C83" s="4">
        <v>1.52122</v>
      </c>
      <c r="N83">
        <v>82</v>
      </c>
      <c r="O83" s="4">
        <v>1.52122</v>
      </c>
      <c r="P83">
        <f t="shared" si="7"/>
        <v>1.0153210800000001</v>
      </c>
      <c r="Q83">
        <f t="shared" si="8"/>
        <v>0.50589891999999992</v>
      </c>
      <c r="R83">
        <f t="shared" si="5"/>
        <v>0.31243504896438823</v>
      </c>
      <c r="S83" s="11">
        <f t="shared" si="6"/>
        <v>-1.1633586747220535</v>
      </c>
    </row>
    <row r="84" spans="1:19" x14ac:dyDescent="0.35">
      <c r="A84">
        <v>83</v>
      </c>
      <c r="B84" s="4">
        <v>0.95283499999999999</v>
      </c>
      <c r="C84" s="4">
        <v>1.7134499999999999</v>
      </c>
      <c r="N84">
        <v>83</v>
      </c>
      <c r="O84" s="4">
        <v>1.7134499999999999</v>
      </c>
      <c r="P84">
        <f t="shared" si="7"/>
        <v>1.2226244579999999</v>
      </c>
      <c r="Q84">
        <f t="shared" si="8"/>
        <v>0.49082554200000006</v>
      </c>
      <c r="R84">
        <f t="shared" si="5"/>
        <v>0.34044311857415605</v>
      </c>
      <c r="S84" s="11">
        <f t="shared" si="6"/>
        <v>-1.0775072199930678</v>
      </c>
    </row>
    <row r="85" spans="1:19" x14ac:dyDescent="0.35">
      <c r="A85">
        <v>84</v>
      </c>
      <c r="B85" s="4">
        <v>0.30329899999999999</v>
      </c>
      <c r="C85" s="4">
        <v>1.1600200000000001</v>
      </c>
      <c r="N85">
        <v>84</v>
      </c>
      <c r="O85" s="4">
        <v>1.1600200000000001</v>
      </c>
      <c r="P85">
        <f t="shared" si="7"/>
        <v>1.316605705</v>
      </c>
      <c r="Q85">
        <f t="shared" si="8"/>
        <v>-0.15658570499999991</v>
      </c>
      <c r="R85">
        <f t="shared" si="5"/>
        <v>1.1723504483613485</v>
      </c>
      <c r="S85" s="11">
        <f t="shared" si="6"/>
        <v>0.15901066383120024</v>
      </c>
    </row>
    <row r="86" spans="1:19" x14ac:dyDescent="0.35">
      <c r="A86">
        <v>85</v>
      </c>
      <c r="B86" s="4">
        <v>0.72199999999999998</v>
      </c>
      <c r="C86" s="4">
        <v>1.3020099999999999</v>
      </c>
      <c r="N86">
        <v>85</v>
      </c>
      <c r="O86" s="4">
        <v>1.3020099999999999</v>
      </c>
      <c r="P86">
        <f t="shared" si="7"/>
        <v>1.046033778</v>
      </c>
      <c r="Q86">
        <f t="shared" si="8"/>
        <v>0.25597622199999992</v>
      </c>
      <c r="R86">
        <f t="shared" si="5"/>
        <v>0.92746320674655025</v>
      </c>
      <c r="S86" s="11">
        <f t="shared" si="6"/>
        <v>-7.5302154563349988E-2</v>
      </c>
    </row>
    <row r="87" spans="1:19" x14ac:dyDescent="0.35">
      <c r="A87">
        <v>86</v>
      </c>
      <c r="B87" s="4">
        <v>0.87870800000000004</v>
      </c>
      <c r="C87" s="4">
        <v>1.5297099999999999</v>
      </c>
      <c r="N87">
        <v>86</v>
      </c>
      <c r="O87" s="4">
        <v>1.5297099999999999</v>
      </c>
      <c r="P87">
        <f t="shared" si="7"/>
        <v>1.1154526890000001</v>
      </c>
      <c r="Q87">
        <f t="shared" si="8"/>
        <v>0.41425731099999985</v>
      </c>
      <c r="R87">
        <f t="shared" si="5"/>
        <v>0.50585569827812693</v>
      </c>
      <c r="S87" s="11">
        <f t="shared" si="6"/>
        <v>-0.68150383163510608</v>
      </c>
    </row>
    <row r="88" spans="1:19" x14ac:dyDescent="0.35">
      <c r="A88">
        <v>87</v>
      </c>
      <c r="B88" s="4">
        <v>0.60487400000000002</v>
      </c>
      <c r="C88" s="4">
        <v>1.3697299999999999</v>
      </c>
      <c r="N88">
        <v>87</v>
      </c>
      <c r="O88" s="4">
        <v>1.3697299999999999</v>
      </c>
      <c r="P88">
        <f t="shared" si="7"/>
        <v>1.2267752189999999</v>
      </c>
      <c r="Q88">
        <f t="shared" si="8"/>
        <v>0.14295478100000003</v>
      </c>
      <c r="R88">
        <f t="shared" si="5"/>
        <v>1.2000247362396808</v>
      </c>
      <c r="S88" s="11">
        <f t="shared" si="6"/>
        <v>0.18234217011456597</v>
      </c>
    </row>
    <row r="89" spans="1:19" x14ac:dyDescent="0.35">
      <c r="A89">
        <v>88</v>
      </c>
      <c r="B89" s="4">
        <v>0.30035400000000001</v>
      </c>
      <c r="C89" s="4">
        <v>0.98521899999999996</v>
      </c>
      <c r="N89">
        <v>88</v>
      </c>
      <c r="O89" s="4">
        <v>0.98521899999999996</v>
      </c>
      <c r="P89">
        <f t="shared" si="7"/>
        <v>1.1485609969999999</v>
      </c>
      <c r="Q89">
        <f t="shared" si="8"/>
        <v>-0.16334199699999996</v>
      </c>
      <c r="R89">
        <f t="shared" si="5"/>
        <v>1.1579591388412294</v>
      </c>
      <c r="S89" s="11">
        <f t="shared" si="6"/>
        <v>0.14665909255348009</v>
      </c>
    </row>
    <row r="90" spans="1:19" x14ac:dyDescent="0.35">
      <c r="A90">
        <v>89</v>
      </c>
      <c r="B90" s="4">
        <v>0.235764</v>
      </c>
      <c r="C90" s="4">
        <v>0.72837300000000005</v>
      </c>
      <c r="N90">
        <v>89</v>
      </c>
      <c r="O90" s="4">
        <v>0.72837300000000005</v>
      </c>
      <c r="P90">
        <f t="shared" si="7"/>
        <v>0.96057356909999991</v>
      </c>
      <c r="Q90">
        <f t="shared" si="8"/>
        <v>-0.23220056909999987</v>
      </c>
      <c r="R90">
        <f t="shared" si="5"/>
        <v>0.9910621529645447</v>
      </c>
      <c r="S90" s="11">
        <f t="shared" si="6"/>
        <v>-8.9780291974675772E-3</v>
      </c>
    </row>
    <row r="91" spans="1:19" x14ac:dyDescent="0.35">
      <c r="A91">
        <v>90</v>
      </c>
      <c r="B91" s="4">
        <v>0.73428300000000002</v>
      </c>
      <c r="C91" s="4">
        <v>1.0984700000000001</v>
      </c>
      <c r="N91">
        <v>90</v>
      </c>
      <c r="O91" s="4">
        <v>1.0984700000000001</v>
      </c>
      <c r="P91">
        <f t="shared" si="7"/>
        <v>0.83500155970000001</v>
      </c>
      <c r="Q91">
        <f t="shared" si="8"/>
        <v>0.26346844030000005</v>
      </c>
      <c r="R91">
        <f t="shared" si="5"/>
        <v>0.90706517779869444</v>
      </c>
      <c r="S91" s="11">
        <f t="shared" si="6"/>
        <v>-9.7540970590329734E-2</v>
      </c>
    </row>
    <row r="92" spans="1:19" x14ac:dyDescent="0.35">
      <c r="A92">
        <v>91</v>
      </c>
      <c r="B92" s="4">
        <v>0.32977299999999998</v>
      </c>
      <c r="C92" s="4">
        <v>0.87900800000000001</v>
      </c>
      <c r="N92">
        <v>91</v>
      </c>
      <c r="O92" s="4">
        <v>0.87900800000000001</v>
      </c>
      <c r="P92">
        <f t="shared" si="7"/>
        <v>1.015941983</v>
      </c>
      <c r="Q92">
        <f t="shared" si="8"/>
        <v>-0.13693398300000004</v>
      </c>
      <c r="R92">
        <f t="shared" si="5"/>
        <v>1.2116361301090022</v>
      </c>
      <c r="S92" s="11">
        <f t="shared" si="6"/>
        <v>0.19197161988892969</v>
      </c>
    </row>
    <row r="93" spans="1:19" x14ac:dyDescent="0.35">
      <c r="A93">
        <v>92</v>
      </c>
      <c r="B93" s="4">
        <v>0.55375700000000005</v>
      </c>
      <c r="C93" s="4">
        <v>0.99326099999999995</v>
      </c>
      <c r="N93">
        <v>92</v>
      </c>
      <c r="O93" s="4">
        <v>0.99326099999999995</v>
      </c>
      <c r="P93">
        <f t="shared" si="7"/>
        <v>0.90864701120000002</v>
      </c>
      <c r="Q93">
        <f t="shared" si="8"/>
        <v>8.4613988799999929E-2</v>
      </c>
      <c r="R93">
        <f t="shared" si="5"/>
        <v>1.2946082324433374</v>
      </c>
      <c r="S93" s="11">
        <f t="shared" si="6"/>
        <v>0.25820812617234573</v>
      </c>
    </row>
    <row r="94" spans="1:19" x14ac:dyDescent="0.35">
      <c r="A94">
        <v>93</v>
      </c>
      <c r="B94" s="4">
        <v>6.76422E-2</v>
      </c>
      <c r="C94" s="4">
        <v>0.56427300000000002</v>
      </c>
      <c r="N94">
        <v>93</v>
      </c>
      <c r="O94" s="4">
        <v>0.56427300000000002</v>
      </c>
      <c r="P94">
        <f t="shared" si="7"/>
        <v>0.96450530289999992</v>
      </c>
      <c r="Q94">
        <f t="shared" si="8"/>
        <v>-0.40023230289999989</v>
      </c>
      <c r="R94">
        <f t="shared" si="5"/>
        <v>0.53997725041911959</v>
      </c>
      <c r="S94" s="11">
        <f t="shared" si="6"/>
        <v>-0.61622826916474427</v>
      </c>
    </row>
    <row r="95" spans="1:19" x14ac:dyDescent="0.35">
      <c r="A95">
        <v>94</v>
      </c>
      <c r="B95" s="4">
        <v>0.95266700000000004</v>
      </c>
      <c r="C95" s="4">
        <v>1.2347999999999999</v>
      </c>
      <c r="N95">
        <v>94</v>
      </c>
      <c r="O95" s="4">
        <v>1.2347999999999999</v>
      </c>
      <c r="P95">
        <f t="shared" si="7"/>
        <v>0.75477306970000002</v>
      </c>
      <c r="Q95">
        <f t="shared" si="8"/>
        <v>0.48002693029999988</v>
      </c>
      <c r="R95">
        <f t="shared" si="5"/>
        <v>0.36146160435539681</v>
      </c>
      <c r="S95" s="11">
        <f t="shared" si="6"/>
        <v>-1.0175994550424796</v>
      </c>
    </row>
    <row r="96" spans="1:19" x14ac:dyDescent="0.35">
      <c r="A96">
        <v>95</v>
      </c>
      <c r="B96" s="4">
        <v>0.60986300000000004</v>
      </c>
      <c r="C96" s="4">
        <v>1.2272700000000001</v>
      </c>
      <c r="N96">
        <v>95</v>
      </c>
      <c r="O96" s="4">
        <v>1.2272700000000001</v>
      </c>
      <c r="P96">
        <f t="shared" si="7"/>
        <v>1.08259372</v>
      </c>
      <c r="Q96">
        <f t="shared" si="8"/>
        <v>0.1446762800000001</v>
      </c>
      <c r="R96">
        <f t="shared" si="5"/>
        <v>1.1966341059160226</v>
      </c>
      <c r="S96" s="11">
        <f t="shared" si="6"/>
        <v>0.17951270392096336</v>
      </c>
    </row>
    <row r="97" spans="1:19" x14ac:dyDescent="0.35">
      <c r="A97">
        <v>96</v>
      </c>
      <c r="B97" s="4">
        <v>0.123749</v>
      </c>
      <c r="C97" s="4">
        <v>0.73738099999999995</v>
      </c>
      <c r="N97">
        <v>96</v>
      </c>
      <c r="O97" s="4">
        <v>0.73738099999999995</v>
      </c>
      <c r="P97">
        <f t="shared" si="7"/>
        <v>1.0789123030000001</v>
      </c>
      <c r="Q97">
        <f t="shared" si="8"/>
        <v>-0.34153130300000012</v>
      </c>
      <c r="R97">
        <f t="shared" si="5"/>
        <v>0.69252196412563483</v>
      </c>
      <c r="S97" s="11">
        <f t="shared" si="6"/>
        <v>-0.36741532427469048</v>
      </c>
    </row>
    <row r="98" spans="1:19" x14ac:dyDescent="0.35">
      <c r="A98">
        <v>97</v>
      </c>
      <c r="B98" s="4">
        <v>6.2683100000000005E-2</v>
      </c>
      <c r="C98" s="4">
        <v>0.43137399999999998</v>
      </c>
      <c r="N98">
        <v>97</v>
      </c>
      <c r="O98" s="4">
        <v>0.43137399999999998</v>
      </c>
      <c r="P98">
        <f t="shared" si="7"/>
        <v>0.8394055708999999</v>
      </c>
      <c r="Q98">
        <f t="shared" si="8"/>
        <v>-0.40803157089999992</v>
      </c>
      <c r="R98">
        <f t="shared" ref="R98:R129" si="9">_xlfn.NORM.DIST(Q98,0,$X$9,FALSE)</f>
        <v>0.52087230469196466</v>
      </c>
      <c r="S98" s="11">
        <f t="shared" si="6"/>
        <v>-0.65225036383036938</v>
      </c>
    </row>
    <row r="99" spans="1:19" x14ac:dyDescent="0.35">
      <c r="A99">
        <v>98</v>
      </c>
      <c r="B99" s="4">
        <v>0.62062099999999998</v>
      </c>
      <c r="C99" s="4">
        <v>0.83630800000000005</v>
      </c>
      <c r="N99">
        <v>98</v>
      </c>
      <c r="O99" s="4">
        <v>0.83630800000000005</v>
      </c>
      <c r="P99">
        <f t="shared" si="7"/>
        <v>0.68979874860000001</v>
      </c>
      <c r="Q99">
        <f t="shared" si="8"/>
        <v>0.14650925140000004</v>
      </c>
      <c r="R99">
        <f t="shared" si="9"/>
        <v>1.1929900360357837</v>
      </c>
      <c r="S99" s="11">
        <f t="shared" si="6"/>
        <v>0.17646279105724916</v>
      </c>
    </row>
    <row r="100" spans="1:19" x14ac:dyDescent="0.35">
      <c r="A100">
        <v>99</v>
      </c>
      <c r="B100" s="4">
        <v>0.98837299999999995</v>
      </c>
      <c r="C100" s="4">
        <v>1.4065300000000001</v>
      </c>
      <c r="N100">
        <v>99</v>
      </c>
      <c r="O100" s="4">
        <v>1.4065300000000001</v>
      </c>
      <c r="P100">
        <f t="shared" si="7"/>
        <v>0.88777098120000009</v>
      </c>
      <c r="Q100">
        <f t="shared" si="8"/>
        <v>0.51875901879999997</v>
      </c>
      <c r="R100">
        <f t="shared" si="9"/>
        <v>0.28977312964212287</v>
      </c>
      <c r="S100" s="11">
        <f t="shared" si="6"/>
        <v>-1.2386569737458955</v>
      </c>
    </row>
    <row r="101" spans="1:19" x14ac:dyDescent="0.35">
      <c r="A101">
        <v>100</v>
      </c>
      <c r="B101" s="4">
        <v>0.65075700000000003</v>
      </c>
      <c r="C101" s="4">
        <v>1.35402</v>
      </c>
      <c r="N101">
        <v>100</v>
      </c>
      <c r="O101" s="4">
        <v>1.35402</v>
      </c>
      <c r="P101">
        <f t="shared" si="7"/>
        <v>1.166552517</v>
      </c>
      <c r="Q101">
        <f t="shared" si="8"/>
        <v>0.18746748300000005</v>
      </c>
      <c r="R101">
        <f t="shared" si="9"/>
        <v>1.1032898904216044</v>
      </c>
      <c r="S101" s="11">
        <f t="shared" si="6"/>
        <v>9.8296525705438398E-2</v>
      </c>
    </row>
    <row r="102" spans="1:19" x14ac:dyDescent="0.35">
      <c r="A102">
        <v>101</v>
      </c>
      <c r="B102" s="4">
        <v>0.37666300000000003</v>
      </c>
      <c r="C102" s="4">
        <v>1.0536700000000001</v>
      </c>
      <c r="N102">
        <v>101</v>
      </c>
      <c r="O102" s="4">
        <v>1.0536700000000001</v>
      </c>
      <c r="P102">
        <f t="shared" si="7"/>
        <v>1.1408803779999999</v>
      </c>
      <c r="Q102">
        <f t="shared" si="8"/>
        <v>-8.7210377999999755E-2</v>
      </c>
      <c r="R102">
        <f t="shared" si="9"/>
        <v>1.2913121246081207</v>
      </c>
      <c r="S102" s="11">
        <f t="shared" si="6"/>
        <v>0.25565885228516672</v>
      </c>
    </row>
    <row r="103" spans="1:19" x14ac:dyDescent="0.35">
      <c r="A103">
        <v>102</v>
      </c>
      <c r="B103" s="4">
        <v>0.71632399999999996</v>
      </c>
      <c r="C103" s="4">
        <v>1.24316</v>
      </c>
      <c r="N103">
        <v>102</v>
      </c>
      <c r="O103" s="4">
        <v>1.24316</v>
      </c>
      <c r="P103">
        <f t="shared" si="7"/>
        <v>0.99403926300000001</v>
      </c>
      <c r="Q103">
        <f t="shared" si="8"/>
        <v>0.24912073700000004</v>
      </c>
      <c r="R103">
        <f t="shared" si="9"/>
        <v>0.94599746913001093</v>
      </c>
      <c r="S103" s="11">
        <f t="shared" si="6"/>
        <v>-5.5515385272092335E-2</v>
      </c>
    </row>
    <row r="104" spans="1:19" x14ac:dyDescent="0.35">
      <c r="A104">
        <v>103</v>
      </c>
      <c r="B104" s="4">
        <v>0.37498500000000001</v>
      </c>
      <c r="C104" s="4">
        <v>0.99656500000000003</v>
      </c>
      <c r="N104">
        <v>103</v>
      </c>
      <c r="O104" s="4">
        <v>0.99656500000000003</v>
      </c>
      <c r="P104">
        <f t="shared" si="7"/>
        <v>1.0866809239999999</v>
      </c>
      <c r="Q104">
        <f t="shared" si="8"/>
        <v>-9.0115923999999903E-2</v>
      </c>
      <c r="R104">
        <f t="shared" si="9"/>
        <v>1.287515873502719</v>
      </c>
      <c r="S104" s="11">
        <f t="shared" si="6"/>
        <v>0.25271468241390416</v>
      </c>
    </row>
    <row r="105" spans="1:19" x14ac:dyDescent="0.35">
      <c r="A105">
        <v>104</v>
      </c>
      <c r="B105" s="4">
        <v>0.44219999999999998</v>
      </c>
      <c r="C105" s="4">
        <v>0.94048200000000004</v>
      </c>
      <c r="N105">
        <v>104</v>
      </c>
      <c r="O105" s="4">
        <v>0.94048200000000004</v>
      </c>
      <c r="P105">
        <f t="shared" si="7"/>
        <v>0.96612062850000002</v>
      </c>
      <c r="Q105">
        <f t="shared" si="8"/>
        <v>-2.5638628499999983E-2</v>
      </c>
      <c r="R105">
        <f t="shared" si="9"/>
        <v>1.3436146539738152</v>
      </c>
      <c r="S105" s="11">
        <f t="shared" si="6"/>
        <v>0.2953634851968342</v>
      </c>
    </row>
    <row r="106" spans="1:19" x14ac:dyDescent="0.35">
      <c r="A106">
        <v>105</v>
      </c>
      <c r="B106" s="4">
        <v>9.6206700000000006E-2</v>
      </c>
      <c r="C106" s="4">
        <v>0.56644799999999995</v>
      </c>
      <c r="N106">
        <v>105</v>
      </c>
      <c r="O106" s="4">
        <v>0.56644799999999995</v>
      </c>
      <c r="P106">
        <f t="shared" si="7"/>
        <v>0.93870164980000004</v>
      </c>
      <c r="Q106">
        <f t="shared" si="8"/>
        <v>-0.37225364980000009</v>
      </c>
      <c r="R106">
        <f t="shared" si="9"/>
        <v>0.61095941474157778</v>
      </c>
      <c r="S106" s="11">
        <f t="shared" si="6"/>
        <v>-0.49272474633493774</v>
      </c>
    </row>
    <row r="107" spans="1:19" x14ac:dyDescent="0.35">
      <c r="A107">
        <v>106</v>
      </c>
      <c r="B107" s="4">
        <v>0.98483299999999996</v>
      </c>
      <c r="C107" s="4">
        <v>1.26806</v>
      </c>
      <c r="N107">
        <v>106</v>
      </c>
      <c r="O107" s="4">
        <v>1.26806</v>
      </c>
      <c r="P107">
        <f t="shared" si="7"/>
        <v>0.75583642719999999</v>
      </c>
      <c r="Q107">
        <f t="shared" si="8"/>
        <v>0.51222357279999997</v>
      </c>
      <c r="R107">
        <f t="shared" si="9"/>
        <v>0.30114767781545837</v>
      </c>
      <c r="S107" s="11">
        <f t="shared" si="6"/>
        <v>-1.2001545105782276</v>
      </c>
    </row>
    <row r="108" spans="1:19" x14ac:dyDescent="0.35">
      <c r="A108">
        <v>107</v>
      </c>
      <c r="B108" s="4">
        <v>0.23085</v>
      </c>
      <c r="C108" s="4">
        <v>0.86487899999999995</v>
      </c>
      <c r="N108">
        <v>107</v>
      </c>
      <c r="O108" s="4">
        <v>0.86487899999999995</v>
      </c>
      <c r="P108">
        <f t="shared" si="7"/>
        <v>1.098854534</v>
      </c>
      <c r="Q108">
        <f t="shared" si="8"/>
        <v>-0.23397553400000004</v>
      </c>
      <c r="R108">
        <f t="shared" si="9"/>
        <v>0.98638721024196363</v>
      </c>
      <c r="S108" s="11">
        <f t="shared" si="6"/>
        <v>-1.370629331301803E-2</v>
      </c>
    </row>
    <row r="109" spans="1:19" x14ac:dyDescent="0.35">
      <c r="A109">
        <v>108</v>
      </c>
      <c r="B109" s="4">
        <v>0.105423</v>
      </c>
      <c r="C109" s="4">
        <v>0.53786199999999995</v>
      </c>
      <c r="N109">
        <v>108</v>
      </c>
      <c r="O109" s="4">
        <v>0.53786199999999995</v>
      </c>
      <c r="P109">
        <f t="shared" si="7"/>
        <v>0.90173934310000003</v>
      </c>
      <c r="Q109">
        <f t="shared" si="8"/>
        <v>-0.36387734310000008</v>
      </c>
      <c r="R109">
        <f t="shared" si="9"/>
        <v>0.63287007943554319</v>
      </c>
      <c r="S109" s="11">
        <f t="shared" si="6"/>
        <v>-0.45749012366118957</v>
      </c>
    </row>
    <row r="110" spans="1:19" x14ac:dyDescent="0.35">
      <c r="A110">
        <v>109</v>
      </c>
      <c r="B110" s="4">
        <v>0.85238599999999998</v>
      </c>
      <c r="C110" s="4">
        <v>1.1213200000000001</v>
      </c>
      <c r="N110">
        <v>109</v>
      </c>
      <c r="O110" s="4">
        <v>1.1213200000000001</v>
      </c>
      <c r="P110">
        <f t="shared" si="7"/>
        <v>0.7418607317999999</v>
      </c>
      <c r="Q110">
        <f t="shared" si="8"/>
        <v>0.3794592682000002</v>
      </c>
      <c r="R110">
        <f t="shared" si="9"/>
        <v>0.59233880776983028</v>
      </c>
      <c r="S110" s="11">
        <f t="shared" si="6"/>
        <v>-0.52367649738327249</v>
      </c>
    </row>
    <row r="111" spans="1:19" x14ac:dyDescent="0.35">
      <c r="A111">
        <v>110</v>
      </c>
      <c r="B111" s="4">
        <v>0.19653300000000001</v>
      </c>
      <c r="C111" s="4">
        <v>0.75719199999999998</v>
      </c>
      <c r="N111">
        <v>110</v>
      </c>
      <c r="O111" s="4">
        <v>0.75719199999999998</v>
      </c>
      <c r="P111">
        <f t="shared" si="7"/>
        <v>1.0271133480000001</v>
      </c>
      <c r="Q111">
        <f t="shared" si="8"/>
        <v>-0.26992134800000012</v>
      </c>
      <c r="R111">
        <f t="shared" si="9"/>
        <v>0.88939923884235017</v>
      </c>
      <c r="S111" s="11">
        <f t="shared" si="6"/>
        <v>-0.11720905671617234</v>
      </c>
    </row>
    <row r="112" spans="1:19" x14ac:dyDescent="0.35">
      <c r="A112">
        <v>111</v>
      </c>
      <c r="B112" s="4">
        <v>0.26136799999999999</v>
      </c>
      <c r="C112" s="4">
        <v>0.63996399999999998</v>
      </c>
      <c r="N112">
        <v>111</v>
      </c>
      <c r="O112" s="4">
        <v>0.63996399999999998</v>
      </c>
      <c r="P112">
        <f t="shared" si="7"/>
        <v>0.84909116880000002</v>
      </c>
      <c r="Q112">
        <f t="shared" si="8"/>
        <v>-0.20912716880000004</v>
      </c>
      <c r="R112">
        <f t="shared" si="9"/>
        <v>1.0504410789423384</v>
      </c>
      <c r="S112" s="11">
        <f t="shared" si="6"/>
        <v>4.9210151145733155E-2</v>
      </c>
    </row>
    <row r="113" spans="1:19" x14ac:dyDescent="0.35">
      <c r="A113">
        <v>112</v>
      </c>
      <c r="B113" s="4">
        <v>5.3573599999999999E-2</v>
      </c>
      <c r="C113" s="4">
        <v>0.373556</v>
      </c>
      <c r="N113">
        <v>112</v>
      </c>
      <c r="O113" s="4">
        <v>0.373556</v>
      </c>
      <c r="P113">
        <f t="shared" si="7"/>
        <v>0.79177839959999996</v>
      </c>
      <c r="Q113">
        <f t="shared" si="8"/>
        <v>-0.41822239959999996</v>
      </c>
      <c r="R113">
        <f t="shared" si="9"/>
        <v>0.49640365392214109</v>
      </c>
      <c r="S113" s="11">
        <f t="shared" si="6"/>
        <v>-0.70036586483642871</v>
      </c>
    </row>
    <row r="114" spans="1:19" x14ac:dyDescent="0.35">
      <c r="A114">
        <v>113</v>
      </c>
      <c r="B114" s="4">
        <v>0.60353100000000004</v>
      </c>
      <c r="C114" s="4">
        <v>0.79030900000000004</v>
      </c>
      <c r="N114">
        <v>113</v>
      </c>
      <c r="O114" s="4">
        <v>0.79030900000000004</v>
      </c>
      <c r="P114">
        <f t="shared" si="7"/>
        <v>0.66153152839999996</v>
      </c>
      <c r="Q114">
        <f t="shared" si="8"/>
        <v>0.12877747160000008</v>
      </c>
      <c r="R114">
        <f t="shared" si="9"/>
        <v>1.226734877358804</v>
      </c>
      <c r="S114" s="11">
        <f t="shared" si="6"/>
        <v>0.2043560685092467</v>
      </c>
    </row>
    <row r="115" spans="1:19" x14ac:dyDescent="0.35">
      <c r="A115">
        <v>114</v>
      </c>
      <c r="B115" s="4">
        <v>0.68577600000000005</v>
      </c>
      <c r="C115" s="4">
        <v>1.0809299999999999</v>
      </c>
      <c r="N115">
        <v>114</v>
      </c>
      <c r="O115" s="4">
        <v>1.0809299999999999</v>
      </c>
      <c r="P115">
        <f t="shared" si="7"/>
        <v>0.86528207010000002</v>
      </c>
      <c r="Q115">
        <f t="shared" si="8"/>
        <v>0.21564792989999992</v>
      </c>
      <c r="R115">
        <f t="shared" si="9"/>
        <v>1.0339458416538705</v>
      </c>
      <c r="S115" s="11">
        <f t="shared" si="6"/>
        <v>3.3382397203724122E-2</v>
      </c>
    </row>
    <row r="116" spans="1:19" x14ac:dyDescent="0.35">
      <c r="A116">
        <v>115</v>
      </c>
      <c r="B116" s="4">
        <v>6.1569199999999998E-2</v>
      </c>
      <c r="C116" s="4">
        <v>0.60203399999999996</v>
      </c>
      <c r="N116">
        <v>115</v>
      </c>
      <c r="O116" s="4">
        <v>0.60203399999999996</v>
      </c>
      <c r="P116">
        <f t="shared" si="7"/>
        <v>1.0073666769999998</v>
      </c>
      <c r="Q116">
        <f t="shared" si="8"/>
        <v>-0.40533267699999986</v>
      </c>
      <c r="R116">
        <f t="shared" si="9"/>
        <v>0.52744723010006156</v>
      </c>
      <c r="S116" s="11">
        <f t="shared" si="6"/>
        <v>-0.63970645636102419</v>
      </c>
    </row>
    <row r="117" spans="1:19" x14ac:dyDescent="0.35">
      <c r="A117">
        <v>116</v>
      </c>
      <c r="B117" s="4">
        <v>0.95401000000000002</v>
      </c>
      <c r="C117" s="4">
        <v>1.2550300000000001</v>
      </c>
      <c r="N117">
        <v>116</v>
      </c>
      <c r="O117" s="4">
        <v>1.2550300000000001</v>
      </c>
      <c r="P117">
        <f t="shared" si="7"/>
        <v>0.77323442259999997</v>
      </c>
      <c r="Q117">
        <f t="shared" si="8"/>
        <v>0.48179557740000012</v>
      </c>
      <c r="R117">
        <f t="shared" si="9"/>
        <v>0.35796496268019057</v>
      </c>
      <c r="S117" s="11">
        <f t="shared" si="6"/>
        <v>-1.0273201669793857</v>
      </c>
    </row>
    <row r="118" spans="1:19" x14ac:dyDescent="0.35">
      <c r="A118">
        <v>117</v>
      </c>
      <c r="B118" s="4">
        <v>0.26217699999999999</v>
      </c>
      <c r="C118" s="4">
        <v>0.88968999999999998</v>
      </c>
      <c r="N118">
        <v>117</v>
      </c>
      <c r="O118" s="4">
        <v>0.88968999999999998</v>
      </c>
      <c r="P118">
        <f t="shared" si="7"/>
        <v>1.0924841670000001</v>
      </c>
      <c r="Q118">
        <f t="shared" si="8"/>
        <v>-0.20279416700000008</v>
      </c>
      <c r="R118">
        <f t="shared" si="9"/>
        <v>1.0662171389398865</v>
      </c>
      <c r="S118" s="11">
        <f t="shared" si="6"/>
        <v>6.4117000066189242E-2</v>
      </c>
    </row>
    <row r="119" spans="1:19" x14ac:dyDescent="0.35">
      <c r="A119">
        <v>118</v>
      </c>
      <c r="B119" s="4">
        <v>0.441635</v>
      </c>
      <c r="C119" s="4">
        <v>0.88648000000000005</v>
      </c>
      <c r="N119">
        <v>118</v>
      </c>
      <c r="O119" s="4">
        <v>0.88648000000000005</v>
      </c>
      <c r="P119">
        <f t="shared" si="7"/>
        <v>0.913869441</v>
      </c>
      <c r="Q119">
        <f t="shared" si="8"/>
        <v>-2.7389440999999959E-2</v>
      </c>
      <c r="R119">
        <f t="shared" si="9"/>
        <v>1.3429020193136552</v>
      </c>
      <c r="S119" s="11">
        <f t="shared" si="6"/>
        <v>0.29483295830008299</v>
      </c>
    </row>
    <row r="120" spans="1:19" x14ac:dyDescent="0.35">
      <c r="A120">
        <v>119</v>
      </c>
      <c r="B120" s="4">
        <v>0.61621099999999995</v>
      </c>
      <c r="C120" s="4">
        <v>1.05945</v>
      </c>
      <c r="N120">
        <v>119</v>
      </c>
      <c r="O120" s="4">
        <v>1.05945</v>
      </c>
      <c r="P120">
        <f t="shared" si="7"/>
        <v>0.91230007200000007</v>
      </c>
      <c r="Q120">
        <f t="shared" si="8"/>
        <v>0.14714992799999993</v>
      </c>
      <c r="R120">
        <f t="shared" si="9"/>
        <v>1.1917081548333357</v>
      </c>
      <c r="S120" s="11">
        <f t="shared" si="6"/>
        <v>0.17538770211658194</v>
      </c>
    </row>
    <row r="121" spans="1:19" x14ac:dyDescent="0.35">
      <c r="A121">
        <v>120</v>
      </c>
      <c r="B121" s="4">
        <v>0.84051500000000001</v>
      </c>
      <c r="C121" s="4">
        <v>1.3702399999999999</v>
      </c>
      <c r="N121">
        <v>120</v>
      </c>
      <c r="O121" s="4">
        <v>1.3702399999999999</v>
      </c>
      <c r="P121">
        <f t="shared" si="7"/>
        <v>0.99686510500000003</v>
      </c>
      <c r="Q121">
        <f t="shared" si="8"/>
        <v>0.37337489499999987</v>
      </c>
      <c r="R121">
        <f t="shared" si="9"/>
        <v>0.60804762196173034</v>
      </c>
      <c r="S121" s="11">
        <f t="shared" si="6"/>
        <v>-0.49750207448830808</v>
      </c>
    </row>
    <row r="122" spans="1:19" x14ac:dyDescent="0.35">
      <c r="A122">
        <v>121</v>
      </c>
      <c r="B122" s="4">
        <v>0.57135000000000002</v>
      </c>
      <c r="C122" s="4">
        <v>1.25647</v>
      </c>
      <c r="N122">
        <v>121</v>
      </c>
      <c r="O122" s="4">
        <v>1.25647</v>
      </c>
      <c r="P122">
        <f t="shared" si="7"/>
        <v>1.1488103359999999</v>
      </c>
      <c r="Q122">
        <f t="shared" si="8"/>
        <v>0.10765966400000004</v>
      </c>
      <c r="R122">
        <f t="shared" si="9"/>
        <v>1.2622397105099896</v>
      </c>
      <c r="S122" s="11">
        <f t="shared" si="6"/>
        <v>0.23288769101836629</v>
      </c>
    </row>
    <row r="123" spans="1:19" x14ac:dyDescent="0.35">
      <c r="A123">
        <v>122</v>
      </c>
      <c r="B123" s="4">
        <v>0.70442199999999999</v>
      </c>
      <c r="C123" s="4">
        <v>1.33266</v>
      </c>
      <c r="N123">
        <v>122</v>
      </c>
      <c r="O123" s="4">
        <v>1.33266</v>
      </c>
      <c r="P123">
        <f t="shared" si="7"/>
        <v>1.0931881830000001</v>
      </c>
      <c r="Q123">
        <f t="shared" si="8"/>
        <v>0.23947181699999986</v>
      </c>
      <c r="R123">
        <f t="shared" si="9"/>
        <v>0.97182842151366455</v>
      </c>
      <c r="S123" s="11">
        <f t="shared" si="6"/>
        <v>-2.8576011179853682E-2</v>
      </c>
    </row>
    <row r="124" spans="1:19" x14ac:dyDescent="0.35">
      <c r="A124">
        <v>123</v>
      </c>
      <c r="B124" s="4">
        <v>0.29092400000000002</v>
      </c>
      <c r="C124" s="4">
        <v>0.95725300000000002</v>
      </c>
      <c r="N124">
        <v>123</v>
      </c>
      <c r="O124" s="4">
        <v>0.95725300000000002</v>
      </c>
      <c r="P124">
        <f t="shared" si="7"/>
        <v>1.1304374739999998</v>
      </c>
      <c r="Q124">
        <f t="shared" si="8"/>
        <v>-0.17318447399999981</v>
      </c>
      <c r="R124">
        <f t="shared" si="9"/>
        <v>1.1362483638464911</v>
      </c>
      <c r="S124" s="11">
        <f t="shared" si="6"/>
        <v>0.12773192654943105</v>
      </c>
    </row>
    <row r="125" spans="1:19" x14ac:dyDescent="0.35">
      <c r="A125">
        <v>124</v>
      </c>
      <c r="B125" s="4">
        <v>0.56164599999999998</v>
      </c>
      <c r="C125" s="4">
        <v>1.04027</v>
      </c>
      <c r="N125">
        <v>124</v>
      </c>
      <c r="O125" s="4">
        <v>1.04027</v>
      </c>
      <c r="P125">
        <f t="shared" si="7"/>
        <v>0.94690099169999997</v>
      </c>
      <c r="Q125">
        <f t="shared" si="8"/>
        <v>9.3369008300000056E-2</v>
      </c>
      <c r="R125">
        <f t="shared" si="9"/>
        <v>1.2831318807318715</v>
      </c>
      <c r="S125" s="11">
        <f t="shared" si="6"/>
        <v>0.24930387125646583</v>
      </c>
    </row>
    <row r="126" spans="1:19" x14ac:dyDescent="0.35">
      <c r="A126">
        <v>125</v>
      </c>
      <c r="B126" s="4">
        <v>0.68229700000000004</v>
      </c>
      <c r="C126" s="4">
        <v>1.2024300000000001</v>
      </c>
      <c r="N126">
        <v>125</v>
      </c>
      <c r="O126" s="4">
        <v>1.2024300000000001</v>
      </c>
      <c r="P126">
        <f t="shared" si="7"/>
        <v>0.98748800300000006</v>
      </c>
      <c r="Q126">
        <f t="shared" si="8"/>
        <v>0.21494199700000005</v>
      </c>
      <c r="R126">
        <f t="shared" si="9"/>
        <v>1.0357433224570451</v>
      </c>
      <c r="S126" s="11">
        <f t="shared" si="6"/>
        <v>3.5119354894051227E-2</v>
      </c>
    </row>
    <row r="127" spans="1:19" x14ac:dyDescent="0.35">
      <c r="A127">
        <v>126</v>
      </c>
      <c r="B127" s="4">
        <v>0.36840800000000001</v>
      </c>
      <c r="C127" s="4">
        <v>0.96962499999999996</v>
      </c>
      <c r="N127">
        <v>126</v>
      </c>
      <c r="O127" s="4">
        <v>0.96962499999999996</v>
      </c>
      <c r="P127">
        <f t="shared" si="7"/>
        <v>1.0667680270000002</v>
      </c>
      <c r="Q127">
        <f t="shared" si="8"/>
        <v>-9.7143027000000215E-2</v>
      </c>
      <c r="R127">
        <f t="shared" si="9"/>
        <v>1.2778708861213777</v>
      </c>
      <c r="S127" s="11">
        <f t="shared" si="6"/>
        <v>0.24519532277762407</v>
      </c>
    </row>
    <row r="128" spans="1:19" x14ac:dyDescent="0.35">
      <c r="A128">
        <v>127</v>
      </c>
      <c r="B128" s="4">
        <v>1.8692E-2</v>
      </c>
      <c r="C128" s="4">
        <v>0.50350399999999995</v>
      </c>
      <c r="N128">
        <v>127</v>
      </c>
      <c r="O128" s="4">
        <v>0.50350399999999995</v>
      </c>
      <c r="P128">
        <f t="shared" si="7"/>
        <v>0.95294966250000002</v>
      </c>
      <c r="Q128">
        <f t="shared" si="8"/>
        <v>-0.44944566250000006</v>
      </c>
      <c r="R128">
        <f t="shared" si="9"/>
        <v>0.42520918765261156</v>
      </c>
      <c r="S128" s="11">
        <f t="shared" si="6"/>
        <v>-0.85517402491003958</v>
      </c>
    </row>
    <row r="129" spans="1:19" x14ac:dyDescent="0.35">
      <c r="A129">
        <v>128</v>
      </c>
      <c r="B129" s="4">
        <v>0.39724700000000002</v>
      </c>
      <c r="C129" s="4">
        <v>0.64899899999999999</v>
      </c>
      <c r="N129">
        <v>128</v>
      </c>
      <c r="O129" s="4">
        <v>0.64899899999999999</v>
      </c>
      <c r="P129">
        <f t="shared" si="7"/>
        <v>0.72506310559999998</v>
      </c>
      <c r="Q129">
        <f t="shared" si="8"/>
        <v>-7.6064105599999987E-2</v>
      </c>
      <c r="R129">
        <f t="shared" si="9"/>
        <v>1.3048111159238334</v>
      </c>
      <c r="S129" s="11">
        <f t="shared" si="6"/>
        <v>0.26605829154330896</v>
      </c>
    </row>
    <row r="130" spans="1:19" x14ac:dyDescent="0.35">
      <c r="A130">
        <v>129</v>
      </c>
      <c r="B130" s="4">
        <v>0.59713700000000003</v>
      </c>
      <c r="C130" s="4">
        <v>0.92163700000000004</v>
      </c>
      <c r="N130">
        <v>129</v>
      </c>
      <c r="O130" s="4">
        <v>0.92163700000000004</v>
      </c>
      <c r="P130">
        <f t="shared" si="7"/>
        <v>0.79619561109999992</v>
      </c>
      <c r="Q130">
        <f t="shared" si="8"/>
        <v>0.12544138890000012</v>
      </c>
      <c r="R130">
        <f t="shared" ref="R130:R161" si="10">_xlfn.NORM.DIST(Q130,0,$X$9,FALSE)</f>
        <v>1.2326943799994075</v>
      </c>
      <c r="S130" s="11">
        <f t="shared" si="6"/>
        <v>0.20920232646654816</v>
      </c>
    </row>
    <row r="131" spans="1:19" x14ac:dyDescent="0.35">
      <c r="A131">
        <v>130</v>
      </c>
      <c r="B131" s="4">
        <v>0.13552900000000001</v>
      </c>
      <c r="C131" s="4">
        <v>0.59634699999999996</v>
      </c>
      <c r="N131">
        <v>130</v>
      </c>
      <c r="O131" s="4">
        <v>0.59634699999999996</v>
      </c>
      <c r="P131">
        <f t="shared" si="7"/>
        <v>0.92948832930000003</v>
      </c>
      <c r="Q131">
        <f t="shared" si="8"/>
        <v>-0.33314132930000007</v>
      </c>
      <c r="R131">
        <f t="shared" si="10"/>
        <v>0.71528823471933034</v>
      </c>
      <c r="S131" s="11">
        <f t="shared" ref="S131:S194" si="11">LN(R131)</f>
        <v>-0.3350696920397947</v>
      </c>
    </row>
    <row r="132" spans="1:19" x14ac:dyDescent="0.35">
      <c r="A132">
        <v>131</v>
      </c>
      <c r="B132" s="4">
        <v>0.91000400000000004</v>
      </c>
      <c r="C132" s="4">
        <v>1.20818</v>
      </c>
      <c r="N132">
        <v>131</v>
      </c>
      <c r="O132" s="4">
        <v>1.20818</v>
      </c>
      <c r="P132">
        <f t="shared" ref="P132:P195" si="12">$V$2+$V$3*O131</f>
        <v>0.77045404829999997</v>
      </c>
      <c r="Q132">
        <f t="shared" ref="Q132:Q195" si="13">O132-P132</f>
        <v>0.43772595170000006</v>
      </c>
      <c r="R132">
        <f t="shared" si="10"/>
        <v>0.45123800986086693</v>
      </c>
      <c r="S132" s="11">
        <f t="shared" si="11"/>
        <v>-0.79576034063350742</v>
      </c>
    </row>
    <row r="133" spans="1:19" x14ac:dyDescent="0.35">
      <c r="A133">
        <v>132</v>
      </c>
      <c r="B133" s="4">
        <v>0.65901200000000004</v>
      </c>
      <c r="C133" s="4">
        <v>1.2630999999999999</v>
      </c>
      <c r="N133">
        <v>132</v>
      </c>
      <c r="O133" s="4">
        <v>1.2630999999999999</v>
      </c>
      <c r="P133">
        <f t="shared" si="12"/>
        <v>1.0695792019999999</v>
      </c>
      <c r="Q133">
        <f t="shared" si="13"/>
        <v>0.19352079799999999</v>
      </c>
      <c r="R133">
        <f t="shared" si="10"/>
        <v>1.0888455424084582</v>
      </c>
      <c r="S133" s="11">
        <f t="shared" si="11"/>
        <v>8.5117999555715446E-2</v>
      </c>
    </row>
    <row r="134" spans="1:19" x14ac:dyDescent="0.35">
      <c r="A134">
        <v>133</v>
      </c>
      <c r="B134" s="4">
        <v>0.17923</v>
      </c>
      <c r="C134" s="4">
        <v>0.81077999999999995</v>
      </c>
      <c r="N134">
        <v>133</v>
      </c>
      <c r="O134" s="4">
        <v>0.81077999999999995</v>
      </c>
      <c r="P134">
        <f t="shared" si="12"/>
        <v>1.0964295900000001</v>
      </c>
      <c r="Q134">
        <f t="shared" si="13"/>
        <v>-0.28564959000000012</v>
      </c>
      <c r="R134">
        <f t="shared" si="10"/>
        <v>0.84607999576210946</v>
      </c>
      <c r="S134" s="11">
        <f t="shared" si="11"/>
        <v>-0.1671413662077782</v>
      </c>
    </row>
    <row r="135" spans="1:19" x14ac:dyDescent="0.35">
      <c r="A135">
        <v>134</v>
      </c>
      <c r="B135" s="4">
        <v>0.35272199999999998</v>
      </c>
      <c r="C135" s="4">
        <v>0.75811200000000001</v>
      </c>
      <c r="N135">
        <v>134</v>
      </c>
      <c r="O135" s="4">
        <v>0.75811200000000001</v>
      </c>
      <c r="P135">
        <f t="shared" si="12"/>
        <v>0.875290342</v>
      </c>
      <c r="Q135">
        <f t="shared" si="13"/>
        <v>-0.11717834199999999</v>
      </c>
      <c r="R135">
        <f t="shared" si="10"/>
        <v>1.246897170739852</v>
      </c>
      <c r="S135" s="11">
        <f t="shared" si="11"/>
        <v>0.22065820198250313</v>
      </c>
    </row>
    <row r="136" spans="1:19" x14ac:dyDescent="0.35">
      <c r="A136">
        <v>135</v>
      </c>
      <c r="B136" s="4">
        <v>0.37620500000000001</v>
      </c>
      <c r="C136" s="4">
        <v>0.75526199999999999</v>
      </c>
      <c r="N136">
        <v>135</v>
      </c>
      <c r="O136" s="4">
        <v>0.75526199999999999</v>
      </c>
      <c r="P136">
        <f t="shared" si="12"/>
        <v>0.84954095680000008</v>
      </c>
      <c r="Q136">
        <f t="shared" si="13"/>
        <v>-9.4278956800000091E-2</v>
      </c>
      <c r="R136">
        <f t="shared" si="10"/>
        <v>1.2818805213238282</v>
      </c>
      <c r="S136" s="11">
        <f t="shared" si="11"/>
        <v>0.24832815706006137</v>
      </c>
    </row>
    <row r="137" spans="1:19" x14ac:dyDescent="0.35">
      <c r="A137">
        <v>136</v>
      </c>
      <c r="B137" s="4">
        <v>0.98384099999999997</v>
      </c>
      <c r="C137" s="4">
        <v>1.36147</v>
      </c>
      <c r="N137">
        <v>136</v>
      </c>
      <c r="O137" s="4">
        <v>1.36147</v>
      </c>
      <c r="P137">
        <f t="shared" si="12"/>
        <v>0.84814759179999999</v>
      </c>
      <c r="Q137">
        <f t="shared" si="13"/>
        <v>0.51332240819999997</v>
      </c>
      <c r="R137">
        <f t="shared" si="10"/>
        <v>0.29921467855618133</v>
      </c>
      <c r="S137" s="11">
        <f t="shared" si="11"/>
        <v>-1.2065939747396595</v>
      </c>
    </row>
    <row r="138" spans="1:19" x14ac:dyDescent="0.35">
      <c r="A138">
        <v>137</v>
      </c>
      <c r="B138" s="4">
        <v>0.51414499999999996</v>
      </c>
      <c r="C138" s="4">
        <v>1.1948799999999999</v>
      </c>
      <c r="N138">
        <v>137</v>
      </c>
      <c r="O138" s="4">
        <v>1.1948799999999999</v>
      </c>
      <c r="P138">
        <f t="shared" si="12"/>
        <v>1.1445226829999999</v>
      </c>
      <c r="Q138">
        <f t="shared" si="13"/>
        <v>5.0357317000000013E-2</v>
      </c>
      <c r="R138">
        <f t="shared" si="10"/>
        <v>1.3292688903715546</v>
      </c>
      <c r="S138" s="11">
        <f t="shared" si="11"/>
        <v>0.28462908460210579</v>
      </c>
    </row>
    <row r="139" spans="1:19" x14ac:dyDescent="0.35">
      <c r="A139">
        <v>138</v>
      </c>
      <c r="B139" s="4">
        <v>0.36144999999999999</v>
      </c>
      <c r="C139" s="4">
        <v>0.95889100000000005</v>
      </c>
      <c r="N139">
        <v>138</v>
      </c>
      <c r="O139" s="4">
        <v>0.95889100000000005</v>
      </c>
      <c r="P139">
        <f t="shared" si="12"/>
        <v>1.0630768319999999</v>
      </c>
      <c r="Q139">
        <f t="shared" si="13"/>
        <v>-0.10418583199999987</v>
      </c>
      <c r="R139">
        <f t="shared" si="10"/>
        <v>1.2675588981584582</v>
      </c>
      <c r="S139" s="11">
        <f t="shared" si="11"/>
        <v>0.23709292337871324</v>
      </c>
    </row>
    <row r="140" spans="1:19" x14ac:dyDescent="0.35">
      <c r="A140">
        <v>139</v>
      </c>
      <c r="B140" s="4">
        <v>0.93125899999999995</v>
      </c>
      <c r="C140" s="4">
        <v>1.4107000000000001</v>
      </c>
      <c r="N140">
        <v>139</v>
      </c>
      <c r="O140" s="4">
        <v>1.4107000000000001</v>
      </c>
      <c r="P140">
        <f t="shared" si="12"/>
        <v>0.94770180990000008</v>
      </c>
      <c r="Q140">
        <f t="shared" si="13"/>
        <v>0.46299819009999998</v>
      </c>
      <c r="R140">
        <f t="shared" si="10"/>
        <v>0.3961998878652877</v>
      </c>
      <c r="S140" s="11">
        <f t="shared" si="11"/>
        <v>-0.92583642774324981</v>
      </c>
    </row>
    <row r="141" spans="1:19" x14ac:dyDescent="0.35">
      <c r="A141">
        <v>140</v>
      </c>
      <c r="B141" s="4">
        <v>0.82319600000000004</v>
      </c>
      <c r="C141" s="4">
        <v>1.5285500000000001</v>
      </c>
      <c r="N141">
        <v>140</v>
      </c>
      <c r="O141" s="4">
        <v>1.5285500000000001</v>
      </c>
      <c r="P141">
        <f t="shared" si="12"/>
        <v>1.1685912300000001</v>
      </c>
      <c r="Q141">
        <f t="shared" si="13"/>
        <v>0.35995876999999998</v>
      </c>
      <c r="R141">
        <f t="shared" si="10"/>
        <v>0.64321123322382456</v>
      </c>
      <c r="S141" s="11">
        <f t="shared" si="11"/>
        <v>-0.44128209668060514</v>
      </c>
    </row>
    <row r="142" spans="1:19" x14ac:dyDescent="0.35">
      <c r="A142">
        <v>141</v>
      </c>
      <c r="B142" s="4">
        <v>0.678925</v>
      </c>
      <c r="C142" s="4">
        <v>1.4432</v>
      </c>
      <c r="N142">
        <v>141</v>
      </c>
      <c r="O142" s="4">
        <v>1.4432</v>
      </c>
      <c r="P142">
        <f t="shared" si="12"/>
        <v>1.2262080950000001</v>
      </c>
      <c r="Q142">
        <f t="shared" si="13"/>
        <v>0.21699190499999998</v>
      </c>
      <c r="R142">
        <f t="shared" si="10"/>
        <v>1.0305161413443922</v>
      </c>
      <c r="S142" s="11">
        <f t="shared" si="11"/>
        <v>3.0059784830159961E-2</v>
      </c>
    </row>
    <row r="143" spans="1:19" x14ac:dyDescent="0.35">
      <c r="A143">
        <v>142</v>
      </c>
      <c r="B143" s="4">
        <v>0.83641100000000002</v>
      </c>
      <c r="C143" s="4">
        <v>1.5580099999999999</v>
      </c>
      <c r="N143">
        <v>142</v>
      </c>
      <c r="O143" s="4">
        <v>1.5580099999999999</v>
      </c>
      <c r="P143">
        <f t="shared" si="12"/>
        <v>1.1844804799999999</v>
      </c>
      <c r="Q143">
        <f t="shared" si="13"/>
        <v>0.37352951999999995</v>
      </c>
      <c r="R143">
        <f t="shared" si="10"/>
        <v>0.60764647732707855</v>
      </c>
      <c r="S143" s="11">
        <f t="shared" si="11"/>
        <v>-0.49816201788927633</v>
      </c>
    </row>
    <row r="144" spans="1:19" x14ac:dyDescent="0.35">
      <c r="A144">
        <v>143</v>
      </c>
      <c r="B144" s="4">
        <v>0.79666099999999995</v>
      </c>
      <c r="C144" s="4">
        <v>1.5756699999999999</v>
      </c>
      <c r="N144">
        <v>143</v>
      </c>
      <c r="O144" s="4">
        <v>1.5756699999999999</v>
      </c>
      <c r="P144">
        <f t="shared" si="12"/>
        <v>1.2406110889999999</v>
      </c>
      <c r="Q144">
        <f t="shared" si="13"/>
        <v>0.33505891099999996</v>
      </c>
      <c r="R144">
        <f t="shared" si="10"/>
        <v>0.71007010847975538</v>
      </c>
      <c r="S144" s="11">
        <f t="shared" si="11"/>
        <v>-0.34239156948399352</v>
      </c>
    </row>
    <row r="145" spans="1:19" x14ac:dyDescent="0.35">
      <c r="A145">
        <v>144</v>
      </c>
      <c r="B145" s="4">
        <v>0.630386</v>
      </c>
      <c r="C145" s="4">
        <v>1.41822</v>
      </c>
      <c r="N145">
        <v>144</v>
      </c>
      <c r="O145" s="4">
        <v>1.41822</v>
      </c>
      <c r="P145">
        <f t="shared" si="12"/>
        <v>1.249245063</v>
      </c>
      <c r="Q145">
        <f t="shared" si="13"/>
        <v>0.16897493699999999</v>
      </c>
      <c r="R145">
        <f t="shared" si="10"/>
        <v>1.1456388157616251</v>
      </c>
      <c r="S145" s="11">
        <f t="shared" si="11"/>
        <v>0.13596239912373165</v>
      </c>
    </row>
    <row r="146" spans="1:19" x14ac:dyDescent="0.35">
      <c r="A146">
        <v>145</v>
      </c>
      <c r="B146" s="4">
        <v>0.94140599999999997</v>
      </c>
      <c r="C146" s="4">
        <v>1.65052</v>
      </c>
      <c r="N146">
        <v>145</v>
      </c>
      <c r="O146" s="4">
        <v>1.65052</v>
      </c>
      <c r="P146">
        <f t="shared" si="12"/>
        <v>1.172267758</v>
      </c>
      <c r="Q146">
        <f t="shared" si="13"/>
        <v>0.47825224199999994</v>
      </c>
      <c r="R146">
        <f t="shared" si="10"/>
        <v>0.36499140518072176</v>
      </c>
      <c r="S146" s="11">
        <f t="shared" si="11"/>
        <v>-1.0078814731269685</v>
      </c>
    </row>
    <row r="147" spans="1:19" x14ac:dyDescent="0.35">
      <c r="A147">
        <v>146</v>
      </c>
      <c r="B147" s="4">
        <v>0.46701100000000001</v>
      </c>
      <c r="C147" s="4">
        <v>1.29227</v>
      </c>
      <c r="N147">
        <v>146</v>
      </c>
      <c r="O147" s="4">
        <v>1.29227</v>
      </c>
      <c r="P147">
        <f t="shared" si="12"/>
        <v>1.2858392279999999</v>
      </c>
      <c r="Q147">
        <f t="shared" si="13"/>
        <v>6.4307720000000845E-3</v>
      </c>
      <c r="R147">
        <f t="shared" si="10"/>
        <v>1.3483523914268152</v>
      </c>
      <c r="S147" s="11">
        <f t="shared" si="11"/>
        <v>0.29888339629880584</v>
      </c>
    </row>
    <row r="148" spans="1:19" x14ac:dyDescent="0.35">
      <c r="A148">
        <v>147</v>
      </c>
      <c r="B148" s="4">
        <v>0.15026900000000001</v>
      </c>
      <c r="C148" s="4">
        <v>0.79640299999999997</v>
      </c>
      <c r="N148">
        <v>147</v>
      </c>
      <c r="O148" s="4">
        <v>0.79640299999999997</v>
      </c>
      <c r="P148">
        <f t="shared" si="12"/>
        <v>1.110690803</v>
      </c>
      <c r="Q148">
        <f t="shared" si="13"/>
        <v>-0.31428780300000003</v>
      </c>
      <c r="R148">
        <f t="shared" si="10"/>
        <v>0.76696103585067177</v>
      </c>
      <c r="S148" s="11">
        <f t="shared" si="11"/>
        <v>-0.26531927962148466</v>
      </c>
    </row>
    <row r="149" spans="1:19" x14ac:dyDescent="0.35">
      <c r="A149">
        <v>148</v>
      </c>
      <c r="B149" s="4">
        <v>0.59996000000000005</v>
      </c>
      <c r="C149" s="4">
        <v>0.99816199999999999</v>
      </c>
      <c r="N149">
        <v>148</v>
      </c>
      <c r="O149" s="4">
        <v>0.99816199999999999</v>
      </c>
      <c r="P149">
        <f t="shared" si="12"/>
        <v>0.86826142669999995</v>
      </c>
      <c r="Q149">
        <f t="shared" si="13"/>
        <v>0.12990057330000004</v>
      </c>
      <c r="R149">
        <f t="shared" si="10"/>
        <v>1.2247000344962653</v>
      </c>
      <c r="S149" s="11">
        <f t="shared" si="11"/>
        <v>0.20269594421221884</v>
      </c>
    </row>
    <row r="150" spans="1:19" x14ac:dyDescent="0.35">
      <c r="A150">
        <v>149</v>
      </c>
      <c r="B150" s="4">
        <v>0.67808500000000005</v>
      </c>
      <c r="C150" s="4">
        <v>1.17717</v>
      </c>
      <c r="N150">
        <v>149</v>
      </c>
      <c r="O150" s="4">
        <v>1.17717</v>
      </c>
      <c r="P150">
        <f t="shared" si="12"/>
        <v>0.96690140179999995</v>
      </c>
      <c r="Q150">
        <f t="shared" si="13"/>
        <v>0.2102685982000001</v>
      </c>
      <c r="R150">
        <f t="shared" si="10"/>
        <v>1.047571535016381</v>
      </c>
      <c r="S150" s="11">
        <f t="shared" si="11"/>
        <v>4.6474661667508188E-2</v>
      </c>
    </row>
    <row r="151" spans="1:19" x14ac:dyDescent="0.35">
      <c r="A151">
        <v>150</v>
      </c>
      <c r="B151" s="4">
        <v>0.64474500000000001</v>
      </c>
      <c r="C151" s="4">
        <v>1.23333</v>
      </c>
      <c r="N151">
        <v>150</v>
      </c>
      <c r="O151" s="4">
        <v>1.23333</v>
      </c>
      <c r="P151">
        <f t="shared" si="12"/>
        <v>1.0544184130000001</v>
      </c>
      <c r="Q151">
        <f t="shared" si="13"/>
        <v>0.17891158699999998</v>
      </c>
      <c r="R151">
        <f t="shared" si="10"/>
        <v>1.1232307197302209</v>
      </c>
      <c r="S151" s="11">
        <f t="shared" si="11"/>
        <v>0.11620910410256258</v>
      </c>
    </row>
    <row r="152" spans="1:19" x14ac:dyDescent="0.35">
      <c r="A152">
        <v>151</v>
      </c>
      <c r="B152" s="4">
        <v>0.352356</v>
      </c>
      <c r="C152" s="4">
        <v>0.96901999999999999</v>
      </c>
      <c r="N152">
        <v>151</v>
      </c>
      <c r="O152" s="4">
        <v>0.96901999999999999</v>
      </c>
      <c r="P152">
        <f t="shared" si="12"/>
        <v>1.0818750370000001</v>
      </c>
      <c r="Q152">
        <f t="shared" si="13"/>
        <v>-0.1128550370000001</v>
      </c>
      <c r="R152">
        <f t="shared" si="10"/>
        <v>1.2540033135571962</v>
      </c>
      <c r="S152" s="11">
        <f t="shared" si="11"/>
        <v>0.22634108459734645</v>
      </c>
    </row>
    <row r="153" spans="1:19" x14ac:dyDescent="0.35">
      <c r="A153">
        <v>152</v>
      </c>
      <c r="B153" s="4">
        <v>0.16555800000000001</v>
      </c>
      <c r="C153" s="4">
        <v>0.65006799999999998</v>
      </c>
      <c r="N153">
        <v>152</v>
      </c>
      <c r="O153" s="4">
        <v>0.65006799999999998</v>
      </c>
      <c r="P153">
        <f t="shared" si="12"/>
        <v>0.95265387800000001</v>
      </c>
      <c r="Q153">
        <f t="shared" si="13"/>
        <v>-0.30258587800000003</v>
      </c>
      <c r="R153">
        <f t="shared" si="10"/>
        <v>0.79925911857267806</v>
      </c>
      <c r="S153" s="11">
        <f t="shared" si="11"/>
        <v>-0.22407008219556507</v>
      </c>
    </row>
    <row r="154" spans="1:19" x14ac:dyDescent="0.35">
      <c r="A154">
        <v>153</v>
      </c>
      <c r="B154" s="4">
        <v>0.777451</v>
      </c>
      <c r="C154" s="4">
        <v>1.1024799999999999</v>
      </c>
      <c r="N154">
        <v>153</v>
      </c>
      <c r="O154" s="4">
        <v>1.1024799999999999</v>
      </c>
      <c r="P154">
        <f t="shared" si="12"/>
        <v>0.79671824520000001</v>
      </c>
      <c r="Q154">
        <f t="shared" si="13"/>
        <v>0.3057617547999999</v>
      </c>
      <c r="R154">
        <f t="shared" si="10"/>
        <v>0.79048365891061556</v>
      </c>
      <c r="S154" s="11">
        <f t="shared" si="11"/>
        <v>-0.23511029438610428</v>
      </c>
    </row>
    <row r="155" spans="1:19" x14ac:dyDescent="0.35">
      <c r="A155">
        <v>154</v>
      </c>
      <c r="B155" s="4">
        <v>0.64390599999999998</v>
      </c>
      <c r="C155" s="4">
        <v>1.1951499999999999</v>
      </c>
      <c r="N155">
        <v>154</v>
      </c>
      <c r="O155" s="4">
        <v>1.1951499999999999</v>
      </c>
      <c r="P155">
        <f t="shared" si="12"/>
        <v>1.0179024719999998</v>
      </c>
      <c r="Q155">
        <f t="shared" si="13"/>
        <v>0.1772475280000001</v>
      </c>
      <c r="R155">
        <f t="shared" si="10"/>
        <v>1.1270411965545788</v>
      </c>
      <c r="S155" s="11">
        <f t="shared" si="11"/>
        <v>0.11959578856397832</v>
      </c>
    </row>
    <row r="156" spans="1:19" x14ac:dyDescent="0.35">
      <c r="A156">
        <v>155</v>
      </c>
      <c r="B156" s="4">
        <v>0.17330899999999999</v>
      </c>
      <c r="C156" s="4">
        <v>0.77088299999999998</v>
      </c>
      <c r="N156">
        <v>155</v>
      </c>
      <c r="O156" s="4">
        <v>0.77088299999999998</v>
      </c>
      <c r="P156">
        <f t="shared" si="12"/>
        <v>1.063208835</v>
      </c>
      <c r="Q156">
        <f t="shared" si="13"/>
        <v>-0.29232583499999998</v>
      </c>
      <c r="R156">
        <f t="shared" si="10"/>
        <v>0.82762832174513723</v>
      </c>
      <c r="S156" s="11">
        <f t="shared" si="11"/>
        <v>-0.18919111215794407</v>
      </c>
    </row>
    <row r="157" spans="1:19" x14ac:dyDescent="0.35">
      <c r="A157">
        <v>156</v>
      </c>
      <c r="B157" s="4">
        <v>0.89170799999999995</v>
      </c>
      <c r="C157" s="4">
        <v>1.27715</v>
      </c>
      <c r="N157">
        <v>156</v>
      </c>
      <c r="O157" s="4">
        <v>1.27715</v>
      </c>
      <c r="P157">
        <f t="shared" si="12"/>
        <v>0.85578469869999996</v>
      </c>
      <c r="Q157">
        <f t="shared" si="13"/>
        <v>0.42136530130000005</v>
      </c>
      <c r="R157">
        <f t="shared" si="10"/>
        <v>0.48897476882361213</v>
      </c>
      <c r="S157" s="11">
        <f t="shared" si="11"/>
        <v>-0.7154443883361874</v>
      </c>
    </row>
    <row r="158" spans="1:19" x14ac:dyDescent="0.35">
      <c r="A158">
        <v>157</v>
      </c>
      <c r="B158" s="4">
        <v>0.104019</v>
      </c>
      <c r="C158" s="4">
        <v>0.74259399999999998</v>
      </c>
      <c r="N158">
        <v>157</v>
      </c>
      <c r="O158" s="4">
        <v>0.74259399999999998</v>
      </c>
      <c r="P158">
        <f t="shared" si="12"/>
        <v>1.103298635</v>
      </c>
      <c r="Q158">
        <f t="shared" si="13"/>
        <v>-0.36070463500000005</v>
      </c>
      <c r="R158">
        <f t="shared" si="10"/>
        <v>0.64123862215421545</v>
      </c>
      <c r="S158" s="11">
        <f t="shared" si="11"/>
        <v>-0.44435362588386434</v>
      </c>
    </row>
    <row r="159" spans="1:19" x14ac:dyDescent="0.35">
      <c r="A159">
        <v>158</v>
      </c>
      <c r="B159" s="4">
        <v>0.28259299999999998</v>
      </c>
      <c r="C159" s="4">
        <v>0.65388999999999997</v>
      </c>
      <c r="N159">
        <v>158</v>
      </c>
      <c r="O159" s="4">
        <v>0.65388999999999997</v>
      </c>
      <c r="P159">
        <f t="shared" si="12"/>
        <v>0.84195420659999998</v>
      </c>
      <c r="Q159">
        <f t="shared" si="13"/>
        <v>-0.18806420660000001</v>
      </c>
      <c r="R159">
        <f t="shared" si="10"/>
        <v>1.1018780247893589</v>
      </c>
      <c r="S159" s="11">
        <f t="shared" si="11"/>
        <v>9.7016019295540185E-2</v>
      </c>
    </row>
    <row r="160" spans="1:19" x14ac:dyDescent="0.35">
      <c r="A160">
        <v>159</v>
      </c>
      <c r="B160" s="4">
        <v>0.70375100000000002</v>
      </c>
      <c r="C160" s="4">
        <v>1.0306999999999999</v>
      </c>
      <c r="N160">
        <v>159</v>
      </c>
      <c r="O160" s="4">
        <v>1.0306999999999999</v>
      </c>
      <c r="P160">
        <f t="shared" si="12"/>
        <v>0.798586821</v>
      </c>
      <c r="Q160">
        <f t="shared" si="13"/>
        <v>0.23211317899999995</v>
      </c>
      <c r="R160">
        <f t="shared" si="10"/>
        <v>0.99129197251566881</v>
      </c>
      <c r="S160" s="11">
        <f t="shared" si="11"/>
        <v>-8.7461639124514004E-3</v>
      </c>
    </row>
    <row r="161" spans="1:19" x14ac:dyDescent="0.35">
      <c r="A161">
        <v>160</v>
      </c>
      <c r="B161" s="4">
        <v>9.5916699999999994E-2</v>
      </c>
      <c r="C161" s="4">
        <v>0.61126499999999995</v>
      </c>
      <c r="N161">
        <v>160</v>
      </c>
      <c r="O161" s="4">
        <v>0.61126499999999995</v>
      </c>
      <c r="P161">
        <f t="shared" si="12"/>
        <v>0.98280922999999998</v>
      </c>
      <c r="Q161">
        <f t="shared" si="13"/>
        <v>-0.37154423000000003</v>
      </c>
      <c r="R161">
        <f t="shared" si="10"/>
        <v>0.61280437691957068</v>
      </c>
      <c r="S161" s="11">
        <f t="shared" si="11"/>
        <v>-0.489709518088491</v>
      </c>
    </row>
    <row r="162" spans="1:19" x14ac:dyDescent="0.35">
      <c r="A162">
        <v>161</v>
      </c>
      <c r="B162" s="4">
        <v>0.27873199999999998</v>
      </c>
      <c r="C162" s="4">
        <v>0.58436500000000002</v>
      </c>
      <c r="N162">
        <v>161</v>
      </c>
      <c r="O162" s="4">
        <v>0.58436500000000002</v>
      </c>
      <c r="P162">
        <f t="shared" si="12"/>
        <v>0.77774745849999993</v>
      </c>
      <c r="Q162">
        <f t="shared" si="13"/>
        <v>-0.19338245849999991</v>
      </c>
      <c r="R162">
        <f t="shared" ref="R162:R193" si="14">_xlfn.NORM.DIST(Q162,0,$X$9,FALSE)</f>
        <v>1.0891786183253698</v>
      </c>
      <c r="S162" s="11">
        <f t="shared" si="11"/>
        <v>8.5423851001730458E-2</v>
      </c>
    </row>
    <row r="163" spans="1:19" x14ac:dyDescent="0.35">
      <c r="A163">
        <v>162</v>
      </c>
      <c r="B163" s="4">
        <v>0.71731599999999995</v>
      </c>
      <c r="C163" s="4">
        <v>1.0095000000000001</v>
      </c>
      <c r="N163">
        <v>162</v>
      </c>
      <c r="O163" s="4">
        <v>1.0095000000000001</v>
      </c>
      <c r="P163">
        <f t="shared" si="12"/>
        <v>0.76459604850000007</v>
      </c>
      <c r="Q163">
        <f t="shared" si="13"/>
        <v>0.24490395149999999</v>
      </c>
      <c r="R163">
        <f t="shared" si="14"/>
        <v>0.95732589504561039</v>
      </c>
      <c r="S163" s="11">
        <f t="shared" si="11"/>
        <v>-4.3611407311470486E-2</v>
      </c>
    </row>
    <row r="164" spans="1:19" x14ac:dyDescent="0.35">
      <c r="A164">
        <v>163</v>
      </c>
      <c r="B164" s="4">
        <v>4.6707199999999997E-2</v>
      </c>
      <c r="C164" s="4">
        <v>0.55145599999999995</v>
      </c>
      <c r="N164">
        <v>163</v>
      </c>
      <c r="O164" s="4">
        <v>0.55145599999999995</v>
      </c>
      <c r="P164">
        <f t="shared" si="12"/>
        <v>0.97244455000000007</v>
      </c>
      <c r="Q164">
        <f t="shared" si="13"/>
        <v>-0.42098855000000013</v>
      </c>
      <c r="R164">
        <f t="shared" si="14"/>
        <v>0.48986231626643845</v>
      </c>
      <c r="S164" s="11">
        <f t="shared" si="11"/>
        <v>-0.71363091457311789</v>
      </c>
    </row>
    <row r="165" spans="1:19" x14ac:dyDescent="0.35">
      <c r="A165">
        <v>164</v>
      </c>
      <c r="B165" s="4">
        <v>0.106964</v>
      </c>
      <c r="C165" s="4">
        <v>0.38269199999999998</v>
      </c>
      <c r="N165">
        <v>164</v>
      </c>
      <c r="O165" s="4">
        <v>0.38269199999999998</v>
      </c>
      <c r="P165">
        <f t="shared" si="12"/>
        <v>0.74850683839999999</v>
      </c>
      <c r="Q165">
        <f t="shared" si="13"/>
        <v>-0.36581483840000001</v>
      </c>
      <c r="R165">
        <f t="shared" si="14"/>
        <v>0.62777789909428849</v>
      </c>
      <c r="S165" s="11">
        <f t="shared" si="11"/>
        <v>-0.46556883893034928</v>
      </c>
    </row>
    <row r="166" spans="1:19" x14ac:dyDescent="0.35">
      <c r="A166">
        <v>165</v>
      </c>
      <c r="B166" s="4">
        <v>0.79794299999999996</v>
      </c>
      <c r="C166" s="4">
        <v>0.98928899999999997</v>
      </c>
      <c r="N166">
        <v>165</v>
      </c>
      <c r="O166" s="4">
        <v>0.98928899999999997</v>
      </c>
      <c r="P166">
        <f t="shared" si="12"/>
        <v>0.66599811879999993</v>
      </c>
      <c r="Q166">
        <f t="shared" si="13"/>
        <v>0.32329088120000005</v>
      </c>
      <c r="R166">
        <f t="shared" si="14"/>
        <v>0.74221207940741596</v>
      </c>
      <c r="S166" s="11">
        <f t="shared" si="11"/>
        <v>-0.29812025535008874</v>
      </c>
    </row>
    <row r="167" spans="1:19" x14ac:dyDescent="0.35">
      <c r="A167">
        <v>166</v>
      </c>
      <c r="B167" s="4">
        <v>3.7200900000000002E-2</v>
      </c>
      <c r="C167" s="4">
        <v>0.53184600000000004</v>
      </c>
      <c r="N167">
        <v>166</v>
      </c>
      <c r="O167" s="4">
        <v>0.53184600000000004</v>
      </c>
      <c r="P167">
        <f t="shared" si="12"/>
        <v>0.96256339209999997</v>
      </c>
      <c r="Q167">
        <f t="shared" si="13"/>
        <v>-0.43071739209999993</v>
      </c>
      <c r="R167">
        <f t="shared" si="14"/>
        <v>0.4672082778703473</v>
      </c>
      <c r="S167" s="11">
        <f t="shared" si="11"/>
        <v>-0.76098012958067474</v>
      </c>
    </row>
    <row r="168" spans="1:19" x14ac:dyDescent="0.35">
      <c r="A168">
        <v>167</v>
      </c>
      <c r="B168" s="4">
        <v>0.46722399999999997</v>
      </c>
      <c r="C168" s="4">
        <v>0.73314699999999999</v>
      </c>
      <c r="N168">
        <v>167</v>
      </c>
      <c r="O168" s="4">
        <v>0.73314699999999999</v>
      </c>
      <c r="P168">
        <f t="shared" si="12"/>
        <v>0.73891950940000006</v>
      </c>
      <c r="Q168">
        <f t="shared" si="13"/>
        <v>-5.7725094000000698E-3</v>
      </c>
      <c r="R168">
        <f t="shared" si="14"/>
        <v>1.3484142857952077</v>
      </c>
      <c r="S168" s="11">
        <f t="shared" si="11"/>
        <v>0.2989292989487653</v>
      </c>
    </row>
    <row r="169" spans="1:19" x14ac:dyDescent="0.35">
      <c r="A169">
        <v>168</v>
      </c>
      <c r="B169" s="4">
        <v>0.74517800000000001</v>
      </c>
      <c r="C169" s="4">
        <v>1.11175</v>
      </c>
      <c r="N169">
        <v>168</v>
      </c>
      <c r="O169" s="4">
        <v>1.11175</v>
      </c>
      <c r="P169">
        <f t="shared" si="12"/>
        <v>0.8373355683</v>
      </c>
      <c r="Q169">
        <f t="shared" si="13"/>
        <v>0.27441443170000002</v>
      </c>
      <c r="R169">
        <f t="shared" si="14"/>
        <v>0.87705572390625353</v>
      </c>
      <c r="S169" s="11">
        <f t="shared" si="11"/>
        <v>-0.13118474939672548</v>
      </c>
    </row>
    <row r="170" spans="1:19" x14ac:dyDescent="0.35">
      <c r="A170">
        <v>169</v>
      </c>
      <c r="B170" s="4">
        <v>0.24679599999999999</v>
      </c>
      <c r="C170" s="4">
        <v>0.80267100000000002</v>
      </c>
      <c r="N170">
        <v>169</v>
      </c>
      <c r="O170" s="4">
        <v>0.80267100000000002</v>
      </c>
      <c r="P170">
        <f t="shared" si="12"/>
        <v>1.0224345750000001</v>
      </c>
      <c r="Q170">
        <f t="shared" si="13"/>
        <v>-0.2197635750000001</v>
      </c>
      <c r="R170">
        <f t="shared" si="14"/>
        <v>1.023412264738724</v>
      </c>
      <c r="S170" s="11">
        <f t="shared" si="11"/>
        <v>2.3142401623007635E-2</v>
      </c>
    </row>
    <row r="171" spans="1:19" x14ac:dyDescent="0.35">
      <c r="A171">
        <v>170</v>
      </c>
      <c r="B171" s="4">
        <v>0.137543</v>
      </c>
      <c r="C171" s="4">
        <v>0.53887799999999997</v>
      </c>
      <c r="N171">
        <v>170</v>
      </c>
      <c r="O171" s="4">
        <v>0.53887799999999997</v>
      </c>
      <c r="P171">
        <f t="shared" si="12"/>
        <v>0.8713258519</v>
      </c>
      <c r="Q171">
        <f t="shared" si="13"/>
        <v>-0.33244785190000004</v>
      </c>
      <c r="R171">
        <f t="shared" si="14"/>
        <v>0.71717733260401051</v>
      </c>
      <c r="S171" s="11">
        <f t="shared" si="11"/>
        <v>-0.33243214315495617</v>
      </c>
    </row>
    <row r="172" spans="1:19" x14ac:dyDescent="0.35">
      <c r="A172">
        <v>171</v>
      </c>
      <c r="B172" s="4">
        <v>0.78579699999999997</v>
      </c>
      <c r="C172" s="4">
        <v>1.05524</v>
      </c>
      <c r="N172">
        <v>171</v>
      </c>
      <c r="O172" s="4">
        <v>1.05524</v>
      </c>
      <c r="P172">
        <f t="shared" si="12"/>
        <v>0.74235745419999999</v>
      </c>
      <c r="Q172">
        <f t="shared" si="13"/>
        <v>0.31288254579999997</v>
      </c>
      <c r="R172">
        <f t="shared" si="14"/>
        <v>0.77083335055885771</v>
      </c>
      <c r="S172" s="11">
        <f t="shared" si="11"/>
        <v>-0.26028307591704053</v>
      </c>
    </row>
    <row r="173" spans="1:19" x14ac:dyDescent="0.35">
      <c r="A173">
        <v>172</v>
      </c>
      <c r="B173" s="4">
        <v>0.92581199999999997</v>
      </c>
      <c r="C173" s="4">
        <v>1.45343</v>
      </c>
      <c r="N173">
        <v>172</v>
      </c>
      <c r="O173" s="4">
        <v>1.45343</v>
      </c>
      <c r="P173">
        <f t="shared" si="12"/>
        <v>0.99480683599999997</v>
      </c>
      <c r="Q173">
        <f t="shared" si="13"/>
        <v>0.45862316400000003</v>
      </c>
      <c r="R173">
        <f t="shared" si="14"/>
        <v>0.40543457744324474</v>
      </c>
      <c r="S173" s="11">
        <f t="shared" si="11"/>
        <v>-0.90279575643750798</v>
      </c>
    </row>
    <row r="174" spans="1:19" x14ac:dyDescent="0.35">
      <c r="A174">
        <v>173</v>
      </c>
      <c r="B174" s="4">
        <v>0.34550500000000001</v>
      </c>
      <c r="C174" s="4">
        <v>1.07222</v>
      </c>
      <c r="N174">
        <v>173</v>
      </c>
      <c r="O174" s="4">
        <v>1.07222</v>
      </c>
      <c r="P174">
        <f t="shared" si="12"/>
        <v>1.1894819270000001</v>
      </c>
      <c r="Q174">
        <f t="shared" si="13"/>
        <v>-0.11726192700000015</v>
      </c>
      <c r="R174">
        <f t="shared" si="14"/>
        <v>1.2467575567836571</v>
      </c>
      <c r="S174" s="11">
        <f t="shared" si="11"/>
        <v>0.22054622661173523</v>
      </c>
    </row>
    <row r="175" spans="1:19" x14ac:dyDescent="0.35">
      <c r="A175">
        <v>174</v>
      </c>
      <c r="B175" s="4">
        <v>0.92215000000000003</v>
      </c>
      <c r="C175" s="4">
        <v>1.4582599999999999</v>
      </c>
      <c r="N175">
        <v>174</v>
      </c>
      <c r="O175" s="4">
        <v>1.4582599999999999</v>
      </c>
      <c r="P175">
        <f t="shared" si="12"/>
        <v>1.003108358</v>
      </c>
      <c r="Q175">
        <f t="shared" si="13"/>
        <v>0.45515164199999991</v>
      </c>
      <c r="R175">
        <f t="shared" si="14"/>
        <v>0.41285082071425627</v>
      </c>
      <c r="S175" s="11">
        <f t="shared" si="11"/>
        <v>-0.88466896019708019</v>
      </c>
    </row>
    <row r="176" spans="1:19" x14ac:dyDescent="0.35">
      <c r="A176">
        <v>175</v>
      </c>
      <c r="B176" s="4">
        <v>0.61090100000000003</v>
      </c>
      <c r="C176" s="4">
        <v>1.3400300000000001</v>
      </c>
      <c r="N176">
        <v>175</v>
      </c>
      <c r="O176" s="4">
        <v>1.3400300000000001</v>
      </c>
      <c r="P176">
        <f t="shared" si="12"/>
        <v>1.191843314</v>
      </c>
      <c r="Q176">
        <f t="shared" si="13"/>
        <v>0.14818668600000007</v>
      </c>
      <c r="R176">
        <f t="shared" si="14"/>
        <v>1.1896248795170266</v>
      </c>
      <c r="S176" s="11">
        <f t="shared" si="11"/>
        <v>0.17363803013225376</v>
      </c>
    </row>
    <row r="177" spans="1:19" x14ac:dyDescent="0.35">
      <c r="A177">
        <v>176</v>
      </c>
      <c r="B177" s="4">
        <v>0.42929099999999998</v>
      </c>
      <c r="C177" s="4">
        <v>1.09931</v>
      </c>
      <c r="N177">
        <v>176</v>
      </c>
      <c r="O177" s="4">
        <v>1.09931</v>
      </c>
      <c r="P177">
        <f t="shared" si="12"/>
        <v>1.1340406670000001</v>
      </c>
      <c r="Q177">
        <f t="shared" si="13"/>
        <v>-3.4730667000000048E-2</v>
      </c>
      <c r="R177">
        <f t="shared" si="14"/>
        <v>1.3394070664184625</v>
      </c>
      <c r="S177" s="11">
        <f t="shared" si="11"/>
        <v>0.29222702828881203</v>
      </c>
    </row>
    <row r="178" spans="1:19" x14ac:dyDescent="0.35">
      <c r="A178">
        <v>177</v>
      </c>
      <c r="B178" s="4">
        <v>0.18368499999999999</v>
      </c>
      <c r="C178" s="4">
        <v>0.73333800000000005</v>
      </c>
      <c r="N178">
        <v>177</v>
      </c>
      <c r="O178" s="4">
        <v>0.73333800000000005</v>
      </c>
      <c r="P178">
        <f t="shared" si="12"/>
        <v>1.016352659</v>
      </c>
      <c r="Q178">
        <f t="shared" si="13"/>
        <v>-0.283014659</v>
      </c>
      <c r="R178">
        <f t="shared" si="14"/>
        <v>0.85335543374761424</v>
      </c>
      <c r="S178" s="11">
        <f t="shared" si="11"/>
        <v>-0.15857913158902445</v>
      </c>
    </row>
    <row r="179" spans="1:19" x14ac:dyDescent="0.35">
      <c r="A179">
        <v>178</v>
      </c>
      <c r="B179" s="4">
        <v>0.26377899999999999</v>
      </c>
      <c r="C179" s="4">
        <v>0.63044800000000001</v>
      </c>
      <c r="N179">
        <v>178</v>
      </c>
      <c r="O179" s="4">
        <v>0.63044800000000001</v>
      </c>
      <c r="P179">
        <f t="shared" si="12"/>
        <v>0.83742894820000002</v>
      </c>
      <c r="Q179">
        <f t="shared" si="13"/>
        <v>-0.20698094820000001</v>
      </c>
      <c r="R179">
        <f t="shared" si="14"/>
        <v>1.0558153901573053</v>
      </c>
      <c r="S179" s="11">
        <f t="shared" si="11"/>
        <v>5.4313350074490924E-2</v>
      </c>
    </row>
    <row r="180" spans="1:19" x14ac:dyDescent="0.35">
      <c r="A180">
        <v>179</v>
      </c>
      <c r="B180" s="4">
        <v>0.36302200000000001</v>
      </c>
      <c r="C180" s="4">
        <v>0.67824600000000002</v>
      </c>
      <c r="N180">
        <v>179</v>
      </c>
      <c r="O180" s="4">
        <v>0.67824600000000002</v>
      </c>
      <c r="P180">
        <f t="shared" si="12"/>
        <v>0.78712602720000002</v>
      </c>
      <c r="Q180">
        <f t="shared" si="13"/>
        <v>-0.10888002720000001</v>
      </c>
      <c r="R180">
        <f t="shared" si="14"/>
        <v>1.2603351159184746</v>
      </c>
      <c r="S180" s="11">
        <f t="shared" si="11"/>
        <v>0.23137765061562446</v>
      </c>
    </row>
    <row r="181" spans="1:19" x14ac:dyDescent="0.35">
      <c r="A181">
        <v>180</v>
      </c>
      <c r="B181" s="4">
        <v>0.50907899999999995</v>
      </c>
      <c r="C181" s="4">
        <v>0.84820200000000001</v>
      </c>
      <c r="N181">
        <v>180</v>
      </c>
      <c r="O181" s="4">
        <v>0.84820200000000001</v>
      </c>
      <c r="P181">
        <f t="shared" si="12"/>
        <v>0.81049446940000003</v>
      </c>
      <c r="Q181">
        <f t="shared" si="13"/>
        <v>3.7707530599999983E-2</v>
      </c>
      <c r="R181">
        <f t="shared" si="14"/>
        <v>1.3377576376587745</v>
      </c>
      <c r="S181" s="11">
        <f t="shared" si="11"/>
        <v>0.2909948075248977</v>
      </c>
    </row>
    <row r="182" spans="1:19" x14ac:dyDescent="0.35">
      <c r="A182">
        <v>181</v>
      </c>
      <c r="B182" s="4">
        <v>0.20716899999999999</v>
      </c>
      <c r="C182" s="4">
        <v>0.63127</v>
      </c>
      <c r="N182">
        <v>181</v>
      </c>
      <c r="O182" s="4">
        <v>0.63127</v>
      </c>
      <c r="P182">
        <f t="shared" si="12"/>
        <v>0.89358595780000005</v>
      </c>
      <c r="Q182">
        <f t="shared" si="13"/>
        <v>-0.26231595780000005</v>
      </c>
      <c r="R182">
        <f t="shared" si="14"/>
        <v>0.91021143769293866</v>
      </c>
      <c r="S182" s="11">
        <f t="shared" si="11"/>
        <v>-9.4078357346996627E-2</v>
      </c>
    </row>
    <row r="183" spans="1:19" x14ac:dyDescent="0.35">
      <c r="A183">
        <v>182</v>
      </c>
      <c r="B183" s="4">
        <v>0.971939</v>
      </c>
      <c r="C183" s="4">
        <v>1.2875700000000001</v>
      </c>
      <c r="N183">
        <v>182</v>
      </c>
      <c r="O183" s="4">
        <v>1.2875700000000001</v>
      </c>
      <c r="P183">
        <f t="shared" si="12"/>
        <v>0.78752790299999997</v>
      </c>
      <c r="Q183">
        <f t="shared" si="13"/>
        <v>0.50004209700000013</v>
      </c>
      <c r="R183">
        <f t="shared" si="14"/>
        <v>0.32313267441984334</v>
      </c>
      <c r="S183" s="11">
        <f t="shared" si="11"/>
        <v>-1.1296922833791458</v>
      </c>
    </row>
    <row r="184" spans="1:19" x14ac:dyDescent="0.35">
      <c r="A184">
        <v>183</v>
      </c>
      <c r="B184" s="4">
        <v>0.49621599999999999</v>
      </c>
      <c r="C184" s="4">
        <v>1.1399999999999999</v>
      </c>
      <c r="N184">
        <v>183</v>
      </c>
      <c r="O184" s="4">
        <v>1.1399999999999999</v>
      </c>
      <c r="P184">
        <f t="shared" si="12"/>
        <v>1.1083929729999999</v>
      </c>
      <c r="Q184">
        <f t="shared" si="13"/>
        <v>3.1607026999999954E-2</v>
      </c>
      <c r="R184">
        <f t="shared" si="14"/>
        <v>1.3409939790967627</v>
      </c>
      <c r="S184" s="11">
        <f t="shared" si="11"/>
        <v>0.29341111442873319</v>
      </c>
    </row>
    <row r="185" spans="1:19" x14ac:dyDescent="0.35">
      <c r="A185">
        <v>184</v>
      </c>
      <c r="B185" s="4">
        <v>0.106735</v>
      </c>
      <c r="C185" s="4">
        <v>0.67673700000000003</v>
      </c>
      <c r="N185">
        <v>184</v>
      </c>
      <c r="O185" s="4">
        <v>0.67673700000000003</v>
      </c>
      <c r="P185">
        <f t="shared" si="12"/>
        <v>1.036246</v>
      </c>
      <c r="Q185">
        <f t="shared" si="13"/>
        <v>-0.35950899999999997</v>
      </c>
      <c r="R185">
        <f t="shared" si="14"/>
        <v>0.64440170469318236</v>
      </c>
      <c r="S185" s="11">
        <f t="shared" si="11"/>
        <v>-0.43943298228681682</v>
      </c>
    </row>
    <row r="186" spans="1:19" x14ac:dyDescent="0.35">
      <c r="A186">
        <v>185</v>
      </c>
      <c r="B186" s="4">
        <v>0.13792399999999999</v>
      </c>
      <c r="C186" s="4">
        <v>0.47629199999999999</v>
      </c>
      <c r="N186">
        <v>185</v>
      </c>
      <c r="O186" s="4">
        <v>0.47629199999999999</v>
      </c>
      <c r="P186">
        <f t="shared" si="12"/>
        <v>0.80975671929999993</v>
      </c>
      <c r="Q186">
        <f t="shared" si="13"/>
        <v>-0.33346471929999993</v>
      </c>
      <c r="R186">
        <f t="shared" si="14"/>
        <v>0.71440764947467761</v>
      </c>
      <c r="S186" s="11">
        <f t="shared" si="11"/>
        <v>-0.33630154192583273</v>
      </c>
    </row>
    <row r="187" spans="1:19" x14ac:dyDescent="0.35">
      <c r="A187">
        <v>186</v>
      </c>
      <c r="B187" s="4">
        <v>0.259048</v>
      </c>
      <c r="C187" s="4">
        <v>0.497195</v>
      </c>
      <c r="N187">
        <v>186</v>
      </c>
      <c r="O187" s="4">
        <v>0.497195</v>
      </c>
      <c r="P187">
        <f t="shared" si="12"/>
        <v>0.71175915879999996</v>
      </c>
      <c r="Q187">
        <f t="shared" si="13"/>
        <v>-0.21456415879999996</v>
      </c>
      <c r="R187">
        <f t="shared" si="14"/>
        <v>1.0367042502034998</v>
      </c>
      <c r="S187" s="11">
        <f t="shared" si="11"/>
        <v>3.6046691081459512E-2</v>
      </c>
    </row>
    <row r="188" spans="1:19" x14ac:dyDescent="0.35">
      <c r="A188">
        <v>187</v>
      </c>
      <c r="B188" s="4">
        <v>0.88268999999999997</v>
      </c>
      <c r="C188" s="4">
        <v>1.1312899999999999</v>
      </c>
      <c r="N188">
        <v>187</v>
      </c>
      <c r="O188" s="4">
        <v>1.1312899999999999</v>
      </c>
      <c r="P188">
        <f t="shared" si="12"/>
        <v>0.72197863549999997</v>
      </c>
      <c r="Q188">
        <f t="shared" si="13"/>
        <v>0.40931136449999994</v>
      </c>
      <c r="R188">
        <f t="shared" si="14"/>
        <v>0.51776817288707</v>
      </c>
      <c r="S188" s="11">
        <f t="shared" si="11"/>
        <v>-0.65822767958882744</v>
      </c>
    </row>
    <row r="189" spans="1:19" x14ac:dyDescent="0.35">
      <c r="A189">
        <v>188</v>
      </c>
      <c r="B189" s="4">
        <v>0.55232199999999998</v>
      </c>
      <c r="C189" s="4">
        <v>1.1179699999999999</v>
      </c>
      <c r="N189">
        <v>188</v>
      </c>
      <c r="O189" s="4">
        <v>1.1179699999999999</v>
      </c>
      <c r="P189">
        <f t="shared" si="12"/>
        <v>1.0319876809999999</v>
      </c>
      <c r="Q189">
        <f t="shared" si="13"/>
        <v>8.5982318999999974E-2</v>
      </c>
      <c r="R189">
        <f t="shared" si="14"/>
        <v>1.2928825088545093</v>
      </c>
      <c r="S189" s="11">
        <f t="shared" si="11"/>
        <v>0.25687422857250986</v>
      </c>
    </row>
    <row r="190" spans="1:19" x14ac:dyDescent="0.35">
      <c r="A190">
        <v>189</v>
      </c>
      <c r="B190" s="4">
        <v>0.115463</v>
      </c>
      <c r="C190" s="4">
        <v>0.67444599999999999</v>
      </c>
      <c r="N190">
        <v>189</v>
      </c>
      <c r="O190" s="4">
        <v>0.67444599999999999</v>
      </c>
      <c r="P190">
        <f t="shared" si="12"/>
        <v>1.0254755329999998</v>
      </c>
      <c r="Q190">
        <f t="shared" si="13"/>
        <v>-0.35102953299999984</v>
      </c>
      <c r="R190">
        <f t="shared" si="14"/>
        <v>0.66697382335257782</v>
      </c>
      <c r="S190" s="11">
        <f t="shared" si="11"/>
        <v>-0.40500447918509119</v>
      </c>
    </row>
    <row r="191" spans="1:19" x14ac:dyDescent="0.35">
      <c r="A191">
        <v>190</v>
      </c>
      <c r="B191" s="4">
        <v>0.65508999999999995</v>
      </c>
      <c r="C191" s="4">
        <v>0.99231400000000003</v>
      </c>
      <c r="N191">
        <v>190</v>
      </c>
      <c r="O191" s="4">
        <v>0.99231400000000003</v>
      </c>
      <c r="P191">
        <f t="shared" si="12"/>
        <v>0.80863664939999991</v>
      </c>
      <c r="Q191">
        <f t="shared" si="13"/>
        <v>0.18367735060000012</v>
      </c>
      <c r="R191">
        <f t="shared" si="14"/>
        <v>1.1121941136010434</v>
      </c>
      <c r="S191" s="11">
        <f t="shared" si="11"/>
        <v>0.10633474318498076</v>
      </c>
    </row>
    <row r="192" spans="1:19" x14ac:dyDescent="0.35">
      <c r="A192">
        <v>191</v>
      </c>
      <c r="B192" s="4">
        <v>0.32397500000000001</v>
      </c>
      <c r="C192" s="4">
        <v>0.82013100000000005</v>
      </c>
      <c r="N192">
        <v>191</v>
      </c>
      <c r="O192" s="4">
        <v>0.82013100000000005</v>
      </c>
      <c r="P192">
        <f t="shared" si="12"/>
        <v>0.96404231460000001</v>
      </c>
      <c r="Q192">
        <f t="shared" si="13"/>
        <v>-0.14391131459999995</v>
      </c>
      <c r="R192">
        <f t="shared" si="14"/>
        <v>1.1981445920220293</v>
      </c>
      <c r="S192" s="11">
        <f t="shared" si="11"/>
        <v>0.18077418691946776</v>
      </c>
    </row>
    <row r="193" spans="1:19" x14ac:dyDescent="0.35">
      <c r="A193">
        <v>192</v>
      </c>
      <c r="B193" s="4">
        <v>0.162109</v>
      </c>
      <c r="C193" s="4">
        <v>0.57217499999999999</v>
      </c>
      <c r="N193">
        <v>192</v>
      </c>
      <c r="O193" s="4">
        <v>0.57217499999999999</v>
      </c>
      <c r="P193">
        <f t="shared" si="12"/>
        <v>0.87986204589999994</v>
      </c>
      <c r="Q193">
        <f t="shared" si="13"/>
        <v>-0.30768704589999996</v>
      </c>
      <c r="R193">
        <f t="shared" si="14"/>
        <v>0.7851666807117943</v>
      </c>
      <c r="S193" s="11">
        <f t="shared" si="11"/>
        <v>-0.24185925162206667</v>
      </c>
    </row>
    <row r="194" spans="1:19" x14ac:dyDescent="0.35">
      <c r="A194">
        <v>193</v>
      </c>
      <c r="B194" s="4">
        <v>0.70201100000000005</v>
      </c>
      <c r="C194" s="4">
        <v>0.98809899999999995</v>
      </c>
      <c r="N194">
        <v>193</v>
      </c>
      <c r="O194" s="4">
        <v>0.98809899999999995</v>
      </c>
      <c r="P194">
        <f t="shared" si="12"/>
        <v>0.75863635749999991</v>
      </c>
      <c r="Q194">
        <f t="shared" si="13"/>
        <v>0.22946264250000004</v>
      </c>
      <c r="R194">
        <f t="shared" ref="R194:R201" si="15">_xlfn.NORM.DIST(Q194,0,$X$9,FALSE)</f>
        <v>0.99824636728653071</v>
      </c>
      <c r="S194" s="11">
        <f t="shared" si="11"/>
        <v>-1.7551721272903698E-3</v>
      </c>
    </row>
    <row r="195" spans="1:19" x14ac:dyDescent="0.35">
      <c r="A195">
        <v>194</v>
      </c>
      <c r="B195" s="4">
        <v>0.85465999999999998</v>
      </c>
      <c r="C195" s="4">
        <v>1.3487100000000001</v>
      </c>
      <c r="N195">
        <v>194</v>
      </c>
      <c r="O195" s="4">
        <v>1.3487100000000001</v>
      </c>
      <c r="P195">
        <f t="shared" si="12"/>
        <v>0.96198160109999997</v>
      </c>
      <c r="Q195">
        <f t="shared" si="13"/>
        <v>0.3867283989000001</v>
      </c>
      <c r="R195">
        <f t="shared" si="15"/>
        <v>0.57378396781310881</v>
      </c>
      <c r="S195" s="11">
        <f t="shared" ref="S195:S201" si="16">LN(R195)</f>
        <v>-0.55550231619971757</v>
      </c>
    </row>
    <row r="196" spans="1:19" x14ac:dyDescent="0.35">
      <c r="A196">
        <v>195</v>
      </c>
      <c r="B196" s="4">
        <v>0.48085</v>
      </c>
      <c r="C196" s="4">
        <v>1.1552</v>
      </c>
      <c r="N196">
        <v>195</v>
      </c>
      <c r="O196" s="4">
        <v>1.1552</v>
      </c>
      <c r="P196">
        <f t="shared" ref="P196:P201" si="17">$V$2+$V$3*O195</f>
        <v>1.138284319</v>
      </c>
      <c r="Q196">
        <f t="shared" ref="Q196:Q201" si="18">O196-P196</f>
        <v>1.691568099999996E-2</v>
      </c>
      <c r="R196">
        <f t="shared" si="15"/>
        <v>1.3464676697301252</v>
      </c>
      <c r="S196" s="11">
        <f t="shared" si="16"/>
        <v>0.29748462238350426</v>
      </c>
    </row>
    <row r="197" spans="1:19" x14ac:dyDescent="0.35">
      <c r="A197">
        <v>196</v>
      </c>
      <c r="B197" s="4">
        <v>0.84347499999999997</v>
      </c>
      <c r="C197" s="4">
        <v>1.4210799999999999</v>
      </c>
      <c r="N197">
        <v>196</v>
      </c>
      <c r="O197" s="4">
        <v>1.4210799999999999</v>
      </c>
      <c r="P197">
        <f t="shared" si="17"/>
        <v>1.04367728</v>
      </c>
      <c r="Q197">
        <f t="shared" si="18"/>
        <v>0.37740271999999986</v>
      </c>
      <c r="R197">
        <f t="shared" si="15"/>
        <v>0.59763081653719252</v>
      </c>
      <c r="S197" s="11">
        <f t="shared" si="16"/>
        <v>-0.51478207932909326</v>
      </c>
    </row>
    <row r="198" spans="1:19" x14ac:dyDescent="0.35">
      <c r="A198">
        <v>197</v>
      </c>
      <c r="B198" s="4">
        <v>0.40860000000000002</v>
      </c>
      <c r="C198" s="4">
        <v>1.11914</v>
      </c>
      <c r="N198">
        <v>197</v>
      </c>
      <c r="O198" s="4">
        <v>1.11914</v>
      </c>
      <c r="P198">
        <f t="shared" si="17"/>
        <v>1.173666012</v>
      </c>
      <c r="Q198">
        <f t="shared" si="18"/>
        <v>-5.4526011999999957E-2</v>
      </c>
      <c r="R198">
        <f t="shared" si="15"/>
        <v>1.3259519400959903</v>
      </c>
      <c r="S198" s="11">
        <f t="shared" si="16"/>
        <v>0.28213064683533073</v>
      </c>
    </row>
    <row r="199" spans="1:19" x14ac:dyDescent="0.35">
      <c r="A199">
        <v>198</v>
      </c>
      <c r="B199" s="4">
        <v>0.58171099999999998</v>
      </c>
      <c r="C199" s="4">
        <v>1.1412800000000001</v>
      </c>
      <c r="E199" s="7"/>
      <c r="F199" s="8"/>
      <c r="N199">
        <v>198</v>
      </c>
      <c r="O199" s="4">
        <v>1.1412800000000001</v>
      </c>
      <c r="P199">
        <f t="shared" si="17"/>
        <v>1.026047546</v>
      </c>
      <c r="Q199">
        <f t="shared" si="18"/>
        <v>0.11523245400000004</v>
      </c>
      <c r="R199">
        <f t="shared" si="15"/>
        <v>1.2501236435858212</v>
      </c>
      <c r="S199" s="11">
        <f t="shared" si="16"/>
        <v>0.22324246129111366</v>
      </c>
    </row>
    <row r="200" spans="1:19" x14ac:dyDescent="0.35">
      <c r="A200">
        <v>199</v>
      </c>
      <c r="B200" s="4">
        <v>0.97593700000000005</v>
      </c>
      <c r="C200" s="4">
        <v>1.5465800000000001</v>
      </c>
      <c r="E200" s="7"/>
      <c r="F200" s="9"/>
      <c r="N200">
        <v>199</v>
      </c>
      <c r="O200" s="4">
        <v>1.5465800000000001</v>
      </c>
      <c r="P200">
        <f t="shared" si="17"/>
        <v>1.0368717919999999</v>
      </c>
      <c r="Q200">
        <f t="shared" si="18"/>
        <v>0.50970820800000016</v>
      </c>
      <c r="R200">
        <f t="shared" si="15"/>
        <v>0.30560380810348503</v>
      </c>
      <c r="S200" s="11">
        <f t="shared" si="16"/>
        <v>-1.1854657606957968</v>
      </c>
    </row>
    <row r="201" spans="1:19" x14ac:dyDescent="0.35">
      <c r="A201">
        <v>200</v>
      </c>
      <c r="B201" s="4">
        <v>0.68396000000000001</v>
      </c>
      <c r="C201" s="4">
        <v>1.4572499999999999</v>
      </c>
      <c r="E201" s="7"/>
      <c r="F201" s="9"/>
      <c r="N201">
        <v>200</v>
      </c>
      <c r="O201" s="4">
        <v>1.4572499999999999</v>
      </c>
      <c r="P201">
        <f t="shared" si="17"/>
        <v>1.2350229619999999</v>
      </c>
      <c r="Q201">
        <f t="shared" si="18"/>
        <v>0.22222703799999999</v>
      </c>
      <c r="R201">
        <f t="shared" si="15"/>
        <v>1.0170644930712303</v>
      </c>
      <c r="S201" s="11">
        <f t="shared" si="16"/>
        <v>1.6920530071734732E-2</v>
      </c>
    </row>
    <row r="202" spans="1:19" x14ac:dyDescent="0.35">
      <c r="E202" s="7"/>
      <c r="F202" s="9"/>
    </row>
    <row r="203" spans="1:19" x14ac:dyDescent="0.35">
      <c r="C203" s="4"/>
      <c r="O203" s="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5"/>
  <sheetViews>
    <sheetView workbookViewId="0"/>
  </sheetViews>
  <sheetFormatPr defaultRowHeight="14.5" x14ac:dyDescent="0.35"/>
  <sheetData>
    <row r="1" spans="1:2" ht="26.5" x14ac:dyDescent="0.35">
      <c r="A1" s="5" t="s">
        <v>13</v>
      </c>
      <c r="B1" s="5" t="s">
        <v>14</v>
      </c>
    </row>
    <row r="2" spans="1:2" x14ac:dyDescent="0.35">
      <c r="A2" s="6">
        <v>33970</v>
      </c>
      <c r="B2">
        <v>17074.660618279569</v>
      </c>
    </row>
    <row r="3" spans="1:2" x14ac:dyDescent="0.35">
      <c r="A3" s="6">
        <v>34001</v>
      </c>
      <c r="B3">
        <v>17822.508184523809</v>
      </c>
    </row>
    <row r="4" spans="1:2" x14ac:dyDescent="0.35">
      <c r="A4" s="6">
        <v>34029</v>
      </c>
      <c r="B4">
        <v>16900.098118279569</v>
      </c>
    </row>
    <row r="5" spans="1:2" x14ac:dyDescent="0.35">
      <c r="A5" s="6">
        <v>34060</v>
      </c>
      <c r="B5">
        <v>15417.278472222222</v>
      </c>
    </row>
    <row r="6" spans="1:2" x14ac:dyDescent="0.35">
      <c r="A6" s="6">
        <v>34090</v>
      </c>
      <c r="B6">
        <v>14986.030913978495</v>
      </c>
    </row>
    <row r="7" spans="1:2" x14ac:dyDescent="0.35">
      <c r="A7" s="6">
        <v>34121</v>
      </c>
      <c r="B7">
        <v>16929.035416666666</v>
      </c>
    </row>
    <row r="8" spans="1:2" x14ac:dyDescent="0.35">
      <c r="A8" s="6">
        <v>34151</v>
      </c>
      <c r="B8">
        <v>18694.290994623654</v>
      </c>
    </row>
    <row r="9" spans="1:2" x14ac:dyDescent="0.35">
      <c r="A9" s="6">
        <v>34182</v>
      </c>
      <c r="B9">
        <v>18332.27553763441</v>
      </c>
    </row>
    <row r="10" spans="1:2" x14ac:dyDescent="0.35">
      <c r="A10" s="6">
        <v>34213</v>
      </c>
      <c r="B10">
        <v>16468.281944444443</v>
      </c>
    </row>
    <row r="11" spans="1:2" x14ac:dyDescent="0.35">
      <c r="A11" s="6">
        <v>34243</v>
      </c>
      <c r="B11">
        <v>15474.3125</v>
      </c>
    </row>
    <row r="12" spans="1:2" x14ac:dyDescent="0.35">
      <c r="A12" s="6">
        <v>34274</v>
      </c>
      <c r="B12">
        <v>16028.484027777778</v>
      </c>
    </row>
    <row r="13" spans="1:2" x14ac:dyDescent="0.35">
      <c r="A13" s="6">
        <v>34304</v>
      </c>
      <c r="B13">
        <v>17155.073252688173</v>
      </c>
    </row>
    <row r="14" spans="1:2" x14ac:dyDescent="0.35">
      <c r="A14" s="6">
        <v>34335</v>
      </c>
      <c r="B14">
        <v>18404.175403225807</v>
      </c>
    </row>
    <row r="15" spans="1:2" x14ac:dyDescent="0.35">
      <c r="A15" s="6">
        <v>34366</v>
      </c>
      <c r="B15">
        <v>17884.685267857141</v>
      </c>
    </row>
    <row r="16" spans="1:2" x14ac:dyDescent="0.35">
      <c r="A16" s="6">
        <v>34394</v>
      </c>
      <c r="B16">
        <v>16754.90053763441</v>
      </c>
    </row>
    <row r="17" spans="1:2" x14ac:dyDescent="0.35">
      <c r="A17" s="6">
        <v>34425</v>
      </c>
      <c r="B17">
        <v>15277.745138888889</v>
      </c>
    </row>
    <row r="18" spans="1:2" x14ac:dyDescent="0.35">
      <c r="A18" s="6">
        <v>34455</v>
      </c>
      <c r="B18">
        <v>15040.01680107527</v>
      </c>
    </row>
    <row r="19" spans="1:2" x14ac:dyDescent="0.35">
      <c r="A19" s="6">
        <v>34486</v>
      </c>
      <c r="B19">
        <v>17836.913194444445</v>
      </c>
    </row>
    <row r="20" spans="1:2" x14ac:dyDescent="0.35">
      <c r="A20" s="6">
        <v>34516</v>
      </c>
      <c r="B20">
        <v>19349.141801075268</v>
      </c>
    </row>
    <row r="21" spans="1:2" x14ac:dyDescent="0.35">
      <c r="A21" s="6">
        <v>34547</v>
      </c>
      <c r="B21">
        <v>17734.604838709678</v>
      </c>
    </row>
    <row r="22" spans="1:2" x14ac:dyDescent="0.35">
      <c r="A22" s="6">
        <v>34578</v>
      </c>
      <c r="B22">
        <v>16015.753472222223</v>
      </c>
    </row>
    <row r="23" spans="1:2" x14ac:dyDescent="0.35">
      <c r="A23" s="6">
        <v>34608</v>
      </c>
      <c r="B23">
        <v>15382.200268817205</v>
      </c>
    </row>
    <row r="24" spans="1:2" x14ac:dyDescent="0.35">
      <c r="A24" s="6">
        <v>34639</v>
      </c>
      <c r="B24">
        <v>15941.847222222223</v>
      </c>
    </row>
    <row r="25" spans="1:2" x14ac:dyDescent="0.35">
      <c r="A25" s="6">
        <v>34669</v>
      </c>
      <c r="B25">
        <v>16833.419354838708</v>
      </c>
    </row>
    <row r="26" spans="1:2" x14ac:dyDescent="0.35">
      <c r="A26" s="6">
        <v>34700</v>
      </c>
      <c r="B26">
        <v>17056.81384408602</v>
      </c>
    </row>
    <row r="27" spans="1:2" x14ac:dyDescent="0.35">
      <c r="A27" s="6">
        <v>34731</v>
      </c>
      <c r="B27">
        <v>17695.121279761905</v>
      </c>
    </row>
    <row r="28" spans="1:2" x14ac:dyDescent="0.35">
      <c r="A28" s="6">
        <v>34759</v>
      </c>
      <c r="B28">
        <v>16351.092069892473</v>
      </c>
    </row>
    <row r="29" spans="1:2" x14ac:dyDescent="0.35">
      <c r="A29" s="6">
        <v>34790</v>
      </c>
      <c r="B29">
        <v>15495.865972222222</v>
      </c>
    </row>
    <row r="30" spans="1:2" x14ac:dyDescent="0.35">
      <c r="A30" s="6">
        <v>34820</v>
      </c>
      <c r="B30">
        <v>15291.258064516129</v>
      </c>
    </row>
    <row r="31" spans="1:2" x14ac:dyDescent="0.35">
      <c r="A31" s="6">
        <v>34851</v>
      </c>
      <c r="B31">
        <v>17252.929861111112</v>
      </c>
    </row>
    <row r="32" spans="1:2" x14ac:dyDescent="0.35">
      <c r="A32" s="6">
        <v>34881</v>
      </c>
      <c r="B32">
        <v>19154.118951612902</v>
      </c>
    </row>
    <row r="33" spans="1:2" x14ac:dyDescent="0.35">
      <c r="A33" s="6">
        <v>34912</v>
      </c>
      <c r="B33">
        <v>19166.084005376346</v>
      </c>
    </row>
    <row r="34" spans="1:2" x14ac:dyDescent="0.35">
      <c r="A34" s="6">
        <v>34943</v>
      </c>
      <c r="B34">
        <v>16178.874305555555</v>
      </c>
    </row>
    <row r="35" spans="1:2" x14ac:dyDescent="0.35">
      <c r="A35" s="6">
        <v>34973</v>
      </c>
      <c r="B35">
        <v>15619.463709677419</v>
      </c>
    </row>
    <row r="36" spans="1:2" x14ac:dyDescent="0.35">
      <c r="A36" s="6">
        <v>35004</v>
      </c>
      <c r="B36">
        <v>16434.090277777777</v>
      </c>
    </row>
    <row r="37" spans="1:2" x14ac:dyDescent="0.35">
      <c r="A37" s="6">
        <v>35034</v>
      </c>
      <c r="B37">
        <v>17627.00067204301</v>
      </c>
    </row>
    <row r="38" spans="1:2" x14ac:dyDescent="0.35">
      <c r="A38" s="6">
        <v>35065</v>
      </c>
      <c r="B38">
        <v>17932.426075268817</v>
      </c>
    </row>
    <row r="39" spans="1:2" x14ac:dyDescent="0.35">
      <c r="A39" s="6">
        <v>35096</v>
      </c>
      <c r="B39">
        <v>17669.172413793105</v>
      </c>
    </row>
    <row r="40" spans="1:2" x14ac:dyDescent="0.35">
      <c r="A40" s="6">
        <v>35125</v>
      </c>
      <c r="B40">
        <v>16816.215725806451</v>
      </c>
    </row>
    <row r="41" spans="1:2" x14ac:dyDescent="0.35">
      <c r="A41" s="6">
        <v>35156</v>
      </c>
      <c r="B41">
        <v>15702.852083333333</v>
      </c>
    </row>
    <row r="42" spans="1:2" x14ac:dyDescent="0.35">
      <c r="A42" s="6">
        <v>35186</v>
      </c>
      <c r="B42">
        <v>15478.360887096775</v>
      </c>
    </row>
    <row r="43" spans="1:2" x14ac:dyDescent="0.35">
      <c r="A43" s="6">
        <v>35217</v>
      </c>
      <c r="B43">
        <v>17209.706249999999</v>
      </c>
    </row>
    <row r="44" spans="1:2" x14ac:dyDescent="0.35">
      <c r="A44" s="6">
        <v>35247</v>
      </c>
      <c r="B44">
        <v>17770.670026881722</v>
      </c>
    </row>
    <row r="45" spans="1:2" x14ac:dyDescent="0.35">
      <c r="A45" s="6">
        <v>35278</v>
      </c>
      <c r="B45">
        <v>18314.772849462366</v>
      </c>
    </row>
    <row r="46" spans="1:2" x14ac:dyDescent="0.35">
      <c r="A46" s="6">
        <v>35309</v>
      </c>
      <c r="B46">
        <v>16906.52847222222</v>
      </c>
    </row>
    <row r="47" spans="1:2" x14ac:dyDescent="0.35">
      <c r="A47" s="6">
        <v>35339</v>
      </c>
      <c r="B47">
        <v>15745.021505376344</v>
      </c>
    </row>
    <row r="48" spans="1:2" x14ac:dyDescent="0.35">
      <c r="A48" s="6">
        <v>35370</v>
      </c>
      <c r="B48">
        <v>16486.244444444445</v>
      </c>
    </row>
    <row r="49" spans="1:2" x14ac:dyDescent="0.35">
      <c r="A49" s="6">
        <v>35400</v>
      </c>
      <c r="B49">
        <v>16880.531586021505</v>
      </c>
    </row>
    <row r="50" spans="1:2" x14ac:dyDescent="0.35">
      <c r="A50" s="6">
        <v>35431</v>
      </c>
      <c r="B50">
        <v>17860.967741935485</v>
      </c>
    </row>
    <row r="51" spans="1:2" x14ac:dyDescent="0.35">
      <c r="A51" s="6">
        <v>35462</v>
      </c>
      <c r="B51">
        <v>17030.630208333332</v>
      </c>
    </row>
    <row r="52" spans="1:2" x14ac:dyDescent="0.35">
      <c r="A52" s="6">
        <v>35490</v>
      </c>
      <c r="B52">
        <v>16586.045026881722</v>
      </c>
    </row>
    <row r="53" spans="1:2" x14ac:dyDescent="0.35">
      <c r="A53" s="6">
        <v>35521</v>
      </c>
      <c r="B53">
        <v>15712.443055555555</v>
      </c>
    </row>
    <row r="54" spans="1:2" x14ac:dyDescent="0.35">
      <c r="A54" s="6">
        <v>35551</v>
      </c>
      <c r="B54">
        <v>15236.645833333334</v>
      </c>
    </row>
    <row r="55" spans="1:2" x14ac:dyDescent="0.35">
      <c r="A55" s="6">
        <v>35582</v>
      </c>
      <c r="B55">
        <v>17608.561805555557</v>
      </c>
    </row>
    <row r="56" spans="1:2" x14ac:dyDescent="0.35">
      <c r="A56" s="6">
        <v>35612</v>
      </c>
      <c r="B56">
        <v>18964.371639784946</v>
      </c>
    </row>
    <row r="57" spans="1:2" x14ac:dyDescent="0.35">
      <c r="A57" s="6">
        <v>35643</v>
      </c>
      <c r="B57">
        <v>18145.332661290322</v>
      </c>
    </row>
    <row r="58" spans="1:2" x14ac:dyDescent="0.35">
      <c r="A58" s="6">
        <v>35674</v>
      </c>
      <c r="B58">
        <v>16788.254861111112</v>
      </c>
    </row>
    <row r="59" spans="1:2" x14ac:dyDescent="0.35">
      <c r="A59" s="6">
        <v>35704</v>
      </c>
      <c r="B59">
        <v>16103.788306451614</v>
      </c>
    </row>
    <row r="60" spans="1:2" x14ac:dyDescent="0.35">
      <c r="A60" s="6">
        <v>35735</v>
      </c>
      <c r="B60">
        <v>16499.298611111109</v>
      </c>
    </row>
    <row r="61" spans="1:2" x14ac:dyDescent="0.35">
      <c r="A61" s="6">
        <v>35765</v>
      </c>
      <c r="B61">
        <v>17389.771505376346</v>
      </c>
    </row>
    <row r="62" spans="1:2" x14ac:dyDescent="0.35">
      <c r="A62" s="6">
        <v>35796</v>
      </c>
      <c r="B62">
        <v>17056.341397849461</v>
      </c>
    </row>
    <row r="63" spans="1:2" x14ac:dyDescent="0.35">
      <c r="A63" s="6">
        <v>35827</v>
      </c>
      <c r="B63">
        <v>17036.372023809523</v>
      </c>
    </row>
    <row r="64" spans="1:2" x14ac:dyDescent="0.35">
      <c r="A64" s="6">
        <v>35855</v>
      </c>
      <c r="B64">
        <v>16833.404569892475</v>
      </c>
    </row>
    <row r="65" spans="1:2" x14ac:dyDescent="0.35">
      <c r="A65" s="6">
        <v>35886</v>
      </c>
      <c r="B65">
        <v>15739.520833333334</v>
      </c>
    </row>
    <row r="66" spans="1:2" x14ac:dyDescent="0.35">
      <c r="A66" s="6">
        <v>35916</v>
      </c>
      <c r="B66">
        <v>16059.225806451614</v>
      </c>
    </row>
    <row r="67" spans="1:2" x14ac:dyDescent="0.35">
      <c r="A67" s="6">
        <v>35947</v>
      </c>
      <c r="B67">
        <v>17779.275000000001</v>
      </c>
    </row>
    <row r="68" spans="1:2" x14ac:dyDescent="0.35">
      <c r="A68" s="6">
        <v>35977</v>
      </c>
      <c r="B68">
        <v>19460.528225806451</v>
      </c>
    </row>
    <row r="69" spans="1:2" x14ac:dyDescent="0.35">
      <c r="A69" s="6">
        <v>36008</v>
      </c>
      <c r="B69">
        <v>19705.333333333332</v>
      </c>
    </row>
    <row r="70" spans="1:2" x14ac:dyDescent="0.35">
      <c r="A70" s="6">
        <v>36039</v>
      </c>
      <c r="B70">
        <v>17751.829166666666</v>
      </c>
    </row>
    <row r="71" spans="1:2" x14ac:dyDescent="0.35">
      <c r="A71" s="6">
        <v>36069</v>
      </c>
      <c r="B71">
        <v>16035.259408602151</v>
      </c>
    </row>
    <row r="72" spans="1:2" x14ac:dyDescent="0.35">
      <c r="A72" s="6">
        <v>36100</v>
      </c>
      <c r="B72">
        <v>16490.670833333334</v>
      </c>
    </row>
    <row r="73" spans="1:2" x14ac:dyDescent="0.35">
      <c r="A73" s="6">
        <v>36130</v>
      </c>
      <c r="B73">
        <v>17349.928763440861</v>
      </c>
    </row>
    <row r="74" spans="1:2" x14ac:dyDescent="0.35">
      <c r="A74" s="6">
        <v>36161</v>
      </c>
      <c r="B74">
        <v>18014.583333333332</v>
      </c>
    </row>
    <row r="75" spans="1:2" x14ac:dyDescent="0.35">
      <c r="A75" s="6">
        <v>36192</v>
      </c>
      <c r="B75">
        <v>17472.075892857141</v>
      </c>
    </row>
    <row r="76" spans="1:2" x14ac:dyDescent="0.35">
      <c r="A76" s="6">
        <v>36220</v>
      </c>
      <c r="B76">
        <v>17188.127688172044</v>
      </c>
    </row>
    <row r="77" spans="1:2" x14ac:dyDescent="0.35">
      <c r="A77" s="6">
        <v>36251</v>
      </c>
      <c r="B77">
        <v>15811.443055555555</v>
      </c>
    </row>
    <row r="78" spans="1:2" x14ac:dyDescent="0.35">
      <c r="A78" s="6">
        <v>36281</v>
      </c>
      <c r="B78">
        <v>15913.571236559139</v>
      </c>
    </row>
    <row r="79" spans="1:2" x14ac:dyDescent="0.35">
      <c r="A79" s="6">
        <v>36312</v>
      </c>
      <c r="B79">
        <v>19271.74722222222</v>
      </c>
    </row>
    <row r="80" spans="1:2" x14ac:dyDescent="0.35">
      <c r="A80" s="6">
        <v>36342</v>
      </c>
      <c r="B80">
        <v>21652.701612903227</v>
      </c>
    </row>
    <row r="81" spans="1:2" x14ac:dyDescent="0.35">
      <c r="A81" s="6">
        <v>36373</v>
      </c>
      <c r="B81">
        <v>19652.565860215054</v>
      </c>
    </row>
    <row r="82" spans="1:2" x14ac:dyDescent="0.35">
      <c r="A82" s="6">
        <v>36404</v>
      </c>
      <c r="B82">
        <v>18180.012500000001</v>
      </c>
    </row>
    <row r="83" spans="1:2" x14ac:dyDescent="0.35">
      <c r="A83" s="6">
        <v>36434</v>
      </c>
      <c r="B83">
        <v>16478.461021505376</v>
      </c>
    </row>
    <row r="84" spans="1:2" x14ac:dyDescent="0.35">
      <c r="A84" s="6">
        <v>36465</v>
      </c>
      <c r="B84">
        <v>16739.429166666665</v>
      </c>
    </row>
    <row r="85" spans="1:2" x14ac:dyDescent="0.35">
      <c r="A85" s="6">
        <v>36495</v>
      </c>
      <c r="B85">
        <v>17742.580645161292</v>
      </c>
    </row>
    <row r="86" spans="1:2" x14ac:dyDescent="0.35">
      <c r="A86" s="6">
        <v>36526</v>
      </c>
      <c r="B86">
        <v>18485.603494623654</v>
      </c>
    </row>
    <row r="87" spans="1:2" x14ac:dyDescent="0.35">
      <c r="A87" s="6">
        <v>36557</v>
      </c>
      <c r="B87">
        <v>17955.942528735632</v>
      </c>
    </row>
    <row r="88" spans="1:2" x14ac:dyDescent="0.35">
      <c r="A88" s="6">
        <v>36586</v>
      </c>
      <c r="B88">
        <v>16834.307795698925</v>
      </c>
    </row>
    <row r="89" spans="1:2" x14ac:dyDescent="0.35">
      <c r="A89" s="6">
        <v>36617</v>
      </c>
      <c r="B89">
        <v>16218.504166666668</v>
      </c>
    </row>
    <row r="90" spans="1:2" x14ac:dyDescent="0.35">
      <c r="A90" s="6">
        <v>36647</v>
      </c>
      <c r="B90">
        <v>16656.619623655915</v>
      </c>
    </row>
    <row r="91" spans="1:2" x14ac:dyDescent="0.35">
      <c r="A91" s="6">
        <v>36678</v>
      </c>
      <c r="B91">
        <v>18980.759722222221</v>
      </c>
    </row>
    <row r="92" spans="1:2" x14ac:dyDescent="0.35">
      <c r="A92" s="6">
        <v>36708</v>
      </c>
      <c r="B92">
        <v>18745.263440860213</v>
      </c>
    </row>
    <row r="93" spans="1:2" x14ac:dyDescent="0.35">
      <c r="A93" s="6">
        <v>36739</v>
      </c>
      <c r="B93">
        <v>19480.044354838708</v>
      </c>
    </row>
    <row r="94" spans="1:2" x14ac:dyDescent="0.35">
      <c r="A94" s="6">
        <v>36770</v>
      </c>
      <c r="B94">
        <v>18018.598611111112</v>
      </c>
    </row>
    <row r="95" spans="1:2" x14ac:dyDescent="0.35">
      <c r="A95" s="6">
        <v>36800</v>
      </c>
      <c r="B95">
        <v>16607.913978494624</v>
      </c>
    </row>
    <row r="96" spans="1:2" x14ac:dyDescent="0.35">
      <c r="A96" s="6">
        <v>36831</v>
      </c>
      <c r="B96">
        <v>17231.954166666666</v>
      </c>
    </row>
    <row r="97" spans="1:2" x14ac:dyDescent="0.35">
      <c r="A97" s="6">
        <v>36861</v>
      </c>
      <c r="B97">
        <v>18737.368279569891</v>
      </c>
    </row>
    <row r="98" spans="1:2" x14ac:dyDescent="0.35">
      <c r="A98" s="6">
        <v>36892</v>
      </c>
      <c r="B98">
        <v>18439.912634408603</v>
      </c>
    </row>
    <row r="99" spans="1:2" x14ac:dyDescent="0.35">
      <c r="A99" s="6">
        <v>36923</v>
      </c>
      <c r="B99">
        <v>18069.879464285714</v>
      </c>
    </row>
    <row r="100" spans="1:2" x14ac:dyDescent="0.35">
      <c r="A100" s="6">
        <v>36951</v>
      </c>
      <c r="B100">
        <v>17608.383064516129</v>
      </c>
    </row>
    <row r="101" spans="1:2" x14ac:dyDescent="0.35">
      <c r="A101" s="6">
        <v>36982</v>
      </c>
      <c r="B101">
        <v>16140.741666666667</v>
      </c>
    </row>
    <row r="102" spans="1:2" x14ac:dyDescent="0.35">
      <c r="A102" s="6">
        <v>37012</v>
      </c>
      <c r="B102">
        <v>16556.548387096773</v>
      </c>
    </row>
    <row r="103" spans="1:2" x14ac:dyDescent="0.35">
      <c r="A103" s="6">
        <v>37043</v>
      </c>
      <c r="B103">
        <v>19185.783333333333</v>
      </c>
    </row>
    <row r="104" spans="1:2" x14ac:dyDescent="0.35">
      <c r="A104" s="6">
        <v>37073</v>
      </c>
      <c r="B104">
        <v>19157.384408602149</v>
      </c>
    </row>
    <row r="105" spans="1:2" x14ac:dyDescent="0.35">
      <c r="A105" s="6">
        <v>37104</v>
      </c>
      <c r="B105">
        <v>21327.077956989247</v>
      </c>
    </row>
    <row r="106" spans="1:2" x14ac:dyDescent="0.35">
      <c r="A106" s="6">
        <v>37135</v>
      </c>
      <c r="B106">
        <v>17540.951388888891</v>
      </c>
    </row>
    <row r="107" spans="1:2" x14ac:dyDescent="0.35">
      <c r="A107" s="6">
        <v>37165</v>
      </c>
      <c r="B107">
        <v>16663.806451612902</v>
      </c>
    </row>
    <row r="108" spans="1:2" x14ac:dyDescent="0.35">
      <c r="A108" s="6">
        <v>37196</v>
      </c>
      <c r="B108">
        <v>16624.795833333334</v>
      </c>
    </row>
    <row r="109" spans="1:2" x14ac:dyDescent="0.35">
      <c r="A109" s="6">
        <v>37226</v>
      </c>
      <c r="B109">
        <v>17267.978494623654</v>
      </c>
    </row>
    <row r="110" spans="1:2" x14ac:dyDescent="0.35">
      <c r="A110" s="6">
        <v>37257</v>
      </c>
      <c r="B110">
        <v>17808.091397849461</v>
      </c>
    </row>
    <row r="111" spans="1:2" x14ac:dyDescent="0.35">
      <c r="A111" s="6">
        <v>37288</v>
      </c>
      <c r="B111">
        <v>17404.084821428572</v>
      </c>
    </row>
    <row r="112" spans="1:2" x14ac:dyDescent="0.35">
      <c r="A112" s="6">
        <v>37316</v>
      </c>
      <c r="B112">
        <v>16809.127688172044</v>
      </c>
    </row>
    <row r="113" spans="1:2" x14ac:dyDescent="0.35">
      <c r="A113" s="6">
        <v>37347</v>
      </c>
      <c r="B113">
        <v>16561.166666666668</v>
      </c>
    </row>
    <row r="114" spans="1:2" x14ac:dyDescent="0.35">
      <c r="A114" s="6">
        <v>37377</v>
      </c>
      <c r="B114">
        <v>16168.088709677419</v>
      </c>
    </row>
    <row r="115" spans="1:2" x14ac:dyDescent="0.35">
      <c r="A115" s="6">
        <v>37408</v>
      </c>
      <c r="B115">
        <v>18691.458333333332</v>
      </c>
    </row>
    <row r="116" spans="1:2" x14ac:dyDescent="0.35">
      <c r="A116" s="6">
        <v>37438</v>
      </c>
      <c r="B116">
        <v>21372.06317204301</v>
      </c>
    </row>
    <row r="117" spans="1:2" x14ac:dyDescent="0.35">
      <c r="A117" s="6">
        <v>37469</v>
      </c>
      <c r="B117">
        <v>21300.470430107525</v>
      </c>
    </row>
    <row r="118" spans="1:2" x14ac:dyDescent="0.35">
      <c r="A118" s="6">
        <v>37500</v>
      </c>
      <c r="B118">
        <v>18505.902777777777</v>
      </c>
    </row>
    <row r="119" spans="1:2" x14ac:dyDescent="0.35">
      <c r="A119" s="6">
        <v>37530</v>
      </c>
      <c r="B119">
        <v>17157.59946236559</v>
      </c>
    </row>
    <row r="120" spans="1:2" x14ac:dyDescent="0.35">
      <c r="A120" s="6">
        <v>37561</v>
      </c>
      <c r="B120">
        <v>17201.305555555555</v>
      </c>
    </row>
    <row r="121" spans="1:2" x14ac:dyDescent="0.35">
      <c r="A121" s="6">
        <v>37591</v>
      </c>
      <c r="B121">
        <v>18362.16129032258</v>
      </c>
    </row>
    <row r="122" spans="1:2" x14ac:dyDescent="0.35">
      <c r="A122" s="6">
        <v>37622</v>
      </c>
      <c r="B122">
        <v>19065.895161290322</v>
      </c>
    </row>
    <row r="123" spans="1:2" x14ac:dyDescent="0.35">
      <c r="A123" s="6">
        <v>37653</v>
      </c>
      <c r="B123">
        <v>18741.538690476191</v>
      </c>
    </row>
    <row r="124" spans="1:2" x14ac:dyDescent="0.35">
      <c r="A124" s="6">
        <v>37681</v>
      </c>
      <c r="B124">
        <v>17400.202956989247</v>
      </c>
    </row>
    <row r="125" spans="1:2" x14ac:dyDescent="0.35">
      <c r="A125" s="6">
        <v>37712</v>
      </c>
      <c r="B125">
        <v>16358.725</v>
      </c>
    </row>
    <row r="126" spans="1:2" x14ac:dyDescent="0.35">
      <c r="A126" s="6">
        <v>37742</v>
      </c>
      <c r="B126">
        <v>15929.052419354839</v>
      </c>
    </row>
    <row r="127" spans="1:2" x14ac:dyDescent="0.35">
      <c r="A127" s="6">
        <v>37773</v>
      </c>
      <c r="B127">
        <v>17999.869444444445</v>
      </c>
    </row>
    <row r="128" spans="1:2" x14ac:dyDescent="0.35">
      <c r="A128" s="6">
        <v>37803</v>
      </c>
      <c r="B128">
        <v>20717.026881720431</v>
      </c>
    </row>
    <row r="129" spans="1:2" x14ac:dyDescent="0.35">
      <c r="A129" s="6">
        <v>37834</v>
      </c>
      <c r="B129">
        <v>20730.96370967742</v>
      </c>
    </row>
    <row r="130" spans="1:2" x14ac:dyDescent="0.35">
      <c r="A130" s="6">
        <v>37865</v>
      </c>
      <c r="B130">
        <v>18038.568055555555</v>
      </c>
    </row>
    <row r="131" spans="1:2" x14ac:dyDescent="0.35">
      <c r="A131" s="6">
        <v>37895</v>
      </c>
      <c r="B131">
        <v>16531.884408602149</v>
      </c>
    </row>
    <row r="132" spans="1:2" x14ac:dyDescent="0.35">
      <c r="A132" s="6">
        <v>37926</v>
      </c>
      <c r="B132">
        <v>16758.724999999999</v>
      </c>
    </row>
    <row r="133" spans="1:2" x14ac:dyDescent="0.35">
      <c r="A133" s="6">
        <v>37956</v>
      </c>
      <c r="B133">
        <v>18137.056451612902</v>
      </c>
    </row>
    <row r="134" spans="1:2" x14ac:dyDescent="0.35">
      <c r="A134" s="6">
        <v>37987</v>
      </c>
      <c r="B134">
        <v>19333.362903225807</v>
      </c>
    </row>
    <row r="135" spans="1:2" x14ac:dyDescent="0.35">
      <c r="A135" s="6">
        <v>38018</v>
      </c>
      <c r="B135">
        <v>18313.185344827587</v>
      </c>
    </row>
    <row r="136" spans="1:2" x14ac:dyDescent="0.35">
      <c r="A136" s="6">
        <v>38047</v>
      </c>
      <c r="B136">
        <v>17351.516129032258</v>
      </c>
    </row>
    <row r="137" spans="1:2" x14ac:dyDescent="0.35">
      <c r="A137" s="6">
        <v>38078</v>
      </c>
      <c r="B137">
        <v>16384.222222222223</v>
      </c>
    </row>
    <row r="138" spans="1:2" x14ac:dyDescent="0.35">
      <c r="A138" s="6">
        <v>38108</v>
      </c>
      <c r="B138">
        <v>17001.83870967742</v>
      </c>
    </row>
    <row r="139" spans="1:2" x14ac:dyDescent="0.35">
      <c r="A139" s="6">
        <v>38139</v>
      </c>
      <c r="B139">
        <v>18798.573611111111</v>
      </c>
    </row>
    <row r="140" spans="1:2" x14ac:dyDescent="0.35">
      <c r="A140" s="6">
        <v>38169</v>
      </c>
      <c r="B140">
        <v>20040.840053763441</v>
      </c>
    </row>
    <row r="141" spans="1:2" x14ac:dyDescent="0.35">
      <c r="A141" s="6">
        <v>38200</v>
      </c>
      <c r="B141">
        <v>20222.34946236559</v>
      </c>
    </row>
    <row r="142" spans="1:2" x14ac:dyDescent="0.35">
      <c r="A142" s="6">
        <v>38231</v>
      </c>
      <c r="B142">
        <v>18643.915277777778</v>
      </c>
    </row>
    <row r="143" spans="1:2" x14ac:dyDescent="0.35">
      <c r="A143" s="6">
        <v>38261</v>
      </c>
      <c r="B143">
        <v>16775.225806451614</v>
      </c>
    </row>
    <row r="144" spans="1:2" x14ac:dyDescent="0.35">
      <c r="A144" s="6">
        <v>38292</v>
      </c>
      <c r="B144">
        <v>17308.719444444443</v>
      </c>
    </row>
    <row r="145" spans="1:2" x14ac:dyDescent="0.35">
      <c r="A145" s="6">
        <v>38322</v>
      </c>
      <c r="B145">
        <v>18617.75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F566B4-E701-4996-BB9D-A9D1EF04C67B}"/>
</file>

<file path=customXml/itemProps2.xml><?xml version="1.0" encoding="utf-8"?>
<ds:datastoreItem xmlns:ds="http://schemas.openxmlformats.org/officeDocument/2006/customXml" ds:itemID="{898A9C8C-2BFE-4AB6-8DBF-FCEC6CCC5218}"/>
</file>

<file path=customXml/itemProps3.xml><?xml version="1.0" encoding="utf-8"?>
<ds:datastoreItem xmlns:ds="http://schemas.openxmlformats.org/officeDocument/2006/customXml" ds:itemID="{EDCD2986-761A-4784-B7EF-EDB467DB2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ACF</vt:lpstr>
      <vt:lpstr>c7t2</vt:lpstr>
      <vt:lpstr>simAR1MA1</vt:lpstr>
      <vt:lpstr>MA1</vt:lpstr>
      <vt:lpstr>AR1</vt:lpstr>
      <vt:lpstr>AR1Forecast</vt:lpstr>
      <vt:lpstr>WHLoc</vt:lpstr>
      <vt:lpstr>AR1SSE</vt:lpstr>
      <vt:lpstr>AR1Loglikelihood</vt:lpstr>
      <vt:lpstr>c7p9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Kannapha Amaruchkul</cp:lastModifiedBy>
  <dcterms:created xsi:type="dcterms:W3CDTF">2021-06-14T02:39:47Z</dcterms:created>
  <dcterms:modified xsi:type="dcterms:W3CDTF">2025-09-17T06:25:34Z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