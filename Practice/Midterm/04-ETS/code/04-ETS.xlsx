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ai\Teaching\Courses\Forecasting\FC-Excel-R-Python\"/>
    </mc:Choice>
  </mc:AlternateContent>
  <xr:revisionPtr revIDLastSave="0" documentId="8_{AC898EAE-E03F-419B-A3B7-1172954CCD95}" xr6:coauthVersionLast="47" xr6:coauthVersionMax="47" xr10:uidLastSave="{00000000-0000-0000-0000-000000000000}"/>
  <bookViews>
    <workbookView xWindow="-28920" yWindow="-120" windowWidth="29040" windowHeight="15720" activeTab="4" xr2:uid="{147B1EEB-A443-4343-858F-2068AA6730DF}"/>
  </bookViews>
  <sheets>
    <sheet name="overview" sheetId="4" r:id="rId1"/>
    <sheet name="wgtAvg" sheetId="3" r:id="rId2"/>
    <sheet name="selectedETS" sheetId="2" r:id="rId3"/>
    <sheet name="ETS_ANN" sheetId="5" r:id="rId4"/>
    <sheet name="ETS_MNN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  <c r="C6" i="6" s="1"/>
  <c r="B30" i="5"/>
  <c r="B31" i="5" s="1"/>
  <c r="B32" i="5" s="1"/>
  <c r="B21" i="5"/>
  <c r="C5" i="5"/>
  <c r="D6" i="5" s="1"/>
  <c r="E6" i="5" s="1"/>
  <c r="D7" i="6" l="1"/>
  <c r="E7" i="6" s="1"/>
  <c r="F7" i="6" s="1"/>
  <c r="C7" i="6"/>
  <c r="D6" i="6"/>
  <c r="E6" i="6" s="1"/>
  <c r="F6" i="6" s="1"/>
  <c r="C6" i="5"/>
  <c r="D8" i="6" l="1"/>
  <c r="E8" i="6" s="1"/>
  <c r="F8" i="6" s="1"/>
  <c r="C8" i="6"/>
  <c r="D7" i="5"/>
  <c r="E7" i="5" s="1"/>
  <c r="C7" i="5"/>
  <c r="C9" i="6" l="1"/>
  <c r="D9" i="6"/>
  <c r="E9" i="6" s="1"/>
  <c r="F9" i="6" s="1"/>
  <c r="C8" i="5"/>
  <c r="D8" i="5"/>
  <c r="E8" i="5" s="1"/>
  <c r="D10" i="6" l="1"/>
  <c r="E10" i="6" s="1"/>
  <c r="F10" i="6" s="1"/>
  <c r="C10" i="6"/>
  <c r="C9" i="5"/>
  <c r="D9" i="5"/>
  <c r="E9" i="5" s="1"/>
  <c r="D11" i="6" l="1"/>
  <c r="E11" i="6" s="1"/>
  <c r="F11" i="6" s="1"/>
  <c r="C11" i="6"/>
  <c r="C10" i="5"/>
  <c r="D10" i="5"/>
  <c r="E10" i="5" s="1"/>
  <c r="D12" i="6" l="1"/>
  <c r="E12" i="6" s="1"/>
  <c r="F12" i="6" s="1"/>
  <c r="C12" i="6"/>
  <c r="D11" i="5"/>
  <c r="E11" i="5" s="1"/>
  <c r="C11" i="5"/>
  <c r="C13" i="6" l="1"/>
  <c r="D13" i="6"/>
  <c r="E13" i="6" s="1"/>
  <c r="F13" i="6" s="1"/>
  <c r="D12" i="5"/>
  <c r="E12" i="5" s="1"/>
  <c r="C12" i="5"/>
  <c r="D14" i="6" l="1"/>
  <c r="E14" i="6" s="1"/>
  <c r="F14" i="6" s="1"/>
  <c r="C14" i="6"/>
  <c r="D13" i="5"/>
  <c r="E13" i="5" s="1"/>
  <c r="C13" i="5"/>
  <c r="D15" i="6" l="1"/>
  <c r="E15" i="6" s="1"/>
  <c r="F15" i="6" s="1"/>
  <c r="C15" i="6"/>
  <c r="D14" i="5"/>
  <c r="E14" i="5" s="1"/>
  <c r="C14" i="5"/>
  <c r="D15" i="5" l="1"/>
  <c r="E15" i="5" s="1"/>
  <c r="C15" i="5"/>
  <c r="D22" i="5" l="1"/>
  <c r="H16" i="5"/>
  <c r="B34" i="5" s="1"/>
  <c r="H18" i="5"/>
  <c r="B36" i="5" s="1"/>
  <c r="H17" i="5"/>
  <c r="B35" i="5" s="1"/>
  <c r="H19" i="5"/>
  <c r="B37" i="5" s="1"/>
  <c r="D23" i="5" l="1"/>
  <c r="K4" i="5"/>
  <c r="C34" i="5" l="1"/>
  <c r="D34" i="5" s="1"/>
  <c r="E34" i="5" s="1"/>
  <c r="C35" i="5"/>
  <c r="D35" i="5" s="1"/>
  <c r="E35" i="5" s="1"/>
  <c r="D24" i="5"/>
  <c r="C37" i="5"/>
  <c r="D37" i="5" s="1"/>
  <c r="E37" i="5" s="1"/>
  <c r="C36" i="5"/>
  <c r="D36" i="5" s="1"/>
  <c r="E36" i="5" s="1"/>
  <c r="G37" i="5" l="1"/>
  <c r="V37" i="5" s="1"/>
  <c r="F37" i="5"/>
  <c r="G36" i="5"/>
  <c r="V36" i="5" s="1"/>
  <c r="F36" i="5"/>
  <c r="F6" i="5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35" i="5"/>
  <c r="G35" i="5"/>
  <c r="V35" i="5" s="1"/>
  <c r="G34" i="5"/>
  <c r="V34" i="5" s="1"/>
  <c r="F34" i="5"/>
  <c r="D25" i="5" l="1"/>
  <c r="G6" i="5"/>
  <c r="E26" i="5" s="1"/>
  <c r="D26" i="5" l="1"/>
  <c r="D27" i="5" s="1"/>
  <c r="L4" i="5"/>
  <c r="G12" i="4" l="1"/>
  <c r="G13" i="4" s="1"/>
  <c r="G14" i="4" s="1"/>
  <c r="G15" i="4" s="1"/>
  <c r="F12" i="4"/>
  <c r="F13" i="4" s="1"/>
  <c r="F14" i="4" s="1"/>
  <c r="F15" i="4" s="1"/>
  <c r="AA6" i="2" l="1"/>
  <c r="AB6" i="2"/>
  <c r="Z8" i="2"/>
  <c r="Z9" i="2"/>
  <c r="Z10" i="2"/>
  <c r="Z11" i="2"/>
  <c r="Z12" i="2"/>
  <c r="Z13" i="2"/>
  <c r="Z14" i="2"/>
  <c r="Z15" i="2"/>
  <c r="Z16" i="2"/>
  <c r="Z7" i="2"/>
  <c r="J14" i="3" l="1"/>
  <c r="J13" i="3" s="1"/>
  <c r="J12" i="3" s="1"/>
  <c r="J11" i="3" s="1"/>
  <c r="J10" i="3" s="1"/>
  <c r="J9" i="3" s="1"/>
  <c r="J8" i="3" s="1"/>
  <c r="J7" i="3" s="1"/>
  <c r="J6" i="3" s="1"/>
  <c r="J5" i="3" s="1"/>
  <c r="K15" i="3" s="1"/>
  <c r="K16" i="3" s="1"/>
  <c r="K17" i="3" s="1"/>
  <c r="K18" i="3" s="1"/>
  <c r="J1" i="3"/>
  <c r="I15" i="3"/>
  <c r="I16" i="3" s="1"/>
  <c r="I17" i="3" s="1"/>
  <c r="I18" i="3" s="1"/>
  <c r="G15" i="3"/>
  <c r="G16" i="3" s="1"/>
  <c r="G17" i="3" s="1"/>
  <c r="G18" i="3" s="1"/>
  <c r="X18" i="2" l="1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17" i="2"/>
  <c r="O18" i="2"/>
  <c r="O19" i="2"/>
  <c r="O20" i="2"/>
  <c r="O17" i="2"/>
  <c r="Q8" i="2"/>
  <c r="Q9" i="2"/>
  <c r="Q10" i="2"/>
  <c r="Q11" i="2"/>
  <c r="Q12" i="2"/>
  <c r="Q13" i="2"/>
  <c r="Q14" i="2"/>
  <c r="Q15" i="2"/>
  <c r="Q16" i="2"/>
  <c r="Q7" i="2"/>
  <c r="S6" i="2"/>
  <c r="R6" i="2" l="1"/>
  <c r="R7" i="2"/>
  <c r="S7" i="2" s="1"/>
  <c r="R8" i="2" s="1"/>
  <c r="S8" i="2" s="1"/>
  <c r="R9" i="2" l="1"/>
  <c r="S9" i="2" s="1"/>
  <c r="R10" i="2" s="1"/>
  <c r="S10" i="2" s="1"/>
  <c r="R11" i="2" l="1"/>
  <c r="S11" i="2" s="1"/>
  <c r="R12" i="2" l="1"/>
  <c r="S12" i="2" s="1"/>
  <c r="R13" i="2" l="1"/>
  <c r="S13" i="2" s="1"/>
  <c r="R14" i="2" l="1"/>
  <c r="S14" i="2" s="1"/>
  <c r="R15" i="2" l="1"/>
  <c r="S15" i="2" s="1"/>
  <c r="R16" i="2" l="1"/>
  <c r="S16" i="2" s="1"/>
  <c r="T20" i="2" l="1"/>
  <c r="T18" i="2" l="1"/>
  <c r="T17" i="2"/>
  <c r="T19" i="2"/>
  <c r="I8" i="2"/>
  <c r="I9" i="2"/>
  <c r="I10" i="2"/>
  <c r="I11" i="2"/>
  <c r="I12" i="2"/>
  <c r="I13" i="2"/>
  <c r="I14" i="2"/>
  <c r="I15" i="2"/>
  <c r="I16" i="2"/>
  <c r="I7" i="2"/>
  <c r="J6" i="2"/>
  <c r="J7" i="2" l="1"/>
  <c r="J8" i="2" s="1"/>
  <c r="J9" i="2" s="1"/>
  <c r="J10" i="2" s="1"/>
  <c r="J11" i="2" s="1"/>
  <c r="J12" i="2" s="1"/>
  <c r="J13" i="2" s="1"/>
  <c r="J14" i="2" s="1"/>
  <c r="J15" i="2" s="1"/>
  <c r="J16" i="2" s="1"/>
  <c r="K17" i="2" s="1"/>
  <c r="K18" i="2" s="1"/>
  <c r="K19" i="2" s="1"/>
  <c r="K20" i="2" s="1"/>
</calcChain>
</file>

<file path=xl/sharedStrings.xml><?xml version="1.0" encoding="utf-8"?>
<sst xmlns="http://schemas.openxmlformats.org/spreadsheetml/2006/main" count="207" uniqueCount="75">
  <si>
    <t>Simple exponential smoothing (SES)</t>
  </si>
  <si>
    <r>
      <t>Initial Level (l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)</t>
    </r>
  </si>
  <si>
    <r>
      <t>Smoothing parameter (</t>
    </r>
    <r>
      <rPr>
        <sz val="11"/>
        <color theme="1"/>
        <rFont val="Symbol"/>
        <family val="1"/>
        <charset val="2"/>
      </rPr>
      <t xml:space="preserve">a </t>
    </r>
    <r>
      <rPr>
        <sz val="11"/>
        <color theme="1"/>
        <rFont val="Calibri"/>
        <family val="2"/>
        <scheme val="minor"/>
      </rPr>
      <t>between 0,1)</t>
    </r>
  </si>
  <si>
    <t>Time period (t)</t>
  </si>
  <si>
    <r>
      <t>Actual (y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</si>
  <si>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r>
      <t>Level (l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</si>
  <si>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t xml:space="preserve">Forecast </t>
  </si>
  <si>
    <t>Set</t>
  </si>
  <si>
    <t>Year</t>
  </si>
  <si>
    <t>Quarter</t>
  </si>
  <si>
    <t>Time</t>
  </si>
  <si>
    <t>Demand</t>
  </si>
  <si>
    <t>Train</t>
  </si>
  <si>
    <t>Q3</t>
  </si>
  <si>
    <t>Q4</t>
  </si>
  <si>
    <t>Q1</t>
  </si>
  <si>
    <t>Q2</t>
  </si>
  <si>
    <t>Test</t>
  </si>
  <si>
    <t>Holt's linear trend</t>
  </si>
  <si>
    <r>
      <t>Initial l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, b</t>
    </r>
    <r>
      <rPr>
        <vertAlign val="subscript"/>
        <sz val="11"/>
        <color theme="1"/>
        <rFont val="Calibri"/>
        <family val="2"/>
        <scheme val="minor"/>
      </rPr>
      <t>0</t>
    </r>
  </si>
  <si>
    <r>
      <t xml:space="preserve">Smoothing parameters </t>
    </r>
    <r>
      <rPr>
        <sz val="11"/>
        <color theme="1"/>
        <rFont val="Symbol"/>
        <family val="1"/>
        <charset val="2"/>
      </rPr>
      <t>a, b</t>
    </r>
  </si>
  <si>
    <r>
      <t>Trend (b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</si>
  <si>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t>Forecast</t>
  </si>
  <si>
    <t>h</t>
  </si>
  <si>
    <t>Holt's damped trend</t>
  </si>
  <si>
    <r>
      <t xml:space="preserve">Damping parameter </t>
    </r>
    <r>
      <rPr>
        <sz val="11"/>
        <color theme="1"/>
        <rFont val="Symbol"/>
        <family val="1"/>
        <charset val="2"/>
      </rPr>
      <t>f</t>
    </r>
  </si>
  <si>
    <r>
      <rPr>
        <sz val="11"/>
        <color theme="1"/>
        <rFont val="Symbol"/>
        <family val="1"/>
        <charset val="2"/>
      </rPr>
      <t>f</t>
    </r>
    <r>
      <rPr>
        <vertAlign val="superscript"/>
        <sz val="11"/>
        <color theme="1"/>
        <rFont val="Calibri"/>
        <family val="2"/>
        <scheme val="minor"/>
      </rPr>
      <t>h</t>
    </r>
  </si>
  <si>
    <r>
      <rPr>
        <sz val="11"/>
        <color theme="1"/>
        <rFont val="Calibri"/>
        <family val="2"/>
        <scheme val="minor"/>
      </rPr>
      <t xml:space="preserve">CumSum </t>
    </r>
    <r>
      <rPr>
        <sz val="11"/>
        <color theme="1"/>
        <rFont val="Symbol"/>
        <family val="1"/>
        <charset val="2"/>
      </rPr>
      <t>f</t>
    </r>
    <r>
      <rPr>
        <vertAlign val="superscript"/>
        <sz val="11"/>
        <color theme="1"/>
        <rFont val="Calibri"/>
        <family val="2"/>
        <scheme val="minor"/>
      </rPr>
      <t>h</t>
    </r>
  </si>
  <si>
    <t>period</t>
  </si>
  <si>
    <t>Wgt.Naive</t>
  </si>
  <si>
    <t>Naïve</t>
  </si>
  <si>
    <t>Wgt.Avg</t>
  </si>
  <si>
    <t>Avg</t>
  </si>
  <si>
    <t>Wgt.SES</t>
  </si>
  <si>
    <t>SES</t>
  </si>
  <si>
    <t>alpha</t>
  </si>
  <si>
    <t>1-alpha</t>
  </si>
  <si>
    <t>Mean</t>
  </si>
  <si>
    <t>Holt</t>
  </si>
  <si>
    <t>Holt-Winters</t>
  </si>
  <si>
    <t>ETS(A,N,N)</t>
  </si>
  <si>
    <t>k</t>
  </si>
  <si>
    <t>t</t>
  </si>
  <si>
    <t>Qtr</t>
  </si>
  <si>
    <t>Observation</t>
  </si>
  <si>
    <t>Initial Level</t>
  </si>
  <si>
    <t>Smoothing parameter</t>
  </si>
  <si>
    <t>a</t>
  </si>
  <si>
    <t>SSE</t>
  </si>
  <si>
    <t>Likelihood</t>
  </si>
  <si>
    <t>Level</t>
  </si>
  <si>
    <t xml:space="preserve">Fitted </t>
  </si>
  <si>
    <t>Residual</t>
  </si>
  <si>
    <t>Log likelihood</t>
  </si>
  <si>
    <t>FC</t>
  </si>
  <si>
    <t>T</t>
  </si>
  <si>
    <t>Residual sum of of squares (RSS) or SEE</t>
  </si>
  <si>
    <r>
      <rPr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Calibri"/>
        <family val="2"/>
        <scheme val="minor"/>
      </rPr>
      <t>2</t>
    </r>
  </si>
  <si>
    <t>s</t>
  </si>
  <si>
    <t>log(likelihood)</t>
  </si>
  <si>
    <t>AIC = -2*log(likeihood) + 2*k/T</t>
  </si>
  <si>
    <t>Prediction interval</t>
  </si>
  <si>
    <t>Quantile score</t>
  </si>
  <si>
    <t>Multiplier, z</t>
  </si>
  <si>
    <t>Quantile</t>
  </si>
  <si>
    <t>point FC</t>
  </si>
  <si>
    <t>FC variance</t>
  </si>
  <si>
    <t>FC stdev</t>
  </si>
  <si>
    <t>z*std</t>
  </si>
  <si>
    <t>LB</t>
  </si>
  <si>
    <t>UB</t>
  </si>
  <si>
    <t>Actual</t>
  </si>
  <si>
    <t>Quantile FC</t>
  </si>
  <si>
    <t>ETS(M,N,N)</t>
  </si>
  <si>
    <t>Innovation 
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</si>
</sst>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"/>
    <numFmt numFmtId="165" formatCode="_(* #,##0.000_);_(* \(#,##0.000\);_(* &quot;-&quot;??_);_(@_)"/>
    <numFmt numFmtId="166" formatCode="_(* #,##0.0000_);_(* \(#,##0.0000\);_(* &quot;-&quot;??_);_(@_)"/>
    <numFmt numFmtId="167" formatCode="0.0"/>
    <numFmt numFmtId="168" formatCode="0.000000"/>
    <numFmt numFmtId="169" formatCode="0.0000000"/>
    <numFmt numFmtId="170" formatCode="0.000E+00"/>
    <numFmt numFmtId="171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charset val="2"/>
      <scheme val="minor"/>
    </font>
    <font>
      <sz val="10"/>
      <color rgb="FF000000"/>
      <name val="Lucida Console"/>
      <family val="3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3" borderId="3" applyNumberFormat="0" applyAlignment="0" applyProtection="0"/>
    <xf numFmtId="0" fontId="5" fillId="3" borderId="2" applyNumberFormat="0" applyAlignment="0" applyProtection="0"/>
  </cellStyleXfs>
  <cellXfs count="34">
    <xf numFmtId="0" fontId="0" fillId="0" borderId="0" xfId="0"/>
    <xf numFmtId="0" fontId="2" fillId="0" borderId="1" xfId="2"/>
    <xf numFmtId="0" fontId="0" fillId="0" borderId="0" xfId="0" applyAlignment="1">
      <alignment horizontal="center"/>
    </xf>
    <xf numFmtId="2" fontId="0" fillId="0" borderId="0" xfId="0" applyNumberFormat="1"/>
    <xf numFmtId="0" fontId="3" fillId="2" borderId="2" xfId="3" applyAlignment="1">
      <alignment vertical="center"/>
    </xf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0" fontId="5" fillId="3" borderId="2" xfId="5"/>
    <xf numFmtId="0" fontId="0" fillId="4" borderId="0" xfId="0" applyFill="1"/>
    <xf numFmtId="165" fontId="4" fillId="3" borderId="3" xfId="4" applyNumberFormat="1"/>
    <xf numFmtId="0" fontId="8" fillId="0" borderId="0" xfId="0" applyFont="1"/>
    <xf numFmtId="0" fontId="10" fillId="0" borderId="0" xfId="0" applyFont="1"/>
    <xf numFmtId="43" fontId="0" fillId="0" borderId="0" xfId="0" applyNumberFormat="1"/>
    <xf numFmtId="166" fontId="0" fillId="0" borderId="0" xfId="1" applyNumberFormat="1" applyFont="1"/>
    <xf numFmtId="167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2" applyBorder="1" applyAlignment="1">
      <alignment horizontal="center"/>
    </xf>
    <xf numFmtId="169" fontId="11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169" fontId="11" fillId="0" borderId="0" xfId="1" applyNumberFormat="1" applyFont="1" applyAlignment="1">
      <alignment vertical="center"/>
    </xf>
    <xf numFmtId="0" fontId="7" fillId="0" borderId="0" xfId="0" applyFont="1" applyAlignment="1">
      <alignment horizontal="right"/>
    </xf>
    <xf numFmtId="43" fontId="0" fillId="0" borderId="0" xfId="1" applyFont="1" applyAlignment="1">
      <alignment horizontal="right"/>
    </xf>
    <xf numFmtId="170" fontId="0" fillId="0" borderId="0" xfId="0" applyNumberFormat="1"/>
    <xf numFmtId="43" fontId="0" fillId="5" borderId="0" xfId="1" applyFont="1" applyFill="1" applyAlignment="1">
      <alignment horizontal="right"/>
    </xf>
    <xf numFmtId="170" fontId="0" fillId="5" borderId="0" xfId="0" applyNumberFormat="1" applyFill="1"/>
    <xf numFmtId="0" fontId="7" fillId="0" borderId="0" xfId="0" applyFont="1" applyAlignment="1">
      <alignment horizontal="left"/>
    </xf>
    <xf numFmtId="43" fontId="0" fillId="0" borderId="0" xfId="1" applyFont="1"/>
    <xf numFmtId="171" fontId="0" fillId="0" borderId="0" xfId="1" applyNumberFormat="1" applyFont="1"/>
    <xf numFmtId="0" fontId="11" fillId="0" borderId="0" xfId="0" applyFont="1" applyAlignment="1">
      <alignment vertical="center"/>
    </xf>
    <xf numFmtId="0" fontId="0" fillId="0" borderId="0" xfId="0" applyAlignment="1">
      <alignment wrapText="1"/>
    </xf>
  </cellXfs>
  <cellStyles count="6">
    <cellStyle name="Calculation" xfId="5" builtinId="22"/>
    <cellStyle name="Comma" xfId="1" builtinId="3"/>
    <cellStyle name="Heading 1" xfId="2" builtinId="16"/>
    <cellStyle name="Input" xfId="3" builtinId="20"/>
    <cellStyle name="Normal" xfId="0" builtinId="0"/>
    <cellStyle name="Output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36</xdr:row>
      <xdr:rowOff>0</xdr:rowOff>
    </xdr:from>
    <xdr:to>
      <xdr:col>30</xdr:col>
      <xdr:colOff>694399</xdr:colOff>
      <xdr:row>43</xdr:row>
      <xdr:rowOff>94021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2AEEF-E065-450A-8869-E23C0CFF5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35175" y="7010400"/>
          <a:ext cx="4548215" cy="1370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922866</xdr:colOff>
      <xdr:row>27</xdr:row>
      <xdr:rowOff>143934</xdr:rowOff>
    </xdr:from>
    <xdr:to>
      <xdr:col>10</xdr:col>
      <xdr:colOff>620334</xdr:colOff>
      <xdr:row>30</xdr:row>
      <xdr:rowOff>39221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5E316-7F20-4C6E-BB0D-F7BE8168B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9316" y="5122334"/>
          <a:ext cx="4405993" cy="438212"/>
        </a:xfrm>
        <a:prstGeom prst="rect">
          <a:avLst/>
        </a:prstGeom>
      </xdr:spPr>
    </xdr:pic>
    <xdr:clientData/>
  </xdr:twoCellAnchor>
  <xdr:twoCellAnchor editAs="oneCell">
    <xdr:from>
      <xdr:col>19</xdr:col>
      <xdr:colOff>370416</xdr:colOff>
      <xdr:row>0</xdr:row>
      <xdr:rowOff>1</xdr:rowOff>
    </xdr:from>
    <xdr:to>
      <xdr:col>24</xdr:col>
      <xdr:colOff>361949</xdr:colOff>
      <xdr:row>25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33E23A-A7CE-4D05-832D-2E8A1CB15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46766" y="1"/>
          <a:ext cx="4331758" cy="454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B644-23E0-45E1-9E4B-9F48416E0836}">
  <dimension ref="A1:J15"/>
  <sheetViews>
    <sheetView workbookViewId="0">
      <selection activeCell="S6" sqref="S6"/>
    </sheetView>
  </sheetViews>
  <sheetFormatPr defaultRowHeight="14.5"/>
  <sheetData>
    <row r="1" spans="1:10">
      <c r="A1" t="s">
        <v>10</v>
      </c>
      <c r="B1" t="s">
        <v>7</v>
      </c>
      <c r="C1" t="s">
        <v>8</v>
      </c>
      <c r="D1" t="s">
        <v>9</v>
      </c>
      <c r="E1" t="s">
        <v>11</v>
      </c>
      <c r="F1" t="s">
        <v>30</v>
      </c>
      <c r="G1" t="s">
        <v>37</v>
      </c>
      <c r="H1" t="s">
        <v>34</v>
      </c>
      <c r="I1" t="s">
        <v>38</v>
      </c>
      <c r="J1" t="s">
        <v>39</v>
      </c>
    </row>
    <row r="2" spans="1:10">
      <c r="A2">
        <v>1</v>
      </c>
      <c r="B2" t="s">
        <v>12</v>
      </c>
      <c r="C2">
        <v>2010</v>
      </c>
      <c r="D2" t="s">
        <v>13</v>
      </c>
      <c r="E2">
        <v>1212</v>
      </c>
    </row>
    <row r="3" spans="1:10">
      <c r="A3">
        <v>2</v>
      </c>
      <c r="B3" t="s">
        <v>12</v>
      </c>
      <c r="C3">
        <v>2010</v>
      </c>
      <c r="D3" t="s">
        <v>14</v>
      </c>
      <c r="E3">
        <v>1321</v>
      </c>
    </row>
    <row r="4" spans="1:10">
      <c r="A4">
        <v>3</v>
      </c>
      <c r="B4" t="s">
        <v>12</v>
      </c>
      <c r="C4">
        <v>2011</v>
      </c>
      <c r="D4" t="s">
        <v>15</v>
      </c>
      <c r="E4">
        <v>1278</v>
      </c>
    </row>
    <row r="5" spans="1:10">
      <c r="A5">
        <v>4</v>
      </c>
      <c r="B5" t="s">
        <v>12</v>
      </c>
      <c r="C5">
        <v>2011</v>
      </c>
      <c r="D5" t="s">
        <v>16</v>
      </c>
      <c r="E5">
        <v>1341</v>
      </c>
    </row>
    <row r="6" spans="1:10">
      <c r="A6">
        <v>5</v>
      </c>
      <c r="B6" t="s">
        <v>12</v>
      </c>
      <c r="C6">
        <v>2011</v>
      </c>
      <c r="D6" t="s">
        <v>13</v>
      </c>
      <c r="E6">
        <v>1257</v>
      </c>
    </row>
    <row r="7" spans="1:10">
      <c r="A7">
        <v>6</v>
      </c>
      <c r="B7" t="s">
        <v>12</v>
      </c>
      <c r="C7">
        <v>2011</v>
      </c>
      <c r="D7" t="s">
        <v>14</v>
      </c>
      <c r="E7">
        <v>1341</v>
      </c>
    </row>
    <row r="8" spans="1:10">
      <c r="A8">
        <v>7</v>
      </c>
      <c r="B8" t="s">
        <v>12</v>
      </c>
      <c r="C8">
        <v>2012</v>
      </c>
      <c r="D8" t="s">
        <v>15</v>
      </c>
      <c r="E8">
        <v>1257</v>
      </c>
    </row>
    <row r="9" spans="1:10">
      <c r="A9">
        <v>8</v>
      </c>
      <c r="B9" t="s">
        <v>12</v>
      </c>
      <c r="C9">
        <v>2012</v>
      </c>
      <c r="D9" t="s">
        <v>16</v>
      </c>
      <c r="E9">
        <v>1287</v>
      </c>
    </row>
    <row r="10" spans="1:10">
      <c r="A10">
        <v>9</v>
      </c>
      <c r="B10" t="s">
        <v>12</v>
      </c>
      <c r="C10">
        <v>2012</v>
      </c>
      <c r="D10" t="s">
        <v>13</v>
      </c>
      <c r="E10">
        <v>1189</v>
      </c>
    </row>
    <row r="11" spans="1:10">
      <c r="A11">
        <v>10</v>
      </c>
      <c r="B11" t="s">
        <v>12</v>
      </c>
      <c r="C11">
        <v>2012</v>
      </c>
      <c r="D11" t="s">
        <v>14</v>
      </c>
      <c r="E11">
        <v>1111</v>
      </c>
    </row>
    <row r="12" spans="1:10">
      <c r="A12">
        <v>11</v>
      </c>
      <c r="B12" t="s">
        <v>17</v>
      </c>
      <c r="C12">
        <v>2013</v>
      </c>
      <c r="D12" t="s">
        <v>15</v>
      </c>
      <c r="E12">
        <v>1145</v>
      </c>
      <c r="F12">
        <f>E11</f>
        <v>1111</v>
      </c>
      <c r="G12">
        <f>AVERAGE(E2:E11)</f>
        <v>1259.4000000000001</v>
      </c>
      <c r="I12" s="15"/>
    </row>
    <row r="13" spans="1:10">
      <c r="A13">
        <v>12</v>
      </c>
      <c r="B13" t="s">
        <v>17</v>
      </c>
      <c r="C13">
        <v>2013</v>
      </c>
      <c r="D13" t="s">
        <v>16</v>
      </c>
      <c r="E13">
        <v>1150</v>
      </c>
      <c r="F13">
        <f>F12</f>
        <v>1111</v>
      </c>
      <c r="G13">
        <f>G12</f>
        <v>1259.4000000000001</v>
      </c>
      <c r="I13" s="16"/>
    </row>
    <row r="14" spans="1:10">
      <c r="A14">
        <v>13</v>
      </c>
      <c r="B14" t="s">
        <v>17</v>
      </c>
      <c r="C14">
        <v>2013</v>
      </c>
      <c r="D14" t="s">
        <v>13</v>
      </c>
      <c r="E14">
        <v>1298</v>
      </c>
      <c r="F14">
        <f t="shared" ref="F14:F15" si="0">F13</f>
        <v>1111</v>
      </c>
      <c r="G14">
        <f t="shared" ref="G14:G15" si="1">G13</f>
        <v>1259.4000000000001</v>
      </c>
      <c r="I14" s="16"/>
    </row>
    <row r="15" spans="1:10">
      <c r="A15">
        <v>14</v>
      </c>
      <c r="B15" t="s">
        <v>17</v>
      </c>
      <c r="C15">
        <v>2013</v>
      </c>
      <c r="D15" t="s">
        <v>14</v>
      </c>
      <c r="E15">
        <v>1331</v>
      </c>
      <c r="F15">
        <f t="shared" si="0"/>
        <v>1111</v>
      </c>
      <c r="G15">
        <f t="shared" si="1"/>
        <v>1259.4000000000001</v>
      </c>
      <c r="I15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FA5F-6971-4DDF-B6D2-F1142C765A0B}">
  <dimension ref="A1:K18"/>
  <sheetViews>
    <sheetView zoomScale="130" zoomScaleNormal="130" workbookViewId="0">
      <selection activeCell="E27" sqref="E27"/>
    </sheetView>
  </sheetViews>
  <sheetFormatPr defaultRowHeight="14.5"/>
  <cols>
    <col min="6" max="6" width="9.54296875" bestFit="1" customWidth="1"/>
    <col min="11" max="11" width="9.08984375" bestFit="1" customWidth="1"/>
  </cols>
  <sheetData>
    <row r="1" spans="1:11">
      <c r="I1" t="s">
        <v>36</v>
      </c>
      <c r="J1">
        <f>1-J2</f>
        <v>0.8</v>
      </c>
    </row>
    <row r="2" spans="1:11">
      <c r="I2" t="s">
        <v>35</v>
      </c>
      <c r="J2">
        <v>0.2</v>
      </c>
    </row>
    <row r="3" spans="1:11">
      <c r="A3" t="s">
        <v>10</v>
      </c>
      <c r="B3" t="s">
        <v>7</v>
      </c>
      <c r="C3" t="s">
        <v>8</v>
      </c>
      <c r="D3" t="s">
        <v>9</v>
      </c>
      <c r="E3" t="s">
        <v>11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</row>
    <row r="4" spans="1:11">
      <c r="A4" t="s">
        <v>28</v>
      </c>
    </row>
    <row r="5" spans="1:11">
      <c r="A5">
        <v>1</v>
      </c>
      <c r="B5" t="s">
        <v>12</v>
      </c>
      <c r="C5">
        <v>2010</v>
      </c>
      <c r="D5" t="s">
        <v>13</v>
      </c>
      <c r="E5">
        <v>1212</v>
      </c>
      <c r="F5">
        <v>0</v>
      </c>
      <c r="H5">
        <v>0.1</v>
      </c>
      <c r="J5">
        <f t="shared" ref="J5:J12" si="0">J6*$J$1</f>
        <v>2.6843545600000015E-2</v>
      </c>
    </row>
    <row r="6" spans="1:11">
      <c r="A6">
        <v>2</v>
      </c>
      <c r="B6" t="s">
        <v>12</v>
      </c>
      <c r="C6">
        <v>2010</v>
      </c>
      <c r="D6" t="s">
        <v>14</v>
      </c>
      <c r="E6">
        <v>1321</v>
      </c>
      <c r="F6">
        <v>0</v>
      </c>
      <c r="H6">
        <v>0.1</v>
      </c>
      <c r="J6">
        <f t="shared" si="0"/>
        <v>3.3554432000000016E-2</v>
      </c>
    </row>
    <row r="7" spans="1:11">
      <c r="A7">
        <v>3</v>
      </c>
      <c r="B7" t="s">
        <v>12</v>
      </c>
      <c r="C7">
        <v>2011</v>
      </c>
      <c r="D7" t="s">
        <v>15</v>
      </c>
      <c r="E7">
        <v>1278</v>
      </c>
      <c r="F7">
        <v>0</v>
      </c>
      <c r="H7">
        <v>0.1</v>
      </c>
      <c r="J7">
        <f t="shared" si="0"/>
        <v>4.1943040000000022E-2</v>
      </c>
    </row>
    <row r="8" spans="1:11">
      <c r="A8">
        <v>4</v>
      </c>
      <c r="B8" t="s">
        <v>12</v>
      </c>
      <c r="C8">
        <v>2011</v>
      </c>
      <c r="D8" t="s">
        <v>16</v>
      </c>
      <c r="E8">
        <v>1341</v>
      </c>
      <c r="F8">
        <v>0</v>
      </c>
      <c r="H8">
        <v>0.1</v>
      </c>
      <c r="J8">
        <f t="shared" si="0"/>
        <v>5.2428800000000025E-2</v>
      </c>
    </row>
    <row r="9" spans="1:11">
      <c r="A9">
        <v>5</v>
      </c>
      <c r="B9" t="s">
        <v>12</v>
      </c>
      <c r="C9">
        <v>2011</v>
      </c>
      <c r="D9" t="s">
        <v>13</v>
      </c>
      <c r="E9">
        <v>1257</v>
      </c>
      <c r="F9">
        <v>0</v>
      </c>
      <c r="H9">
        <v>0.1</v>
      </c>
      <c r="J9">
        <f t="shared" si="0"/>
        <v>6.5536000000000025E-2</v>
      </c>
    </row>
    <row r="10" spans="1:11">
      <c r="A10">
        <v>6</v>
      </c>
      <c r="B10" t="s">
        <v>12</v>
      </c>
      <c r="C10">
        <v>2011</v>
      </c>
      <c r="D10" t="s">
        <v>14</v>
      </c>
      <c r="E10">
        <v>1341</v>
      </c>
      <c r="F10">
        <v>0</v>
      </c>
      <c r="H10">
        <v>0.1</v>
      </c>
      <c r="J10">
        <f t="shared" si="0"/>
        <v>8.1920000000000034E-2</v>
      </c>
    </row>
    <row r="11" spans="1:11">
      <c r="A11">
        <v>7</v>
      </c>
      <c r="B11" t="s">
        <v>12</v>
      </c>
      <c r="C11">
        <v>2012</v>
      </c>
      <c r="D11" t="s">
        <v>15</v>
      </c>
      <c r="E11">
        <v>1257</v>
      </c>
      <c r="F11">
        <v>0</v>
      </c>
      <c r="H11">
        <v>0.1</v>
      </c>
      <c r="J11">
        <f t="shared" si="0"/>
        <v>0.10240000000000003</v>
      </c>
    </row>
    <row r="12" spans="1:11">
      <c r="A12">
        <v>8</v>
      </c>
      <c r="B12" t="s">
        <v>12</v>
      </c>
      <c r="C12">
        <v>2012</v>
      </c>
      <c r="D12" t="s">
        <v>16</v>
      </c>
      <c r="E12">
        <v>1287</v>
      </c>
      <c r="F12">
        <v>0</v>
      </c>
      <c r="H12">
        <v>0.1</v>
      </c>
      <c r="J12">
        <f t="shared" si="0"/>
        <v>0.12800000000000003</v>
      </c>
    </row>
    <row r="13" spans="1:11">
      <c r="A13">
        <v>9</v>
      </c>
      <c r="B13" t="s">
        <v>12</v>
      </c>
      <c r="C13">
        <v>2012</v>
      </c>
      <c r="D13" t="s">
        <v>13</v>
      </c>
      <c r="E13">
        <v>1189</v>
      </c>
      <c r="F13">
        <v>0</v>
      </c>
      <c r="H13">
        <v>0.1</v>
      </c>
      <c r="J13">
        <f>J14*$J$1</f>
        <v>0.16000000000000003</v>
      </c>
    </row>
    <row r="14" spans="1:11">
      <c r="A14">
        <v>10</v>
      </c>
      <c r="B14" t="s">
        <v>12</v>
      </c>
      <c r="C14">
        <v>2012</v>
      </c>
      <c r="D14" t="s">
        <v>14</v>
      </c>
      <c r="E14">
        <v>1111</v>
      </c>
      <c r="F14">
        <v>1</v>
      </c>
      <c r="H14">
        <v>0.1</v>
      </c>
      <c r="J14">
        <f>J2</f>
        <v>0.2</v>
      </c>
    </row>
    <row r="15" spans="1:11">
      <c r="A15">
        <v>11</v>
      </c>
      <c r="B15" t="s">
        <v>17</v>
      </c>
      <c r="C15">
        <v>2013</v>
      </c>
      <c r="D15" t="s">
        <v>15</v>
      </c>
      <c r="E15">
        <v>1145</v>
      </c>
      <c r="G15">
        <f>SUMPRODUCT(F5:F14,$E$5:$E$14)</f>
        <v>1111</v>
      </c>
      <c r="I15">
        <f>SUMPRODUCT(H5:H14,$E$5:$E$14)</f>
        <v>1259.4000000000001</v>
      </c>
      <c r="K15" s="15">
        <f>SUMPRODUCT(J5:J14,$E$5:$E$14)</f>
        <v>1098.8962798592004</v>
      </c>
    </row>
    <row r="16" spans="1:11">
      <c r="A16">
        <v>12</v>
      </c>
      <c r="B16" t="s">
        <v>17</v>
      </c>
      <c r="C16">
        <v>2013</v>
      </c>
      <c r="D16" t="s">
        <v>16</v>
      </c>
      <c r="E16">
        <v>1150</v>
      </c>
      <c r="G16">
        <f>G15</f>
        <v>1111</v>
      </c>
      <c r="I16">
        <f>I15</f>
        <v>1259.4000000000001</v>
      </c>
      <c r="K16" s="16">
        <f>K15</f>
        <v>1098.8962798592004</v>
      </c>
    </row>
    <row r="17" spans="1:11">
      <c r="A17">
        <v>13</v>
      </c>
      <c r="B17" t="s">
        <v>17</v>
      </c>
      <c r="C17">
        <v>2013</v>
      </c>
      <c r="D17" t="s">
        <v>13</v>
      </c>
      <c r="E17">
        <v>1298</v>
      </c>
      <c r="G17">
        <f t="shared" ref="G17:G18" si="1">G16</f>
        <v>1111</v>
      </c>
      <c r="I17">
        <f t="shared" ref="I17:I18" si="2">I16</f>
        <v>1259.4000000000001</v>
      </c>
      <c r="K17" s="16">
        <f t="shared" ref="K17:K18" si="3">K16</f>
        <v>1098.8962798592004</v>
      </c>
    </row>
    <row r="18" spans="1:11">
      <c r="A18">
        <v>14</v>
      </c>
      <c r="B18" t="s">
        <v>17</v>
      </c>
      <c r="C18">
        <v>2013</v>
      </c>
      <c r="D18" t="s">
        <v>14</v>
      </c>
      <c r="E18">
        <v>1331</v>
      </c>
      <c r="G18">
        <f t="shared" si="1"/>
        <v>1111</v>
      </c>
      <c r="I18">
        <f t="shared" si="2"/>
        <v>1259.4000000000001</v>
      </c>
      <c r="K18" s="16">
        <f t="shared" si="3"/>
        <v>1098.8962798592004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45DC-1FBC-451A-A178-B0C1F7E9A464}">
  <dimension ref="A1:AE33"/>
  <sheetViews>
    <sheetView topLeftCell="J1" zoomScale="80" zoomScaleNormal="80" workbookViewId="0">
      <selection activeCell="L5" sqref="L5"/>
    </sheetView>
  </sheetViews>
  <sheetFormatPr defaultRowHeight="14.5"/>
  <cols>
    <col min="2" max="2" width="6.08984375" bestFit="1" customWidth="1"/>
    <col min="9" max="9" width="12.08984375" customWidth="1"/>
    <col min="10" max="10" width="11.90625" bestFit="1" customWidth="1"/>
    <col min="17" max="17" width="9.54296875" bestFit="1" customWidth="1"/>
    <col min="20" max="20" width="14" bestFit="1" customWidth="1"/>
    <col min="26" max="26" width="9.54296875" bestFit="1" customWidth="1"/>
    <col min="28" max="28" width="10.1796875" bestFit="1" customWidth="1"/>
    <col min="29" max="29" width="9.90625" bestFit="1" customWidth="1"/>
    <col min="31" max="31" width="11.1796875" bestFit="1" customWidth="1"/>
  </cols>
  <sheetData>
    <row r="1" spans="1:31" ht="20" thickBot="1">
      <c r="Y1" s="1" t="s">
        <v>24</v>
      </c>
    </row>
    <row r="2" spans="1:31" ht="20.5" thickTop="1" thickBot="1">
      <c r="H2" s="1" t="s">
        <v>0</v>
      </c>
      <c r="P2" s="1" t="s">
        <v>18</v>
      </c>
      <c r="Y2" t="s">
        <v>25</v>
      </c>
      <c r="AB2" s="9">
        <v>0.9</v>
      </c>
    </row>
    <row r="3" spans="1:31" ht="36.65" customHeight="1" thickTop="1">
      <c r="H3" s="18" t="s">
        <v>1</v>
      </c>
      <c r="I3" s="18"/>
      <c r="J3" s="4">
        <v>1249.287</v>
      </c>
      <c r="P3" t="s">
        <v>19</v>
      </c>
      <c r="R3" s="8">
        <v>1324.771</v>
      </c>
      <c r="S3" s="8">
        <v>-11.7524</v>
      </c>
      <c r="Y3" t="s">
        <v>19</v>
      </c>
      <c r="AA3" s="8">
        <v>1324.771</v>
      </c>
      <c r="AB3" s="8">
        <v>-11.7524</v>
      </c>
    </row>
    <row r="4" spans="1:31" ht="35.4" customHeight="1">
      <c r="H4" s="19" t="s">
        <v>2</v>
      </c>
      <c r="I4" s="19"/>
      <c r="J4" s="4">
        <v>0.8</v>
      </c>
      <c r="P4" t="s">
        <v>20</v>
      </c>
      <c r="R4" s="9">
        <v>1E-4</v>
      </c>
      <c r="S4" s="9">
        <v>1E-4</v>
      </c>
      <c r="Y4" t="s">
        <v>20</v>
      </c>
      <c r="AA4" s="9">
        <v>1E-4</v>
      </c>
      <c r="AB4" s="9">
        <v>1E-4</v>
      </c>
    </row>
    <row r="5" spans="1:31" ht="17.5">
      <c r="H5" s="2" t="s">
        <v>10</v>
      </c>
      <c r="I5" s="5" t="s">
        <v>4</v>
      </c>
      <c r="J5" t="s">
        <v>5</v>
      </c>
      <c r="K5" t="s">
        <v>6</v>
      </c>
      <c r="P5" s="2" t="s">
        <v>3</v>
      </c>
      <c r="Q5" t="s">
        <v>4</v>
      </c>
      <c r="R5" t="s">
        <v>5</v>
      </c>
      <c r="S5" t="s">
        <v>21</v>
      </c>
      <c r="T5" t="s">
        <v>22</v>
      </c>
      <c r="Y5" s="2" t="s">
        <v>3</v>
      </c>
      <c r="Z5" t="s">
        <v>4</v>
      </c>
      <c r="AA5" t="s">
        <v>5</v>
      </c>
      <c r="AB5" t="s">
        <v>21</v>
      </c>
      <c r="AC5" t="s">
        <v>22</v>
      </c>
      <c r="AD5" s="11" t="s">
        <v>26</v>
      </c>
      <c r="AE5" s="12" t="s">
        <v>27</v>
      </c>
    </row>
    <row r="6" spans="1:31">
      <c r="A6" t="s">
        <v>7</v>
      </c>
      <c r="B6" t="s">
        <v>8</v>
      </c>
      <c r="C6" t="s">
        <v>9</v>
      </c>
      <c r="D6" t="s">
        <v>10</v>
      </c>
      <c r="E6" t="s">
        <v>11</v>
      </c>
      <c r="H6">
        <v>0</v>
      </c>
      <c r="J6" s="7">
        <f>J3</f>
        <v>1249.287</v>
      </c>
      <c r="P6">
        <v>0</v>
      </c>
      <c r="R6">
        <f>R3</f>
        <v>1324.771</v>
      </c>
      <c r="S6">
        <f>S3</f>
        <v>-11.7524</v>
      </c>
      <c r="Y6">
        <v>0</v>
      </c>
      <c r="AA6">
        <f>AA3</f>
        <v>1324.771</v>
      </c>
      <c r="AB6" s="17">
        <f>AB3</f>
        <v>-11.7524</v>
      </c>
    </row>
    <row r="7" spans="1:31">
      <c r="A7" t="s">
        <v>12</v>
      </c>
      <c r="B7">
        <v>2010</v>
      </c>
      <c r="C7" t="s">
        <v>13</v>
      </c>
      <c r="D7">
        <v>1</v>
      </c>
      <c r="E7">
        <v>1212</v>
      </c>
      <c r="H7">
        <v>1</v>
      </c>
      <c r="I7">
        <f>E7</f>
        <v>1212</v>
      </c>
      <c r="J7" s="7">
        <f>$J$4*I7+(1-$J$4)*J6</f>
        <v>1219.4574</v>
      </c>
      <c r="K7" s="3"/>
      <c r="P7">
        <v>1</v>
      </c>
      <c r="Q7">
        <f>E7</f>
        <v>1212</v>
      </c>
      <c r="R7">
        <f>$R$4*Q7+(1-$R$4)*(R6+S6)</f>
        <v>1313.00849814</v>
      </c>
      <c r="S7">
        <f>$S$4*(R7-R6)+(1-$S$4)*S6</f>
        <v>-11.752401010186</v>
      </c>
      <c r="Y7">
        <v>1</v>
      </c>
      <c r="Z7">
        <f>E7</f>
        <v>1212</v>
      </c>
      <c r="AB7" s="17"/>
    </row>
    <row r="8" spans="1:31">
      <c r="A8" t="s">
        <v>12</v>
      </c>
      <c r="B8">
        <v>2010</v>
      </c>
      <c r="C8" t="s">
        <v>14</v>
      </c>
      <c r="D8">
        <v>2</v>
      </c>
      <c r="E8">
        <v>1321</v>
      </c>
      <c r="H8">
        <v>2</v>
      </c>
      <c r="I8">
        <f t="shared" ref="I8:I16" si="0">E8</f>
        <v>1321</v>
      </c>
      <c r="J8" s="7">
        <f t="shared" ref="J8:J16" si="1">$J$4*I8+(1-$J$4)*J7</f>
        <v>1300.69148</v>
      </c>
      <c r="K8" s="3"/>
      <c r="P8">
        <v>2</v>
      </c>
      <c r="Q8">
        <f t="shared" ref="Q8:Q16" si="2">E8</f>
        <v>1321</v>
      </c>
      <c r="R8">
        <f t="shared" ref="R8:R16" si="3">$R$4*Q8+(1-$R$4)*(R7+S7)</f>
        <v>1301.2580715201011</v>
      </c>
      <c r="S8">
        <f t="shared" ref="S8:S16" si="4">$S$4*(R8-R7)+(1-$S$4)*S7</f>
        <v>-11.752400812746972</v>
      </c>
      <c r="Y8">
        <v>2</v>
      </c>
      <c r="Z8">
        <f t="shared" ref="Z8:Z16" si="5">E8</f>
        <v>1321</v>
      </c>
      <c r="AB8" s="17"/>
    </row>
    <row r="9" spans="1:31">
      <c r="A9" t="s">
        <v>12</v>
      </c>
      <c r="B9">
        <v>2011</v>
      </c>
      <c r="C9" t="s">
        <v>15</v>
      </c>
      <c r="D9">
        <v>3</v>
      </c>
      <c r="E9">
        <v>1278</v>
      </c>
      <c r="H9">
        <v>3</v>
      </c>
      <c r="I9">
        <f t="shared" si="0"/>
        <v>1278</v>
      </c>
      <c r="J9" s="7">
        <f t="shared" si="1"/>
        <v>1282.5382959999999</v>
      </c>
      <c r="K9" s="3"/>
      <c r="P9">
        <v>3</v>
      </c>
      <c r="Q9">
        <f t="shared" si="2"/>
        <v>1278</v>
      </c>
      <c r="R9">
        <f t="shared" si="3"/>
        <v>1289.5045201402834</v>
      </c>
      <c r="S9">
        <f t="shared" si="4"/>
        <v>-11.752400927803679</v>
      </c>
      <c r="Y9">
        <v>3</v>
      </c>
      <c r="Z9">
        <f t="shared" si="5"/>
        <v>1278</v>
      </c>
      <c r="AB9" s="17"/>
    </row>
    <row r="10" spans="1:31">
      <c r="A10" t="s">
        <v>12</v>
      </c>
      <c r="B10">
        <v>2011</v>
      </c>
      <c r="C10" t="s">
        <v>16</v>
      </c>
      <c r="D10">
        <v>4</v>
      </c>
      <c r="E10">
        <v>1341</v>
      </c>
      <c r="H10">
        <v>4</v>
      </c>
      <c r="I10">
        <f t="shared" si="0"/>
        <v>1341</v>
      </c>
      <c r="J10" s="7">
        <f t="shared" si="1"/>
        <v>1329.3076591999998</v>
      </c>
      <c r="K10" s="3"/>
      <c r="P10">
        <v>4</v>
      </c>
      <c r="Q10">
        <f t="shared" si="2"/>
        <v>1341</v>
      </c>
      <c r="R10">
        <f t="shared" si="3"/>
        <v>1277.7584440005585</v>
      </c>
      <c r="S10">
        <f t="shared" si="4"/>
        <v>-11.752400295324872</v>
      </c>
      <c r="Y10">
        <v>4</v>
      </c>
      <c r="Z10">
        <f t="shared" si="5"/>
        <v>1341</v>
      </c>
      <c r="AB10" s="17"/>
    </row>
    <row r="11" spans="1:31">
      <c r="A11" t="s">
        <v>12</v>
      </c>
      <c r="B11">
        <v>2011</v>
      </c>
      <c r="C11" t="s">
        <v>13</v>
      </c>
      <c r="D11">
        <v>5</v>
      </c>
      <c r="E11">
        <v>1257</v>
      </c>
      <c r="H11">
        <v>5</v>
      </c>
      <c r="I11">
        <f t="shared" si="0"/>
        <v>1257</v>
      </c>
      <c r="J11" s="7">
        <f t="shared" si="1"/>
        <v>1271.4615318399999</v>
      </c>
      <c r="K11" s="3"/>
      <c r="P11">
        <v>5</v>
      </c>
      <c r="Q11">
        <f t="shared" si="2"/>
        <v>1257</v>
      </c>
      <c r="R11">
        <f t="shared" si="3"/>
        <v>1266.0051431008633</v>
      </c>
      <c r="S11">
        <f t="shared" si="4"/>
        <v>-11.752400385385309</v>
      </c>
      <c r="Y11">
        <v>5</v>
      </c>
      <c r="Z11">
        <f t="shared" si="5"/>
        <v>1257</v>
      </c>
      <c r="AB11" s="17"/>
    </row>
    <row r="12" spans="1:31">
      <c r="A12" t="s">
        <v>12</v>
      </c>
      <c r="B12">
        <v>2011</v>
      </c>
      <c r="C12" t="s">
        <v>14</v>
      </c>
      <c r="D12">
        <v>6</v>
      </c>
      <c r="E12">
        <v>1341</v>
      </c>
      <c r="H12">
        <v>6</v>
      </c>
      <c r="I12">
        <f t="shared" si="0"/>
        <v>1341</v>
      </c>
      <c r="J12" s="7">
        <f t="shared" si="1"/>
        <v>1327.0923063679998</v>
      </c>
      <c r="K12" s="3"/>
      <c r="P12">
        <v>6</v>
      </c>
      <c r="Q12">
        <f t="shared" si="2"/>
        <v>1341</v>
      </c>
      <c r="R12">
        <f t="shared" si="3"/>
        <v>1254.2614174412065</v>
      </c>
      <c r="S12">
        <f t="shared" si="4"/>
        <v>-11.752399517912737</v>
      </c>
      <c r="Y12">
        <v>6</v>
      </c>
      <c r="Z12">
        <f t="shared" si="5"/>
        <v>1341</v>
      </c>
      <c r="AB12" s="17"/>
    </row>
    <row r="13" spans="1:31">
      <c r="A13" t="s">
        <v>12</v>
      </c>
      <c r="B13">
        <v>2012</v>
      </c>
      <c r="C13" t="s">
        <v>15</v>
      </c>
      <c r="D13">
        <v>7</v>
      </c>
      <c r="E13">
        <v>1257</v>
      </c>
      <c r="H13">
        <v>7</v>
      </c>
      <c r="I13">
        <f t="shared" si="0"/>
        <v>1257</v>
      </c>
      <c r="J13" s="7">
        <f t="shared" si="1"/>
        <v>1271.0184612736</v>
      </c>
      <c r="K13" s="3"/>
      <c r="P13">
        <v>7</v>
      </c>
      <c r="Q13">
        <f t="shared" si="2"/>
        <v>1257</v>
      </c>
      <c r="R13">
        <f t="shared" si="3"/>
        <v>1242.5104670215017</v>
      </c>
      <c r="S13">
        <f t="shared" si="4"/>
        <v>-11.752399373002916</v>
      </c>
      <c r="Y13">
        <v>7</v>
      </c>
      <c r="Z13">
        <f t="shared" si="5"/>
        <v>1257</v>
      </c>
      <c r="AB13" s="17"/>
    </row>
    <row r="14" spans="1:31">
      <c r="A14" t="s">
        <v>12</v>
      </c>
      <c r="B14">
        <v>2012</v>
      </c>
      <c r="C14" t="s">
        <v>16</v>
      </c>
      <c r="D14">
        <v>8</v>
      </c>
      <c r="E14">
        <v>1287</v>
      </c>
      <c r="H14">
        <v>8</v>
      </c>
      <c r="I14">
        <f t="shared" si="0"/>
        <v>1287</v>
      </c>
      <c r="J14" s="7">
        <f t="shared" si="1"/>
        <v>1283.8036922547201</v>
      </c>
      <c r="K14" s="3"/>
      <c r="P14">
        <v>8</v>
      </c>
      <c r="Q14">
        <f t="shared" si="2"/>
        <v>1287</v>
      </c>
      <c r="R14">
        <f t="shared" si="3"/>
        <v>1230.763691841734</v>
      </c>
      <c r="S14">
        <f t="shared" si="4"/>
        <v>-11.752398810583593</v>
      </c>
      <c r="Y14">
        <v>8</v>
      </c>
      <c r="Z14">
        <f t="shared" si="5"/>
        <v>1287</v>
      </c>
      <c r="AB14" s="17"/>
    </row>
    <row r="15" spans="1:31">
      <c r="A15" t="s">
        <v>12</v>
      </c>
      <c r="B15">
        <v>2012</v>
      </c>
      <c r="C15" t="s">
        <v>13</v>
      </c>
      <c r="D15">
        <v>9</v>
      </c>
      <c r="E15">
        <v>1189</v>
      </c>
      <c r="H15">
        <v>9</v>
      </c>
      <c r="I15">
        <f t="shared" si="0"/>
        <v>1189</v>
      </c>
      <c r="J15" s="7">
        <f t="shared" si="1"/>
        <v>1207.9607384509441</v>
      </c>
      <c r="K15" s="3"/>
      <c r="P15">
        <v>9</v>
      </c>
      <c r="Q15">
        <f t="shared" si="2"/>
        <v>1189</v>
      </c>
      <c r="R15">
        <f t="shared" si="3"/>
        <v>1219.0082919018473</v>
      </c>
      <c r="S15">
        <f t="shared" si="4"/>
        <v>-11.752399110696523</v>
      </c>
      <c r="Y15">
        <v>9</v>
      </c>
      <c r="Z15">
        <f t="shared" si="5"/>
        <v>1189</v>
      </c>
      <c r="AB15" s="17"/>
    </row>
    <row r="16" spans="1:31">
      <c r="A16" t="s">
        <v>12</v>
      </c>
      <c r="B16">
        <v>2012</v>
      </c>
      <c r="C16" t="s">
        <v>14</v>
      </c>
      <c r="D16">
        <v>10</v>
      </c>
      <c r="E16">
        <v>1111</v>
      </c>
      <c r="H16">
        <v>10</v>
      </c>
      <c r="I16">
        <f t="shared" si="0"/>
        <v>1111</v>
      </c>
      <c r="J16" s="7">
        <f t="shared" si="1"/>
        <v>1130.3921476901887</v>
      </c>
      <c r="K16" s="3"/>
      <c r="O16" t="s">
        <v>23</v>
      </c>
      <c r="P16">
        <v>10</v>
      </c>
      <c r="Q16">
        <f t="shared" si="2"/>
        <v>1111</v>
      </c>
      <c r="R16">
        <f t="shared" si="3"/>
        <v>1207.2462672018717</v>
      </c>
      <c r="S16">
        <f t="shared" si="4"/>
        <v>-11.752400073255451</v>
      </c>
      <c r="X16" t="s">
        <v>23</v>
      </c>
      <c r="Y16">
        <v>10</v>
      </c>
      <c r="Z16">
        <f t="shared" si="5"/>
        <v>1111</v>
      </c>
      <c r="AB16" s="17"/>
    </row>
    <row r="17" spans="1:31">
      <c r="A17" t="s">
        <v>17</v>
      </c>
      <c r="B17">
        <v>2013</v>
      </c>
      <c r="C17" t="s">
        <v>15</v>
      </c>
      <c r="D17">
        <v>11</v>
      </c>
      <c r="E17">
        <v>1145</v>
      </c>
      <c r="H17">
        <v>11</v>
      </c>
      <c r="K17" s="6">
        <f>J16</f>
        <v>1130.3921476901887</v>
      </c>
      <c r="O17">
        <f>P17-$P$16</f>
        <v>1</v>
      </c>
      <c r="P17">
        <v>11</v>
      </c>
      <c r="T17" s="10">
        <f>$R$16+O17*$S$16</f>
        <v>1195.4938671286161</v>
      </c>
      <c r="X17">
        <f t="shared" ref="X17:X33" si="6">Y17-$Y$16</f>
        <v>1</v>
      </c>
      <c r="Y17">
        <v>11</v>
      </c>
      <c r="AC17" s="13"/>
      <c r="AD17" s="14"/>
      <c r="AE17" s="14"/>
    </row>
    <row r="18" spans="1:31">
      <c r="A18" t="s">
        <v>17</v>
      </c>
      <c r="B18">
        <v>2013</v>
      </c>
      <c r="C18" t="s">
        <v>16</v>
      </c>
      <c r="D18">
        <v>12</v>
      </c>
      <c r="E18">
        <v>1150</v>
      </c>
      <c r="H18">
        <v>12</v>
      </c>
      <c r="K18" s="6">
        <f>K17</f>
        <v>1130.3921476901887</v>
      </c>
      <c r="O18">
        <f t="shared" ref="O18:O20" si="7">P18-$P$16</f>
        <v>2</v>
      </c>
      <c r="P18">
        <v>12</v>
      </c>
      <c r="T18" s="10">
        <f t="shared" ref="T18:T20" si="8">$R$16+O18*$S$16</f>
        <v>1183.7414670553608</v>
      </c>
      <c r="X18">
        <f t="shared" si="6"/>
        <v>2</v>
      </c>
      <c r="Y18">
        <v>12</v>
      </c>
      <c r="AC18" s="13"/>
      <c r="AD18" s="14"/>
      <c r="AE18" s="14"/>
    </row>
    <row r="19" spans="1:31">
      <c r="A19" t="s">
        <v>17</v>
      </c>
      <c r="B19">
        <v>2013</v>
      </c>
      <c r="C19" t="s">
        <v>13</v>
      </c>
      <c r="D19">
        <v>13</v>
      </c>
      <c r="E19">
        <v>1298</v>
      </c>
      <c r="H19">
        <v>13</v>
      </c>
      <c r="K19" s="6">
        <f t="shared" ref="K19:K20" si="9">K18</f>
        <v>1130.3921476901887</v>
      </c>
      <c r="O19">
        <f t="shared" si="7"/>
        <v>3</v>
      </c>
      <c r="P19">
        <v>13</v>
      </c>
      <c r="T19" s="10">
        <f t="shared" si="8"/>
        <v>1171.9890669821052</v>
      </c>
      <c r="X19">
        <f t="shared" si="6"/>
        <v>3</v>
      </c>
      <c r="Y19">
        <v>13</v>
      </c>
      <c r="AC19" s="13"/>
      <c r="AD19" s="14"/>
      <c r="AE19" s="14"/>
    </row>
    <row r="20" spans="1:31">
      <c r="A20" t="s">
        <v>17</v>
      </c>
      <c r="B20">
        <v>2013</v>
      </c>
      <c r="C20" t="s">
        <v>14</v>
      </c>
      <c r="D20">
        <v>14</v>
      </c>
      <c r="E20">
        <v>1331</v>
      </c>
      <c r="H20">
        <v>14</v>
      </c>
      <c r="K20" s="6">
        <f t="shared" si="9"/>
        <v>1130.3921476901887</v>
      </c>
      <c r="O20">
        <f t="shared" si="7"/>
        <v>4</v>
      </c>
      <c r="P20">
        <v>14</v>
      </c>
      <c r="T20" s="10">
        <f t="shared" si="8"/>
        <v>1160.2366669088499</v>
      </c>
      <c r="X20">
        <f t="shared" si="6"/>
        <v>4</v>
      </c>
      <c r="Y20">
        <v>14</v>
      </c>
      <c r="AC20" s="13"/>
      <c r="AD20" s="14"/>
      <c r="AE20" s="14"/>
    </row>
    <row r="21" spans="1:31">
      <c r="X21">
        <f t="shared" si="6"/>
        <v>5</v>
      </c>
      <c r="Y21">
        <v>15</v>
      </c>
      <c r="AC21" s="13"/>
      <c r="AD21" s="14"/>
      <c r="AE21" s="14"/>
    </row>
    <row r="22" spans="1:31">
      <c r="X22">
        <f t="shared" si="6"/>
        <v>6</v>
      </c>
      <c r="Y22">
        <v>16</v>
      </c>
      <c r="AC22" s="13"/>
      <c r="AD22" s="14"/>
      <c r="AE22" s="14"/>
    </row>
    <row r="23" spans="1:31">
      <c r="X23">
        <f t="shared" si="6"/>
        <v>7</v>
      </c>
      <c r="Y23">
        <v>17</v>
      </c>
      <c r="AC23" s="13"/>
      <c r="AD23" s="14"/>
      <c r="AE23" s="14"/>
    </row>
    <row r="24" spans="1:31">
      <c r="X24">
        <f t="shared" si="6"/>
        <v>8</v>
      </c>
      <c r="Y24">
        <v>18</v>
      </c>
      <c r="AC24" s="13"/>
      <c r="AD24" s="14"/>
      <c r="AE24" s="14"/>
    </row>
    <row r="25" spans="1:31">
      <c r="X25">
        <f t="shared" si="6"/>
        <v>9</v>
      </c>
      <c r="Y25">
        <v>19</v>
      </c>
      <c r="AC25" s="13"/>
      <c r="AD25" s="14"/>
      <c r="AE25" s="14"/>
    </row>
    <row r="26" spans="1:31">
      <c r="X26">
        <f t="shared" si="6"/>
        <v>10</v>
      </c>
      <c r="Y26">
        <v>20</v>
      </c>
      <c r="AC26" s="13"/>
      <c r="AD26" s="14"/>
      <c r="AE26" s="14"/>
    </row>
    <row r="27" spans="1:31">
      <c r="X27">
        <f t="shared" si="6"/>
        <v>11</v>
      </c>
      <c r="Y27">
        <v>21</v>
      </c>
      <c r="AC27" s="13"/>
      <c r="AD27" s="14"/>
      <c r="AE27" s="14"/>
    </row>
    <row r="28" spans="1:31">
      <c r="X28">
        <f t="shared" si="6"/>
        <v>12</v>
      </c>
      <c r="Y28">
        <v>22</v>
      </c>
      <c r="AC28" s="13"/>
      <c r="AD28" s="14"/>
      <c r="AE28" s="14"/>
    </row>
    <row r="29" spans="1:31">
      <c r="X29">
        <f t="shared" si="6"/>
        <v>13</v>
      </c>
      <c r="Y29">
        <v>23</v>
      </c>
      <c r="AC29" s="13"/>
      <c r="AD29" s="14"/>
      <c r="AE29" s="14"/>
    </row>
    <row r="30" spans="1:31">
      <c r="X30">
        <f t="shared" si="6"/>
        <v>14</v>
      </c>
      <c r="Y30">
        <v>24</v>
      </c>
      <c r="AC30" s="13"/>
      <c r="AD30" s="14"/>
      <c r="AE30" s="14"/>
    </row>
    <row r="31" spans="1:31">
      <c r="X31">
        <f t="shared" si="6"/>
        <v>15</v>
      </c>
      <c r="Y31">
        <v>25</v>
      </c>
      <c r="AC31" s="13"/>
      <c r="AD31" s="14"/>
      <c r="AE31" s="14"/>
    </row>
    <row r="32" spans="1:31">
      <c r="X32">
        <f t="shared" si="6"/>
        <v>16</v>
      </c>
      <c r="Y32">
        <v>26</v>
      </c>
      <c r="AC32" s="13"/>
      <c r="AD32" s="14"/>
      <c r="AE32" s="14"/>
    </row>
    <row r="33" spans="24:31">
      <c r="X33">
        <f t="shared" si="6"/>
        <v>17</v>
      </c>
      <c r="Y33">
        <v>27</v>
      </c>
      <c r="AC33" s="13"/>
      <c r="AD33" s="14"/>
      <c r="AE33" s="14"/>
    </row>
  </sheetData>
  <mergeCells count="2">
    <mergeCell ref="H3:I3"/>
    <mergeCell ref="H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E24C-97EC-4C98-96D6-6F846E0253CA}">
  <dimension ref="A1:Y38"/>
  <sheetViews>
    <sheetView workbookViewId="0">
      <selection activeCell="C4" sqref="C4"/>
    </sheetView>
  </sheetViews>
  <sheetFormatPr defaultRowHeight="14.5"/>
  <cols>
    <col min="1" max="1" width="10.453125" customWidth="1"/>
    <col min="2" max="2" width="15.453125" bestFit="1" customWidth="1"/>
    <col min="3" max="3" width="22" customWidth="1"/>
    <col min="4" max="4" width="13.90625" bestFit="1" customWidth="1"/>
    <col min="6" max="6" width="13.36328125" bestFit="1" customWidth="1"/>
    <col min="7" max="7" width="12.6328125" bestFit="1" customWidth="1"/>
    <col min="8" max="8" width="8.1796875" bestFit="1" customWidth="1"/>
    <col min="9" max="9" width="4.453125" customWidth="1"/>
    <col min="10" max="10" width="6.08984375" bestFit="1" customWidth="1"/>
    <col min="11" max="11" width="11.08984375" bestFit="1" customWidth="1"/>
    <col min="12" max="12" width="9.90625" bestFit="1" customWidth="1"/>
    <col min="19" max="19" width="11.26953125" bestFit="1" customWidth="1"/>
    <col min="20" max="20" width="17.81640625" bestFit="1" customWidth="1"/>
    <col min="21" max="21" width="12.6328125" bestFit="1" customWidth="1"/>
    <col min="22" max="22" width="10.36328125" bestFit="1" customWidth="1"/>
    <col min="23" max="23" width="12.54296875" bestFit="1" customWidth="1"/>
  </cols>
  <sheetData>
    <row r="1" spans="1:19" ht="19.5">
      <c r="A1" s="20" t="s">
        <v>40</v>
      </c>
      <c r="B1" s="20"/>
      <c r="C1" s="20"/>
      <c r="D1" s="5" t="s">
        <v>41</v>
      </c>
      <c r="E1">
        <v>2</v>
      </c>
      <c r="O1" t="s">
        <v>42</v>
      </c>
      <c r="P1" t="s">
        <v>7</v>
      </c>
      <c r="Q1" t="s">
        <v>8</v>
      </c>
      <c r="R1" t="s">
        <v>43</v>
      </c>
      <c r="S1" t="s">
        <v>44</v>
      </c>
    </row>
    <row r="2" spans="1:19">
      <c r="A2" s="18" t="s">
        <v>45</v>
      </c>
      <c r="B2" s="18"/>
      <c r="C2" s="21">
        <v>1249.2866257999999</v>
      </c>
      <c r="J2" s="5"/>
      <c r="K2" s="5"/>
      <c r="O2">
        <v>1</v>
      </c>
      <c r="P2" t="s">
        <v>12</v>
      </c>
      <c r="Q2">
        <v>2010</v>
      </c>
      <c r="R2">
        <v>3</v>
      </c>
      <c r="S2">
        <v>1212</v>
      </c>
    </row>
    <row r="3" spans="1:19">
      <c r="A3" s="22" t="s">
        <v>46</v>
      </c>
      <c r="B3" s="22"/>
      <c r="C3" s="23">
        <v>0.62010220000000005</v>
      </c>
      <c r="J3" s="24" t="s">
        <v>47</v>
      </c>
      <c r="K3" s="5" t="s">
        <v>48</v>
      </c>
      <c r="L3" t="s">
        <v>49</v>
      </c>
      <c r="O3">
        <v>2</v>
      </c>
      <c r="P3" t="s">
        <v>12</v>
      </c>
      <c r="Q3">
        <v>2010</v>
      </c>
      <c r="R3">
        <v>4</v>
      </c>
      <c r="S3">
        <v>1321</v>
      </c>
    </row>
    <row r="4" spans="1:19">
      <c r="A4" s="2" t="s">
        <v>42</v>
      </c>
      <c r="B4" t="s">
        <v>44</v>
      </c>
      <c r="C4" t="s">
        <v>50</v>
      </c>
      <c r="D4" t="s">
        <v>51</v>
      </c>
      <c r="E4" t="s">
        <v>52</v>
      </c>
      <c r="F4" t="s">
        <v>49</v>
      </c>
      <c r="G4" t="s">
        <v>53</v>
      </c>
      <c r="H4" t="s">
        <v>54</v>
      </c>
      <c r="J4" s="25"/>
      <c r="K4" s="25">
        <f>D22</f>
        <v>47407.848061454926</v>
      </c>
      <c r="L4" s="26">
        <f>D25</f>
        <v>2.5593015179981559E-25</v>
      </c>
      <c r="O4">
        <v>3</v>
      </c>
      <c r="P4" t="s">
        <v>12</v>
      </c>
      <c r="Q4">
        <v>2011</v>
      </c>
      <c r="R4">
        <v>1</v>
      </c>
      <c r="S4">
        <v>1278</v>
      </c>
    </row>
    <row r="5" spans="1:19">
      <c r="A5">
        <v>0</v>
      </c>
      <c r="C5" s="3">
        <f>C2</f>
        <v>1249.2866257999999</v>
      </c>
      <c r="J5" s="25">
        <v>0.1</v>
      </c>
      <c r="K5" s="25">
        <v>51543.226874459928</v>
      </c>
      <c r="L5" s="26">
        <v>1.6846692341562137E-25</v>
      </c>
      <c r="O5">
        <v>4</v>
      </c>
      <c r="P5" t="s">
        <v>12</v>
      </c>
      <c r="Q5">
        <v>2011</v>
      </c>
      <c r="R5">
        <v>2</v>
      </c>
      <c r="S5">
        <v>1341</v>
      </c>
    </row>
    <row r="6" spans="1:19">
      <c r="A6">
        <v>1</v>
      </c>
      <c r="B6">
        <v>1212</v>
      </c>
      <c r="C6" s="3">
        <f>$C$3*B6+(1-$C$3)*C5</f>
        <v>1226.1651071108431</v>
      </c>
      <c r="D6" s="3">
        <f>C5</f>
        <v>1249.2866257999999</v>
      </c>
      <c r="E6" s="3">
        <f>B6-D6</f>
        <v>-37.286625799999911</v>
      </c>
      <c r="F6">
        <f>_xlfn.NORM.DIST(E6,0,$D$24,FALSE)</f>
        <v>4.6087706350136154E-3</v>
      </c>
      <c r="G6">
        <f>LN(F6)</f>
        <v>-5.3797941310701276</v>
      </c>
      <c r="J6" s="25">
        <v>0.2</v>
      </c>
      <c r="K6" s="25">
        <v>52228.151962073753</v>
      </c>
      <c r="L6" s="26">
        <v>1.5770641893909308E-25</v>
      </c>
      <c r="O6">
        <v>5</v>
      </c>
      <c r="P6" t="s">
        <v>12</v>
      </c>
      <c r="Q6">
        <v>2011</v>
      </c>
      <c r="R6">
        <v>3</v>
      </c>
      <c r="S6">
        <v>1257</v>
      </c>
    </row>
    <row r="7" spans="1:19">
      <c r="A7">
        <v>2</v>
      </c>
      <c r="B7">
        <v>1321</v>
      </c>
      <c r="C7" s="3">
        <f t="shared" ref="C7:C15" si="0">$C$3*B7+(1-$C$3)*C6</f>
        <v>1284.9724328281736</v>
      </c>
      <c r="D7" s="3">
        <f t="shared" ref="D7:D15" si="1">C6</f>
        <v>1226.1651071108431</v>
      </c>
      <c r="E7" s="3">
        <f t="shared" ref="E7:E15" si="2">B7-D7</f>
        <v>94.83489288915689</v>
      </c>
      <c r="F7">
        <f t="shared" ref="F7:F15" si="3">_xlfn.NORM.DIST(E7,0,$D$24,FALSE)</f>
        <v>2.4264595893338931E-3</v>
      </c>
      <c r="G7">
        <f t="shared" ref="G7:G15" si="4">LN(F7)</f>
        <v>-6.0213220431485137</v>
      </c>
      <c r="J7" s="25">
        <v>0.3</v>
      </c>
      <c r="K7" s="25">
        <v>51154.442809608801</v>
      </c>
      <c r="L7" s="26">
        <v>1.749668901557898E-25</v>
      </c>
      <c r="O7">
        <v>6</v>
      </c>
      <c r="P7" t="s">
        <v>12</v>
      </c>
      <c r="Q7">
        <v>2011</v>
      </c>
      <c r="R7">
        <v>4</v>
      </c>
      <c r="S7">
        <v>1341</v>
      </c>
    </row>
    <row r="8" spans="1:19">
      <c r="A8">
        <v>3</v>
      </c>
      <c r="B8">
        <v>1278</v>
      </c>
      <c r="C8" s="3">
        <f t="shared" si="0"/>
        <v>1280.6488118920711</v>
      </c>
      <c r="D8" s="3">
        <f t="shared" si="1"/>
        <v>1284.9724328281736</v>
      </c>
      <c r="E8" s="3">
        <f t="shared" si="2"/>
        <v>-6.9724328281736234</v>
      </c>
      <c r="F8">
        <f t="shared" si="3"/>
        <v>5.16117438142716E-3</v>
      </c>
      <c r="G8">
        <f t="shared" si="4"/>
        <v>-5.2665911320842547</v>
      </c>
      <c r="J8" s="25">
        <v>0.4</v>
      </c>
      <c r="K8" s="25">
        <v>49493.328274518979</v>
      </c>
      <c r="L8" s="26">
        <v>2.0636657991740764E-25</v>
      </c>
      <c r="O8">
        <v>7</v>
      </c>
      <c r="P8" t="s">
        <v>12</v>
      </c>
      <c r="Q8">
        <v>2012</v>
      </c>
      <c r="R8">
        <v>1</v>
      </c>
      <c r="S8">
        <v>1257</v>
      </c>
    </row>
    <row r="9" spans="1:19">
      <c r="A9">
        <v>4</v>
      </c>
      <c r="B9">
        <v>1341</v>
      </c>
      <c r="C9" s="3">
        <f t="shared" si="0"/>
        <v>1318.0727164104117</v>
      </c>
      <c r="D9" s="3">
        <f t="shared" si="1"/>
        <v>1280.6488118920711</v>
      </c>
      <c r="E9" s="3">
        <f t="shared" si="2"/>
        <v>60.35118810792892</v>
      </c>
      <c r="F9">
        <f t="shared" si="3"/>
        <v>3.8112326036629472E-3</v>
      </c>
      <c r="G9">
        <f t="shared" si="4"/>
        <v>-5.5698026241424277</v>
      </c>
      <c r="J9" s="25">
        <v>0.5</v>
      </c>
      <c r="K9" s="25">
        <v>48093.095555643937</v>
      </c>
      <c r="L9" s="26">
        <v>2.3820946126002028E-25</v>
      </c>
      <c r="O9">
        <v>8</v>
      </c>
      <c r="P9" t="s">
        <v>12</v>
      </c>
      <c r="Q9">
        <v>2012</v>
      </c>
      <c r="R9">
        <v>2</v>
      </c>
      <c r="S9">
        <v>1287</v>
      </c>
    </row>
    <row r="10" spans="1:19">
      <c r="A10">
        <v>5</v>
      </c>
      <c r="B10">
        <v>1257</v>
      </c>
      <c r="C10" s="3">
        <f t="shared" si="0"/>
        <v>1280.2013906043392</v>
      </c>
      <c r="D10" s="3">
        <f t="shared" si="1"/>
        <v>1318.0727164104117</v>
      </c>
      <c r="E10" s="3">
        <f t="shared" si="2"/>
        <v>-61.072716410411658</v>
      </c>
      <c r="F10">
        <f t="shared" si="3"/>
        <v>3.7831634973150932E-3</v>
      </c>
      <c r="G10">
        <f t="shared" si="4"/>
        <v>-5.5771947153079555</v>
      </c>
      <c r="J10" s="27">
        <v>0.6</v>
      </c>
      <c r="K10" s="27">
        <v>47428.176812030084</v>
      </c>
      <c r="L10" s="28">
        <v>2.5538213557133158E-25</v>
      </c>
      <c r="O10">
        <v>9</v>
      </c>
      <c r="P10" t="s">
        <v>12</v>
      </c>
      <c r="Q10">
        <v>2012</v>
      </c>
      <c r="R10">
        <v>3</v>
      </c>
      <c r="S10">
        <v>1189</v>
      </c>
    </row>
    <row r="11" spans="1:19">
      <c r="A11">
        <v>6</v>
      </c>
      <c r="B11">
        <v>1341</v>
      </c>
      <c r="C11" s="3">
        <f t="shared" si="0"/>
        <v>1317.902742047529</v>
      </c>
      <c r="D11" s="3">
        <f t="shared" si="1"/>
        <v>1280.2013906043392</v>
      </c>
      <c r="E11" s="3">
        <f t="shared" si="2"/>
        <v>60.798609395660833</v>
      </c>
      <c r="F11">
        <f t="shared" si="3"/>
        <v>3.7938417141966619E-3</v>
      </c>
      <c r="G11">
        <f t="shared" si="4"/>
        <v>-5.574376128372128</v>
      </c>
      <c r="J11" s="25">
        <v>0.7</v>
      </c>
      <c r="K11" s="25">
        <v>47753.210373360635</v>
      </c>
      <c r="L11" s="26">
        <v>2.4680832030292304E-25</v>
      </c>
      <c r="O11">
        <v>10</v>
      </c>
      <c r="P11" t="s">
        <v>12</v>
      </c>
      <c r="Q11">
        <v>2012</v>
      </c>
      <c r="R11">
        <v>4</v>
      </c>
      <c r="S11">
        <v>1111</v>
      </c>
    </row>
    <row r="12" spans="1:19">
      <c r="A12">
        <v>7</v>
      </c>
      <c r="B12">
        <v>1257</v>
      </c>
      <c r="C12" s="3">
        <f t="shared" si="0"/>
        <v>1280.1368177178238</v>
      </c>
      <c r="D12" s="3">
        <f t="shared" si="1"/>
        <v>1317.902742047529</v>
      </c>
      <c r="E12" s="3">
        <f t="shared" si="2"/>
        <v>-60.902742047529046</v>
      </c>
      <c r="F12">
        <f t="shared" si="3"/>
        <v>3.7897871972972668E-3</v>
      </c>
      <c r="G12">
        <f t="shared" si="4"/>
        <v>-5.5754454099345647</v>
      </c>
      <c r="J12" s="25">
        <v>0.8</v>
      </c>
      <c r="K12" s="25">
        <v>49255.356074085706</v>
      </c>
      <c r="L12" s="26">
        <v>2.1140017894036196E-25</v>
      </c>
      <c r="O12">
        <v>11</v>
      </c>
      <c r="P12" t="s">
        <v>17</v>
      </c>
      <c r="Q12">
        <v>2013</v>
      </c>
      <c r="R12">
        <v>1</v>
      </c>
      <c r="S12">
        <v>1145</v>
      </c>
    </row>
    <row r="13" spans="1:19">
      <c r="A13">
        <v>8</v>
      </c>
      <c r="B13">
        <v>1287</v>
      </c>
      <c r="C13" s="3">
        <f t="shared" si="0"/>
        <v>1284.3926921500022</v>
      </c>
      <c r="D13" s="3">
        <f t="shared" si="1"/>
        <v>1280.1368177178238</v>
      </c>
      <c r="E13" s="3">
        <f t="shared" si="2"/>
        <v>6.8631822821762398</v>
      </c>
      <c r="F13">
        <f t="shared" si="3"/>
        <v>5.1618326574921509E-3</v>
      </c>
      <c r="G13">
        <f t="shared" si="4"/>
        <v>-5.266463596364594</v>
      </c>
      <c r="J13" s="25">
        <v>0.9</v>
      </c>
      <c r="K13" s="25">
        <v>52165.490753960752</v>
      </c>
      <c r="L13" s="26">
        <v>1.5865588225606414E-25</v>
      </c>
      <c r="O13">
        <v>12</v>
      </c>
      <c r="P13" t="s">
        <v>17</v>
      </c>
      <c r="Q13">
        <v>2013</v>
      </c>
      <c r="R13">
        <v>2</v>
      </c>
      <c r="S13">
        <v>1150</v>
      </c>
    </row>
    <row r="14" spans="1:19">
      <c r="A14">
        <v>9</v>
      </c>
      <c r="B14">
        <v>1189</v>
      </c>
      <c r="C14" s="3">
        <f t="shared" si="0"/>
        <v>1225.239473883863</v>
      </c>
      <c r="D14" s="3">
        <f t="shared" si="1"/>
        <v>1284.3926921500022</v>
      </c>
      <c r="E14" s="3">
        <f t="shared" si="2"/>
        <v>-95.392692150002176</v>
      </c>
      <c r="F14">
        <f t="shared" si="3"/>
        <v>2.4048328221375568E-3</v>
      </c>
      <c r="G14">
        <f t="shared" si="4"/>
        <v>-6.0302748904652432</v>
      </c>
      <c r="J14" s="5"/>
      <c r="K14" s="5"/>
      <c r="O14">
        <v>13</v>
      </c>
      <c r="P14" t="s">
        <v>17</v>
      </c>
      <c r="Q14">
        <v>2013</v>
      </c>
      <c r="R14">
        <v>3</v>
      </c>
      <c r="S14">
        <v>1298</v>
      </c>
    </row>
    <row r="15" spans="1:19">
      <c r="A15">
        <v>10</v>
      </c>
      <c r="B15">
        <v>1111</v>
      </c>
      <c r="C15" s="3">
        <f t="shared" si="0"/>
        <v>1154.399324801637</v>
      </c>
      <c r="D15" s="3">
        <f t="shared" si="1"/>
        <v>1225.239473883863</v>
      </c>
      <c r="E15" s="3">
        <f t="shared" si="2"/>
        <v>-114.23947388386296</v>
      </c>
      <c r="F15">
        <f t="shared" si="3"/>
        <v>1.7231034592724063E-3</v>
      </c>
      <c r="G15">
        <f t="shared" si="4"/>
        <v>-6.3636282772306725</v>
      </c>
      <c r="J15" s="5"/>
      <c r="K15" s="5"/>
      <c r="O15">
        <v>14</v>
      </c>
      <c r="P15" t="s">
        <v>17</v>
      </c>
      <c r="Q15">
        <v>2013</v>
      </c>
      <c r="R15">
        <v>4</v>
      </c>
      <c r="S15">
        <v>1331</v>
      </c>
    </row>
    <row r="16" spans="1:19">
      <c r="A16">
        <v>11</v>
      </c>
      <c r="C16" s="3"/>
      <c r="D16" s="3"/>
      <c r="E16" s="3"/>
      <c r="H16" s="3">
        <f>$C$15</f>
        <v>1154.399324801637</v>
      </c>
      <c r="J16" s="5"/>
      <c r="K16" s="5"/>
    </row>
    <row r="17" spans="1:22">
      <c r="A17">
        <v>12</v>
      </c>
      <c r="C17" s="3"/>
      <c r="D17" s="3"/>
      <c r="E17" s="3"/>
      <c r="H17" s="3">
        <f t="shared" ref="H17:H19" si="5">$C$15</f>
        <v>1154.399324801637</v>
      </c>
      <c r="J17" s="5"/>
      <c r="K17" s="5"/>
    </row>
    <row r="18" spans="1:22">
      <c r="A18">
        <v>13</v>
      </c>
      <c r="C18" s="3"/>
      <c r="D18" s="3"/>
      <c r="E18" s="3"/>
      <c r="H18" s="3">
        <f t="shared" si="5"/>
        <v>1154.399324801637</v>
      </c>
      <c r="J18" s="5"/>
      <c r="K18" s="5"/>
    </row>
    <row r="19" spans="1:22">
      <c r="A19">
        <v>14</v>
      </c>
      <c r="H19" s="3">
        <f t="shared" si="5"/>
        <v>1154.399324801637</v>
      </c>
      <c r="J19" s="5"/>
      <c r="K19" s="5"/>
    </row>
    <row r="20" spans="1:22">
      <c r="J20" s="5"/>
      <c r="K20" s="5"/>
    </row>
    <row r="21" spans="1:22">
      <c r="A21" t="s">
        <v>55</v>
      </c>
      <c r="B21">
        <f>A15</f>
        <v>10</v>
      </c>
      <c r="J21" s="5"/>
      <c r="K21" s="5"/>
    </row>
    <row r="22" spans="1:22">
      <c r="A22" t="s">
        <v>56</v>
      </c>
      <c r="D22" s="3">
        <f>SUMSQ(E6:E15)</f>
        <v>47407.848061454926</v>
      </c>
      <c r="J22" s="5"/>
      <c r="K22" s="5"/>
    </row>
    <row r="23" spans="1:22" ht="16.5">
      <c r="A23" s="18" t="s">
        <v>57</v>
      </c>
      <c r="B23" s="18"/>
      <c r="C23" s="18"/>
      <c r="D23">
        <f>D22/(B21-E1)</f>
        <v>5925.9810076818658</v>
      </c>
      <c r="J23" s="5"/>
      <c r="K23" s="5"/>
    </row>
    <row r="24" spans="1:22">
      <c r="A24" s="29" t="s">
        <v>58</v>
      </c>
      <c r="B24" s="29"/>
      <c r="C24" s="29"/>
      <c r="D24">
        <f>SQRT(D23)</f>
        <v>76.980393657618208</v>
      </c>
    </row>
    <row r="25" spans="1:22">
      <c r="A25" s="18" t="s">
        <v>49</v>
      </c>
      <c r="B25" s="18"/>
      <c r="C25" s="18"/>
      <c r="D25">
        <f>PRODUCT(F6:F15)</f>
        <v>2.5593015179981559E-25</v>
      </c>
    </row>
    <row r="26" spans="1:22">
      <c r="A26" s="18" t="s">
        <v>59</v>
      </c>
      <c r="B26" s="18"/>
      <c r="C26" s="18"/>
      <c r="D26">
        <f>LN(D25)</f>
        <v>-56.624892948120483</v>
      </c>
      <c r="E26">
        <f>SUM(G6:G15)</f>
        <v>-56.624892948120483</v>
      </c>
    </row>
    <row r="27" spans="1:22">
      <c r="A27" s="18" t="s">
        <v>60</v>
      </c>
      <c r="B27" s="18"/>
      <c r="C27" s="18"/>
      <c r="D27">
        <f>-2*D26+2*E1/B21</f>
        <v>113.64978589624097</v>
      </c>
    </row>
    <row r="28" spans="1:22">
      <c r="D28" s="3"/>
    </row>
    <row r="29" spans="1:22">
      <c r="A29" t="s">
        <v>61</v>
      </c>
    </row>
    <row r="30" spans="1:22" ht="20" thickBot="1">
      <c r="A30" t="s">
        <v>50</v>
      </c>
      <c r="B30">
        <f>2*(V32-0.5)</f>
        <v>0.8</v>
      </c>
      <c r="T30" s="1" t="s">
        <v>62</v>
      </c>
    </row>
    <row r="31" spans="1:22" ht="15" thickTop="1">
      <c r="A31" t="s">
        <v>35</v>
      </c>
      <c r="B31">
        <f>1-B30</f>
        <v>0.19999999999999996</v>
      </c>
    </row>
    <row r="32" spans="1:22">
      <c r="A32" t="s">
        <v>63</v>
      </c>
      <c r="B32" s="30">
        <f>ABS(_xlfn.NORM.S.INV(B31/2))</f>
        <v>1.2815515655446006</v>
      </c>
      <c r="U32" t="s">
        <v>64</v>
      </c>
      <c r="V32">
        <v>0.9</v>
      </c>
    </row>
    <row r="33" spans="1:25" ht="26.4" customHeight="1">
      <c r="A33" t="s">
        <v>23</v>
      </c>
      <c r="B33" t="s">
        <v>65</v>
      </c>
      <c r="C33" t="s">
        <v>66</v>
      </c>
      <c r="D33" t="s">
        <v>67</v>
      </c>
      <c r="E33" t="s">
        <v>68</v>
      </c>
      <c r="F33" t="s">
        <v>69</v>
      </c>
      <c r="G33" t="s">
        <v>70</v>
      </c>
      <c r="U33" t="s">
        <v>71</v>
      </c>
      <c r="V33" t="s">
        <v>72</v>
      </c>
    </row>
    <row r="34" spans="1:25">
      <c r="A34">
        <v>1</v>
      </c>
      <c r="B34" s="3">
        <f>H16</f>
        <v>1154.399324801637</v>
      </c>
      <c r="C34" s="31">
        <f>$D$23*(1+$C$3^2*(A34-1))</f>
        <v>5925.9810076818658</v>
      </c>
      <c r="D34" s="30">
        <f>SQRT(C34)</f>
        <v>76.980393657618208</v>
      </c>
      <c r="E34">
        <f>$B$32*D34</f>
        <v>98.654344008160251</v>
      </c>
      <c r="F34" s="7">
        <f>B34-E34</f>
        <v>1055.7449807934768</v>
      </c>
      <c r="G34" s="7">
        <f>B34+E34</f>
        <v>1253.0536688097973</v>
      </c>
      <c r="U34">
        <v>1145</v>
      </c>
      <c r="V34" s="16">
        <f>G34</f>
        <v>1253.0536688097973</v>
      </c>
      <c r="W34" s="16"/>
      <c r="Y34" s="16"/>
    </row>
    <row r="35" spans="1:25">
      <c r="A35">
        <v>2</v>
      </c>
      <c r="B35" s="3">
        <f t="shared" ref="B35:B37" si="6">H17</f>
        <v>1154.399324801637</v>
      </c>
      <c r="C35" s="31">
        <f>$D$23*(1+$C$3^2*(A35-1))</f>
        <v>8204.6791566518405</v>
      </c>
      <c r="D35" s="30">
        <f t="shared" ref="D35:D37" si="7">SQRT(C35)</f>
        <v>90.579684017178153</v>
      </c>
      <c r="E35">
        <f t="shared" ref="E35:E37" si="8">$B$32*D35</f>
        <v>116.08253585874989</v>
      </c>
      <c r="F35" s="7">
        <f t="shared" ref="F35:F37" si="9">B35-E35</f>
        <v>1038.3167889428871</v>
      </c>
      <c r="G35" s="7">
        <f t="shared" ref="G35:G37" si="10">B35+E35</f>
        <v>1270.4818606603869</v>
      </c>
      <c r="U35">
        <v>1150</v>
      </c>
      <c r="V35" s="16">
        <f>G35</f>
        <v>1270.4818606603869</v>
      </c>
      <c r="W35" s="16"/>
      <c r="Y35" s="16"/>
    </row>
    <row r="36" spans="1:25">
      <c r="A36">
        <v>3</v>
      </c>
      <c r="B36" s="3">
        <f t="shared" si="6"/>
        <v>1154.399324801637</v>
      </c>
      <c r="C36" s="31">
        <f>$D$23*(1+$C$3^2*(A36-1))</f>
        <v>10483.377305621816</v>
      </c>
      <c r="D36" s="30">
        <f t="shared" si="7"/>
        <v>102.38836508911457</v>
      </c>
      <c r="E36">
        <f t="shared" si="8"/>
        <v>131.2159695735069</v>
      </c>
      <c r="F36" s="7">
        <f t="shared" si="9"/>
        <v>1023.1833552281302</v>
      </c>
      <c r="G36" s="7">
        <f t="shared" si="10"/>
        <v>1285.615294375144</v>
      </c>
      <c r="U36">
        <v>1298</v>
      </c>
      <c r="V36" s="16">
        <f>G36</f>
        <v>1285.615294375144</v>
      </c>
      <c r="W36" s="16"/>
      <c r="Y36" s="16"/>
    </row>
    <row r="37" spans="1:25">
      <c r="A37">
        <v>4</v>
      </c>
      <c r="B37" s="3">
        <f t="shared" si="6"/>
        <v>1154.399324801637</v>
      </c>
      <c r="C37" s="31">
        <f>$D$23*(1+$C$3^2*(A37-1))</f>
        <v>12762.075454591788</v>
      </c>
      <c r="D37" s="30">
        <f t="shared" si="7"/>
        <v>112.96935626350974</v>
      </c>
      <c r="E37">
        <f t="shared" si="8"/>
        <v>144.77605537806664</v>
      </c>
      <c r="F37" s="7">
        <f t="shared" si="9"/>
        <v>1009.6232694235704</v>
      </c>
      <c r="G37" s="7">
        <f t="shared" si="10"/>
        <v>1299.1753801797036</v>
      </c>
      <c r="U37">
        <v>1331</v>
      </c>
      <c r="V37" s="16">
        <f>G37</f>
        <v>1299.1753801797036</v>
      </c>
      <c r="W37" s="16"/>
      <c r="Y37" s="16"/>
    </row>
    <row r="38" spans="1:25">
      <c r="U38" t="s">
        <v>62</v>
      </c>
      <c r="Y38" s="16"/>
    </row>
  </sheetData>
  <mergeCells count="8">
    <mergeCell ref="A26:C26"/>
    <mergeCell ref="A27:C27"/>
    <mergeCell ref="A1:C1"/>
    <mergeCell ref="A2:B2"/>
    <mergeCell ref="A3:B3"/>
    <mergeCell ref="A23:C23"/>
    <mergeCell ref="A24:C24"/>
    <mergeCell ref="A25:C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82E3-5652-4A6B-A80D-6FC54E494264}">
  <dimension ref="A1:K33"/>
  <sheetViews>
    <sheetView tabSelected="1" workbookViewId="0">
      <selection activeCell="H26" sqref="H26"/>
    </sheetView>
  </sheetViews>
  <sheetFormatPr defaultRowHeight="14.5"/>
  <cols>
    <col min="1" max="1" width="3" bestFit="1" customWidth="1"/>
    <col min="2" max="2" width="15.453125" bestFit="1" customWidth="1"/>
    <col min="3" max="3" width="13.36328125" bestFit="1" customWidth="1"/>
    <col min="6" max="6" width="9.81640625" bestFit="1" customWidth="1"/>
    <col min="7" max="7" width="12.6328125" bestFit="1" customWidth="1"/>
    <col min="8" max="8" width="7.54296875" bestFit="1" customWidth="1"/>
    <col min="9" max="9" width="4.453125" customWidth="1"/>
    <col min="10" max="10" width="5.6328125" bestFit="1" customWidth="1"/>
    <col min="11" max="11" width="10.08984375" bestFit="1" customWidth="1"/>
    <col min="12" max="12" width="9.54296875" bestFit="1" customWidth="1"/>
  </cols>
  <sheetData>
    <row r="1" spans="1:11" ht="19.5">
      <c r="A1" s="20" t="s">
        <v>73</v>
      </c>
      <c r="B1" s="20"/>
      <c r="C1" s="20"/>
      <c r="D1" s="5"/>
    </row>
    <row r="2" spans="1:11">
      <c r="A2" s="18" t="s">
        <v>45</v>
      </c>
      <c r="B2" s="18"/>
      <c r="C2" s="32">
        <v>34.053220000000003</v>
      </c>
      <c r="J2" s="5"/>
      <c r="K2" s="5"/>
    </row>
    <row r="3" spans="1:11">
      <c r="A3" s="22" t="s">
        <v>46</v>
      </c>
      <c r="B3" s="22"/>
      <c r="C3" s="32">
        <v>1.001022E-4</v>
      </c>
      <c r="J3" s="24"/>
      <c r="K3" s="5"/>
    </row>
    <row r="4" spans="1:11" ht="29">
      <c r="A4" s="2" t="s">
        <v>42</v>
      </c>
      <c r="B4" t="s">
        <v>44</v>
      </c>
      <c r="C4" t="s">
        <v>50</v>
      </c>
      <c r="D4" t="s">
        <v>51</v>
      </c>
      <c r="E4" t="s">
        <v>52</v>
      </c>
      <c r="F4" s="33" t="s">
        <v>74</v>
      </c>
    </row>
    <row r="5" spans="1:11">
      <c r="A5">
        <v>0</v>
      </c>
      <c r="C5" s="3">
        <f>C2</f>
        <v>34.053220000000003</v>
      </c>
    </row>
    <row r="6" spans="1:11">
      <c r="A6">
        <v>1</v>
      </c>
      <c r="B6">
        <v>30</v>
      </c>
      <c r="C6" s="3">
        <f>$C$3*B6+(1-$C$3)*C5</f>
        <v>34.052814263760915</v>
      </c>
      <c r="D6" s="3">
        <f>C5</f>
        <v>34.053220000000003</v>
      </c>
      <c r="E6" s="3">
        <f>B6-D6</f>
        <v>-4.0532200000000032</v>
      </c>
      <c r="F6" s="7">
        <f>E6/D6</f>
        <v>-0.11902604217750928</v>
      </c>
    </row>
    <row r="7" spans="1:11">
      <c r="A7">
        <v>2</v>
      </c>
      <c r="B7">
        <v>50</v>
      </c>
      <c r="C7" s="3">
        <f t="shared" ref="C7:C15" si="0">$C$3*B7+(1-$C$3)*C6</f>
        <v>34.05441061213692</v>
      </c>
      <c r="D7" s="3">
        <f t="shared" ref="D7:D15" si="1">C6</f>
        <v>34.052814263760915</v>
      </c>
      <c r="E7" s="3">
        <f t="shared" ref="E7:E15" si="2">B7-D7</f>
        <v>15.947185736239085</v>
      </c>
      <c r="F7" s="7">
        <f t="shared" ref="F7:F15" si="3">E7/D7</f>
        <v>0.4683074242474613</v>
      </c>
    </row>
    <row r="8" spans="1:11">
      <c r="A8">
        <v>3</v>
      </c>
      <c r="B8">
        <v>30</v>
      </c>
      <c r="C8" s="3">
        <f t="shared" si="0"/>
        <v>34.054004756714939</v>
      </c>
      <c r="D8" s="3">
        <f t="shared" si="1"/>
        <v>34.05441061213692</v>
      </c>
      <c r="E8" s="3">
        <f t="shared" si="2"/>
        <v>-4.0544106121369197</v>
      </c>
      <c r="F8" s="7">
        <f t="shared" si="3"/>
        <v>-0.1190568428364441</v>
      </c>
    </row>
    <row r="9" spans="1:11">
      <c r="A9">
        <v>4</v>
      </c>
      <c r="B9">
        <v>60</v>
      </c>
      <c r="C9" s="3">
        <f t="shared" si="0"/>
        <v>34.056602007919984</v>
      </c>
      <c r="D9" s="3">
        <f t="shared" si="1"/>
        <v>34.054004756714939</v>
      </c>
      <c r="E9" s="3">
        <f t="shared" si="2"/>
        <v>25.945995243285061</v>
      </c>
      <c r="F9" s="7">
        <f t="shared" si="3"/>
        <v>0.7619073124775112</v>
      </c>
    </row>
    <row r="10" spans="1:11">
      <c r="A10">
        <v>5</v>
      </c>
      <c r="B10">
        <v>10</v>
      </c>
      <c r="C10" s="3">
        <f t="shared" si="0"/>
        <v>34.054193889134467</v>
      </c>
      <c r="D10" s="3">
        <f t="shared" si="1"/>
        <v>34.056602007919984</v>
      </c>
      <c r="E10" s="3">
        <f t="shared" si="2"/>
        <v>-24.056602007919984</v>
      </c>
      <c r="F10" s="7">
        <f t="shared" si="3"/>
        <v>-0.70637117591254517</v>
      </c>
    </row>
    <row r="11" spans="1:11">
      <c r="A11">
        <v>6</v>
      </c>
      <c r="B11">
        <v>40</v>
      </c>
      <c r="C11" s="3">
        <f t="shared" si="0"/>
        <v>34.054789077406937</v>
      </c>
      <c r="D11" s="3">
        <f t="shared" si="1"/>
        <v>34.054193889134467</v>
      </c>
      <c r="E11" s="3">
        <f t="shared" si="2"/>
        <v>5.9458061108655329</v>
      </c>
      <c r="F11" s="7">
        <f t="shared" si="3"/>
        <v>0.17459835138727617</v>
      </c>
    </row>
    <row r="12" spans="1:11">
      <c r="A12">
        <v>7</v>
      </c>
      <c r="B12">
        <v>30</v>
      </c>
      <c r="C12" s="3">
        <f t="shared" si="0"/>
        <v>34.054383184099748</v>
      </c>
      <c r="D12" s="3">
        <f t="shared" si="1"/>
        <v>34.054789077406937</v>
      </c>
      <c r="E12" s="3">
        <f t="shared" si="2"/>
        <v>-4.0547890774069373</v>
      </c>
      <c r="F12" s="7">
        <f t="shared" si="3"/>
        <v>-0.11906663313022887</v>
      </c>
    </row>
    <row r="13" spans="1:11">
      <c r="A13">
        <v>8</v>
      </c>
      <c r="B13">
        <v>30</v>
      </c>
      <c r="C13" s="3">
        <f t="shared" si="0"/>
        <v>34.053977331423376</v>
      </c>
      <c r="D13" s="3">
        <f t="shared" si="1"/>
        <v>34.054383184099748</v>
      </c>
      <c r="E13" s="3">
        <f t="shared" si="2"/>
        <v>-4.0543831840997484</v>
      </c>
      <c r="F13" s="7">
        <f t="shared" si="3"/>
        <v>-0.11905613330834813</v>
      </c>
    </row>
    <row r="14" spans="1:11">
      <c r="A14">
        <v>9</v>
      </c>
      <c r="B14">
        <v>20</v>
      </c>
      <c r="C14" s="3">
        <f t="shared" si="0"/>
        <v>34.05257049737375</v>
      </c>
      <c r="D14" s="3">
        <f t="shared" si="1"/>
        <v>34.053977331423376</v>
      </c>
      <c r="E14" s="3">
        <f t="shared" si="2"/>
        <v>-14.053977331423376</v>
      </c>
      <c r="F14" s="7">
        <f t="shared" si="3"/>
        <v>-0.41269708952484208</v>
      </c>
    </row>
    <row r="15" spans="1:11">
      <c r="A15">
        <v>10</v>
      </c>
      <c r="B15">
        <v>40</v>
      </c>
      <c r="C15" s="3">
        <f t="shared" si="0"/>
        <v>34.053165848151309</v>
      </c>
      <c r="D15" s="3">
        <f t="shared" si="1"/>
        <v>34.05257049737375</v>
      </c>
      <c r="E15" s="3">
        <f t="shared" si="2"/>
        <v>5.9474295026262496</v>
      </c>
      <c r="F15" s="7">
        <f t="shared" si="3"/>
        <v>0.17465434813753444</v>
      </c>
    </row>
    <row r="16" spans="1:11">
      <c r="A16">
        <v>11</v>
      </c>
      <c r="C16" s="3"/>
      <c r="D16" s="3"/>
      <c r="E16" s="3"/>
      <c r="H16" s="3"/>
    </row>
    <row r="17" spans="1:11">
      <c r="A17">
        <v>12</v>
      </c>
      <c r="C17" s="3"/>
      <c r="D17" s="3"/>
      <c r="E17" s="3"/>
      <c r="H17" s="3"/>
    </row>
    <row r="18" spans="1:11">
      <c r="A18">
        <v>13</v>
      </c>
      <c r="C18" s="3"/>
      <c r="D18" s="3"/>
      <c r="E18" s="3"/>
      <c r="H18" s="3"/>
    </row>
    <row r="19" spans="1:11">
      <c r="A19">
        <v>14</v>
      </c>
      <c r="H19" s="3"/>
      <c r="J19" s="5"/>
      <c r="K19" s="5"/>
    </row>
    <row r="20" spans="1:11">
      <c r="J20" s="5"/>
      <c r="K20" s="5"/>
    </row>
    <row r="22" spans="1:11">
      <c r="A22" s="3"/>
      <c r="B22" s="3"/>
      <c r="C22" s="3"/>
      <c r="D22" s="3"/>
      <c r="E22" s="3"/>
    </row>
    <row r="23" spans="1:11">
      <c r="A23" s="3"/>
      <c r="B23" s="3"/>
      <c r="C23" s="3"/>
      <c r="D23" s="3"/>
      <c r="E23" s="3"/>
    </row>
    <row r="24" spans="1:11">
      <c r="A24" s="3"/>
      <c r="B24" s="3"/>
      <c r="C24" s="3"/>
      <c r="D24" s="3"/>
      <c r="E24" s="3"/>
    </row>
    <row r="25" spans="1:11">
      <c r="A25" s="3"/>
      <c r="B25" s="3"/>
      <c r="C25" s="3"/>
      <c r="D25" s="3"/>
      <c r="E25" s="3"/>
    </row>
    <row r="26" spans="1:11">
      <c r="A26" s="3"/>
      <c r="B26" s="3"/>
      <c r="C26" s="3"/>
      <c r="D26" s="3"/>
      <c r="E26" s="3"/>
    </row>
    <row r="27" spans="1:11">
      <c r="A27" s="3"/>
      <c r="B27" s="3"/>
      <c r="C27" s="3"/>
      <c r="D27" s="3"/>
      <c r="E27" s="3"/>
    </row>
    <row r="28" spans="1:11">
      <c r="A28" s="3"/>
      <c r="B28" s="3"/>
      <c r="C28" s="3"/>
      <c r="D28" s="3"/>
      <c r="E28" s="3"/>
    </row>
    <row r="29" spans="1:11">
      <c r="A29" s="3"/>
      <c r="B29" s="3"/>
      <c r="C29" s="3"/>
      <c r="D29" s="3"/>
      <c r="E29" s="3"/>
    </row>
    <row r="30" spans="1:11">
      <c r="A30" s="3"/>
      <c r="B30" s="3"/>
      <c r="C30" s="3"/>
      <c r="D30" s="3"/>
      <c r="E30" s="3"/>
    </row>
    <row r="31" spans="1:11">
      <c r="A31" s="3"/>
      <c r="B31" s="3"/>
      <c r="C31" s="3"/>
      <c r="D31" s="3"/>
      <c r="E31" s="3"/>
    </row>
    <row r="33" customFormat="1" ht="26.4" customHeight="1"/>
  </sheetData>
  <mergeCells count="3">
    <mergeCell ref="A1:C1"/>
    <mergeCell ref="A2:B2"/>
    <mergeCell ref="A3:B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846F99B6B8D428F9F7C242A6AB43C" ma:contentTypeVersion="3" ma:contentTypeDescription="Create a new document." ma:contentTypeScope="" ma:versionID="b73aa369982c0e65af77f8cfa86d2807">
  <xsd:schema xmlns:xsd="http://www.w3.org/2001/XMLSchema" xmlns:xs="http://www.w3.org/2001/XMLSchema" xmlns:p="http://schemas.microsoft.com/office/2006/metadata/properties" xmlns:ns2="b943f129-a7cc-4119-8885-bafc764d2a65" targetNamespace="http://schemas.microsoft.com/office/2006/metadata/properties" ma:root="true" ma:fieldsID="4651074ac392566ed8a2bce3b6e12e1d" ns2:_="">
    <xsd:import namespace="b943f129-a7cc-4119-8885-bafc764d2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3f129-a7cc-4119-8885-bafc764d2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47E939-E949-49E5-A268-5286D5F9383A}"/>
</file>

<file path=customXml/itemProps2.xml><?xml version="1.0" encoding="utf-8"?>
<ds:datastoreItem xmlns:ds="http://schemas.openxmlformats.org/officeDocument/2006/customXml" ds:itemID="{DDFDF7FE-688A-477B-8DCD-A90476722FAC}"/>
</file>

<file path=customXml/itemProps3.xml><?xml version="1.0" encoding="utf-8"?>
<ds:datastoreItem xmlns:ds="http://schemas.openxmlformats.org/officeDocument/2006/customXml" ds:itemID="{68BB67DA-690D-4180-83E3-D2E270E293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wgtAvg</vt:lpstr>
      <vt:lpstr>selectedETS</vt:lpstr>
      <vt:lpstr>ETS_ANN</vt:lpstr>
      <vt:lpstr>ETS_MNN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Kannapha Amaruchkul</cp:lastModifiedBy>
  <dcterms:created xsi:type="dcterms:W3CDTF">2023-01-25T07:01:10Z</dcterms:created>
  <dcterms:modified xsi:type="dcterms:W3CDTF">2026-06-12T08:02:35Z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0x010100C4F846F99B6B8D428F9F7C242A6AB43C</vt:lpwstr>
  </property>
</Properties>
</file>