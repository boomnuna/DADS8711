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00229\Documents\GitHub\DADS8711\Practice\01_TSoverview\"/>
    </mc:Choice>
  </mc:AlternateContent>
  <xr:revisionPtr revIDLastSave="0" documentId="13_ncr:1_{B41BE623-E20D-4EC2-B552-B853D288ED0D}" xr6:coauthVersionLast="47" xr6:coauthVersionMax="47" xr10:uidLastSave="{00000000-0000-0000-0000-000000000000}"/>
  <bookViews>
    <workbookView xWindow="-120" yWindow="-120" windowWidth="29040" windowHeight="15720" activeTab="2" xr2:uid="{D17E8219-D62D-42DE-9174-AFE1C10CFFFF}"/>
  </bookViews>
  <sheets>
    <sheet name="2A" sheetId="1" r:id="rId1"/>
    <sheet name="aus_production" sheetId="3" r:id="rId2"/>
    <sheet name="probFCEval" sheetId="4" r:id="rId3"/>
    <sheet name="Sheet3" sheetId="5" r:id="rId4"/>
    <sheet name="Sheet2" sheetId="2" r:id="rId5"/>
  </sheets>
  <definedNames>
    <definedName name="solver_adj" localSheetId="2" hidden="1">probFCEval!$D$4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probFCEval!$D$4</definedName>
    <definedName name="solver_lhs2" localSheetId="2" hidden="1">probFCEval!$D$4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probFCEval!$D$5</definedName>
    <definedName name="solver_pre" localSheetId="2" hidden="1">0.000001</definedName>
    <definedName name="solver_rbv" localSheetId="2" hidden="1">2</definedName>
    <definedName name="solver_rel1" localSheetId="2" hidden="1">1</definedName>
    <definedName name="solver_rel2" localSheetId="2" hidden="1">3</definedName>
    <definedName name="solver_rhs1" localSheetId="2" hidden="1">1</definedName>
    <definedName name="solver_rhs2" localSheetId="2" hidden="1">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" i="4" l="1"/>
  <c r="D2" i="4" a="1"/>
  <c r="D2" i="4" s="1"/>
  <c r="X8" i="4"/>
  <c r="I8" i="4"/>
  <c r="K8" i="4" s="1"/>
  <c r="I27" i="4"/>
  <c r="J27" i="4" s="1"/>
  <c r="L27" i="4" s="1"/>
  <c r="M27" i="4" s="1"/>
  <c r="I28" i="4"/>
  <c r="J28" i="4" s="1"/>
  <c r="L28" i="4" s="1"/>
  <c r="M28" i="4" s="1"/>
  <c r="I29" i="4"/>
  <c r="J29" i="4" s="1"/>
  <c r="K29" i="4" s="1"/>
  <c r="I26" i="4"/>
  <c r="J26" i="4" s="1"/>
  <c r="L26" i="4" s="1"/>
  <c r="M26" i="4" s="1"/>
  <c r="AF4" i="1" a="1"/>
  <c r="AF4" i="1" s="1"/>
  <c r="AF8" i="1"/>
  <c r="AF9" i="1"/>
  <c r="AF10" i="1"/>
  <c r="AF11" i="1"/>
  <c r="AF12" i="1"/>
  <c r="AF13" i="1"/>
  <c r="AF7" i="1"/>
  <c r="AM11" i="4"/>
  <c r="AL11" i="4"/>
  <c r="AM10" i="4"/>
  <c r="AL10" i="4"/>
  <c r="AM9" i="4"/>
  <c r="AL9" i="4"/>
  <c r="AM8" i="4"/>
  <c r="AL8" i="4"/>
  <c r="W9" i="4"/>
  <c r="W10" i="4"/>
  <c r="W11" i="4"/>
  <c r="W8" i="4"/>
  <c r="X9" i="4"/>
  <c r="X10" i="4"/>
  <c r="X11" i="4"/>
  <c r="I9" i="4"/>
  <c r="K9" i="4" s="1"/>
  <c r="I10" i="4"/>
  <c r="K10" i="4" s="1"/>
  <c r="L10" i="4" s="1"/>
  <c r="I11" i="4"/>
  <c r="K11" i="4" s="1"/>
  <c r="L11" i="4" s="1"/>
  <c r="Y8" i="4" l="1"/>
  <c r="Z8" i="4" s="1"/>
  <c r="AA8" i="4" s="1"/>
  <c r="AN8" i="4"/>
  <c r="AN9" i="4"/>
  <c r="AO9" i="4" s="1"/>
  <c r="AN10" i="4"/>
  <c r="AO10" i="4" s="1"/>
  <c r="AN11" i="4"/>
  <c r="AO11" i="4" s="1"/>
  <c r="L29" i="4"/>
  <c r="M29" i="4" s="1"/>
  <c r="N29" i="4" s="1"/>
  <c r="K28" i="4"/>
  <c r="N28" i="4" s="1"/>
  <c r="K27" i="4"/>
  <c r="N27" i="4" s="1"/>
  <c r="K26" i="4"/>
  <c r="N26" i="4" s="1"/>
  <c r="L9" i="4"/>
  <c r="L8" i="4"/>
  <c r="AO8" i="4"/>
  <c r="Y11" i="4"/>
  <c r="Z11" i="4" s="1"/>
  <c r="AA11" i="4" s="1"/>
  <c r="Y10" i="4"/>
  <c r="Z10" i="4" s="1"/>
  <c r="AA10" i="4" s="1"/>
  <c r="Y9" i="4"/>
  <c r="Z9" i="4" s="1"/>
  <c r="AA9" i="4" s="1"/>
  <c r="J8" i="4"/>
  <c r="J10" i="4"/>
  <c r="M10" i="4" s="1"/>
  <c r="J11" i="4"/>
  <c r="M11" i="4" s="1"/>
  <c r="J9" i="4"/>
  <c r="R5" i="4" l="1"/>
  <c r="D23" i="4"/>
  <c r="M9" i="4"/>
  <c r="D5" i="4"/>
  <c r="AQ10" i="4"/>
  <c r="AR10" i="4" s="1"/>
  <c r="AS10" i="4" s="1"/>
  <c r="AP10" i="4"/>
  <c r="AQ9" i="4"/>
  <c r="AP9" i="4"/>
  <c r="AQ11" i="4"/>
  <c r="AP11" i="4"/>
  <c r="AQ8" i="4"/>
  <c r="AP8" i="4"/>
  <c r="AR8" i="4" l="1"/>
  <c r="AS8" i="4" s="1"/>
  <c r="AR11" i="4"/>
  <c r="AS11" i="4" s="1"/>
  <c r="AR9" i="4"/>
  <c r="AS9" i="4" s="1"/>
  <c r="AG5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<sst xmlns="http://schemas.openxmlformats.org/spreadsheetml/2006/main" count="408" uniqueCount="273">
  <si>
    <t>Set</t>
  </si>
  <si>
    <t>t</t>
  </si>
  <si>
    <t>Date</t>
  </si>
  <si>
    <t>Train</t>
  </si>
  <si>
    <t>Test</t>
  </si>
  <si>
    <t>Demand
StoreID=2, SKU=A</t>
  </si>
  <si>
    <t>Demand</t>
  </si>
  <si>
    <t>Year</t>
  </si>
  <si>
    <t>Qtr</t>
  </si>
  <si>
    <t>Q1</t>
  </si>
  <si>
    <t>Q2</t>
  </si>
  <si>
    <t>Q3</t>
  </si>
  <si>
    <t>Q4</t>
  </si>
  <si>
    <t>PromotionType</t>
  </si>
  <si>
    <t>Quarter</t>
  </si>
  <si>
    <t>Beer</t>
  </si>
  <si>
    <t>Tobacco</t>
  </si>
  <si>
    <t>Bricks</t>
  </si>
  <si>
    <t>Cement</t>
  </si>
  <si>
    <t>Electricity</t>
  </si>
  <si>
    <t>Gas</t>
  </si>
  <si>
    <t>1956 Q1</t>
  </si>
  <si>
    <t>1956 Q2</t>
  </si>
  <si>
    <t>1956 Q3</t>
  </si>
  <si>
    <t>1956 Q4</t>
  </si>
  <si>
    <t>1957 Q1</t>
  </si>
  <si>
    <t>1957 Q2</t>
  </si>
  <si>
    <t>1957 Q3</t>
  </si>
  <si>
    <t>1957 Q4</t>
  </si>
  <si>
    <t>1958 Q1</t>
  </si>
  <si>
    <t>1958 Q2</t>
  </si>
  <si>
    <t>1958 Q3</t>
  </si>
  <si>
    <t>1958 Q4</t>
  </si>
  <si>
    <t>1959 Q1</t>
  </si>
  <si>
    <t>1959 Q2</t>
  </si>
  <si>
    <t>1959 Q3</t>
  </si>
  <si>
    <t>1959 Q4</t>
  </si>
  <si>
    <t>1960 Q1</t>
  </si>
  <si>
    <t>1960 Q2</t>
  </si>
  <si>
    <t>1960 Q3</t>
  </si>
  <si>
    <t>1960 Q4</t>
  </si>
  <si>
    <t>1961 Q1</t>
  </si>
  <si>
    <t>1961 Q2</t>
  </si>
  <si>
    <t>1961 Q3</t>
  </si>
  <si>
    <t>1961 Q4</t>
  </si>
  <si>
    <t>1962 Q1</t>
  </si>
  <si>
    <t>1962 Q2</t>
  </si>
  <si>
    <t>1962 Q3</t>
  </si>
  <si>
    <t>1962 Q4</t>
  </si>
  <si>
    <t>1963 Q1</t>
  </si>
  <si>
    <t>1963 Q2</t>
  </si>
  <si>
    <t>1963 Q3</t>
  </si>
  <si>
    <t>1963 Q4</t>
  </si>
  <si>
    <t>1964 Q1</t>
  </si>
  <si>
    <t>1964 Q2</t>
  </si>
  <si>
    <t>1964 Q3</t>
  </si>
  <si>
    <t>1964 Q4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</si>
  <si>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</si>
  <si>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</si>
  <si>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</si>
  <si>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</si>
  <si>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</si>
  <si>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</si>
  <si>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</si>
  <si>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</si>
  <si>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</si>
  <si>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</si>
  <si>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</si>
  <si>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</si>
  <si>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</si>
  <si>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</si>
  <si>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</si>
  <si>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</si>
  <si>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</si>
  <si>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</si>
  <si>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</si>
  <si>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</si>
  <si>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</si>
  <si>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</si>
  <si>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</si>
  <si>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</si>
  <si>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</si>
  <si>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</si>
  <si>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</si>
  <si>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</si>
  <si>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</si>
  <si>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</si>
  <si>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</si>
  <si>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</si>
  <si>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</si>
  <si>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</si>
  <si>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</si>
  <si>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</si>
  <si>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</si>
  <si>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</si>
  <si>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</si>
  <si>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</si>
  <si>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</si>
  <si>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</si>
  <si>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</si>
  <si>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</si>
  <si>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</si>
  <si>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</si>
  <si>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</si>
  <si>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</si>
  <si>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</si>
  <si>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</si>
  <si>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</si>
  <si>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</si>
  <si>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</si>
  <si>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</si>
  <si>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</si>
  <si>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</si>
  <si>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</si>
  <si>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</si>
  <si>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</si>
  <si>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</si>
  <si>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</si>
  <si>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</si>
  <si>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</si>
  <si>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</si>
  <si>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</si>
  <si>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</si>
  <si>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</si>
  <si>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</si>
  <si>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</si>
  <si>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</si>
  <si>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</si>
  <si>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</si>
  <si>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</si>
  <si>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</si>
  <si>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</si>
  <si>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</si>
  <si>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</si>
  <si>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</si>
  <si>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</si>
  <si>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</si>
  <si>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</si>
  <si>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</si>
  <si>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</si>
  <si>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</si>
  <si>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</si>
  <si>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</si>
  <si>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</si>
  <si>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</si>
  <si>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</si>
  <si>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</si>
  <si>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</si>
  <si>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</si>
  <si>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</si>
  <si>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</si>
  <si>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</si>
  <si>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</si>
  <si>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</si>
  <si>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</si>
  <si>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</si>
  <si>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</si>
  <si>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</si>
  <si>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</si>
  <si>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</si>
  <si>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</si>
  <si>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</si>
  <si>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</si>
  <si>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</si>
  <si>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</si>
  <si>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</si>
  <si>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</si>
  <si>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</si>
  <si>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</si>
  <si>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</si>
  <si>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</si>
  <si>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</si>
  <si>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</si>
  <si>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</si>
  <si>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</si>
  <si>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</si>
  <si>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</si>
  <si>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</si>
  <si>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</si>
  <si>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</si>
  <si>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</si>
  <si>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</si>
  <si>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</si>
  <si>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</si>
  <si>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</si>
  <si>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</si>
  <si>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</si>
  <si>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</si>
  <si>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</si>
  <si>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</si>
  <si>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</si>
  <si>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</si>
  <si>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</si>
  <si>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</si>
  <si>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</si>
  <si>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</si>
  <si>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</si>
  <si>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</si>
  <si>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</si>
  <si>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</si>
  <si>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</si>
  <si>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</si>
  <si>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</si>
  <si>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</si>
  <si>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</si>
  <si>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</si>
  <si>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</si>
  <si>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</si>
  <si>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</si>
  <si>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</si>
  <si>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</si>
  <si>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</si>
  <si>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</si>
  <si>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</si>
  <si>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</si>
  <si>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</si>
  <si>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NA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</si>
  <si>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</si>
  <si>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</si>
  <si>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</si>
  <si>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</si>
  <si>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</si>
  <si>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</si>
  <si>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</si>
  <si>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</si>
  <si>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</si>
  <si>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</si>
  <si>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</si>
  <si>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</si>
  <si>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</si>
  <si>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</si>
  <si>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</si>
  <si>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</si>
  <si>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</si>
  <si>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</si>
  <si>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</si>
  <si>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</si>
  <si>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</si>
  <si>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</si>
  <si>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</si>
  <si>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Resample #</t>
  </si>
  <si>
    <t>Train &amp; test split</t>
  </si>
  <si>
    <t>TS cross validation</t>
  </si>
  <si>
    <t>FC.Mean</t>
  </si>
  <si>
    <t>Test MAE</t>
  </si>
  <si>
    <t>Prob</t>
  </si>
  <si>
    <t>Quantile score</t>
  </si>
  <si>
    <t>|Error|</t>
  </si>
  <si>
    <t>Weight</t>
  </si>
  <si>
    <t>Weight*|Error|</t>
  </si>
  <si>
    <t>FC.Var</t>
  </si>
  <si>
    <t>Quantile p</t>
  </si>
  <si>
    <t>p Quantile FC</t>
  </si>
  <si>
    <t>Actual</t>
  </si>
  <si>
    <t>Residual</t>
  </si>
  <si>
    <t>(y-mu)/sigma</t>
  </si>
  <si>
    <t>FC.Stdev</t>
  </si>
  <si>
    <t>ERF</t>
  </si>
  <si>
    <t>(y-mu)^2/(2*sigma^2)</t>
  </si>
  <si>
    <t>(y-mu)/(sigma*sqrt(2))</t>
  </si>
  <si>
    <t>Term inside []</t>
  </si>
  <si>
    <t>CRPS</t>
  </si>
  <si>
    <t>sigma*Term</t>
  </si>
  <si>
    <t>Continuous Ranked Probability Score</t>
  </si>
  <si>
    <t>z</t>
  </si>
  <si>
    <t>Term inside[]</t>
  </si>
  <si>
    <t>Stdev*Term</t>
  </si>
  <si>
    <t>Residuals on train</t>
  </si>
  <si>
    <t>Demand2A</t>
  </si>
  <si>
    <t>Index</t>
  </si>
  <si>
    <t>Naïve</t>
  </si>
  <si>
    <t>MAE</t>
  </si>
  <si>
    <t xml:space="preserve">STD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</si>
</sst>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1" xfId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12</xdr:row>
      <xdr:rowOff>123825</xdr:rowOff>
    </xdr:from>
    <xdr:to>
      <xdr:col>8</xdr:col>
      <xdr:colOff>616542</xdr:colOff>
      <xdr:row>18</xdr:row>
      <xdr:rowOff>6486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D70E76-DA9B-D403-848A-6FEA872D0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2105025"/>
          <a:ext cx="4169367" cy="1025661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381000</xdr:colOff>
      <xdr:row>34</xdr:row>
      <xdr:rowOff>92076</xdr:rowOff>
    </xdr:from>
    <xdr:to>
      <xdr:col>27</xdr:col>
      <xdr:colOff>436118</xdr:colOff>
      <xdr:row>47</xdr:row>
      <xdr:rowOff>97507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443A23-002A-54EC-7E26-CAF0EC8E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82475" y="6645276"/>
          <a:ext cx="6751193" cy="2481931"/>
        </a:xfrm>
        <a:prstGeom prst="rect">
          <a:avLst/>
        </a:prstGeom>
      </xdr:spPr>
    </xdr:pic>
    <xdr:clientData/>
  </xdr:twoCellAnchor>
  <xdr:twoCellAnchor editAs="oneCell">
    <xdr:from>
      <xdr:col>18</xdr:col>
      <xdr:colOff>533400</xdr:colOff>
      <xdr:row>23</xdr:row>
      <xdr:rowOff>152400</xdr:rowOff>
    </xdr:from>
    <xdr:to>
      <xdr:col>27</xdr:col>
      <xdr:colOff>115191</xdr:colOff>
      <xdr:row>33</xdr:row>
      <xdr:rowOff>124074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3C7F20-86FA-1633-742F-3525C8636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34875" y="4610100"/>
          <a:ext cx="6277866" cy="1876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AAC4-34C5-42DB-95A0-0AFC49381722}">
  <dimension ref="A1:AF25"/>
  <sheetViews>
    <sheetView topLeftCell="H1" workbookViewId="0">
      <selection activeCell="T20" sqref="T20"/>
    </sheetView>
  </sheetViews>
  <sheetFormatPr defaultRowHeight="15" x14ac:dyDescent="0.25"/>
  <cols>
    <col min="1" max="1" width="21.140625" bestFit="1" customWidth="1"/>
    <col min="2" max="2" width="5.140625" bestFit="1" customWidth="1"/>
    <col min="3" max="3" width="3" bestFit="1" customWidth="1"/>
    <col min="4" max="4" width="15.5703125" customWidth="1"/>
    <col min="5" max="5" width="16" customWidth="1"/>
    <col min="11" max="11" width="23.140625" bestFit="1" customWidth="1"/>
    <col min="12" max="12" width="10.85546875" bestFit="1" customWidth="1"/>
    <col min="31" max="31" width="10.140625" bestFit="1" customWidth="1"/>
  </cols>
  <sheetData>
    <row r="1" spans="1:32" ht="20.25" thickBot="1" x14ac:dyDescent="0.35">
      <c r="A1" s="4" t="s">
        <v>241</v>
      </c>
      <c r="K1" s="4" t="s">
        <v>242</v>
      </c>
      <c r="AB1" s="4" t="s">
        <v>267</v>
      </c>
    </row>
    <row r="2" spans="1:32" ht="45.75" thickTop="1" x14ac:dyDescent="0.25">
      <c r="B2" t="s">
        <v>0</v>
      </c>
      <c r="C2" t="s">
        <v>1</v>
      </c>
      <c r="D2" t="s">
        <v>2</v>
      </c>
      <c r="E2" s="2" t="s">
        <v>5</v>
      </c>
      <c r="L2" t="s">
        <v>1</v>
      </c>
      <c r="M2">
        <v>1</v>
      </c>
      <c r="N2">
        <v>2</v>
      </c>
      <c r="O2">
        <v>3</v>
      </c>
      <c r="P2">
        <v>4</v>
      </c>
      <c r="Q2">
        <v>5</v>
      </c>
      <c r="R2">
        <v>6</v>
      </c>
      <c r="S2">
        <v>7</v>
      </c>
      <c r="T2">
        <v>8</v>
      </c>
      <c r="U2">
        <v>9</v>
      </c>
      <c r="V2">
        <v>10</v>
      </c>
      <c r="W2">
        <v>11</v>
      </c>
      <c r="X2">
        <v>12</v>
      </c>
    </row>
    <row r="3" spans="1:32" x14ac:dyDescent="0.25">
      <c r="B3" t="s">
        <v>3</v>
      </c>
      <c r="C3">
        <v>1</v>
      </c>
      <c r="D3" s="1">
        <v>36892</v>
      </c>
      <c r="E3">
        <v>190</v>
      </c>
      <c r="L3" t="s">
        <v>2</v>
      </c>
      <c r="M3" t="s">
        <v>201</v>
      </c>
      <c r="N3" t="s">
        <v>202</v>
      </c>
      <c r="O3" t="s">
        <v>203</v>
      </c>
      <c r="P3" t="s">
        <v>204</v>
      </c>
      <c r="Q3" t="s">
        <v>205</v>
      </c>
      <c r="R3" t="s">
        <v>206</v>
      </c>
      <c r="S3" t="s">
        <v>207</v>
      </c>
      <c r="T3" t="s">
        <v>208</v>
      </c>
      <c r="U3" t="s">
        <v>209</v>
      </c>
      <c r="V3" t="s">
        <v>210</v>
      </c>
      <c r="W3" t="s">
        <v>211</v>
      </c>
      <c r="X3" t="s">
        <v>212</v>
      </c>
    </row>
    <row r="4" spans="1:32" x14ac:dyDescent="0.25">
      <c r="B4" t="s">
        <v>3</v>
      </c>
      <c r="C4">
        <v>2</v>
      </c>
      <c r="D4" s="1">
        <v>36982</v>
      </c>
      <c r="E4">
        <v>260</v>
      </c>
      <c r="L4" t="s">
        <v>6</v>
      </c>
      <c r="M4">
        <v>190</v>
      </c>
      <c r="N4">
        <v>260</v>
      </c>
      <c r="O4">
        <v>330</v>
      </c>
      <c r="P4">
        <v>480</v>
      </c>
      <c r="Q4">
        <v>570</v>
      </c>
      <c r="R4">
        <v>710</v>
      </c>
      <c r="S4">
        <v>650</v>
      </c>
      <c r="T4">
        <v>690</v>
      </c>
      <c r="U4">
        <v>730</v>
      </c>
      <c r="V4">
        <v>680</v>
      </c>
      <c r="W4">
        <v>660</v>
      </c>
      <c r="X4">
        <v>590</v>
      </c>
      <c r="AE4" t="s">
        <v>271</v>
      </c>
      <c r="AF4" s="5">
        <f t="array" ref="AF4">AVERAGE(ABS(AE7:AE13-AF7:AF13))</f>
        <v>88.571428571428569</v>
      </c>
    </row>
    <row r="5" spans="1:32" x14ac:dyDescent="0.25">
      <c r="B5" t="s">
        <v>3</v>
      </c>
      <c r="C5">
        <v>3</v>
      </c>
      <c r="D5" s="1">
        <v>37073</v>
      </c>
      <c r="E5">
        <v>330</v>
      </c>
      <c r="L5" t="s">
        <v>240</v>
      </c>
      <c r="M5" s="8" t="s">
        <v>3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t="s">
        <v>4</v>
      </c>
      <c r="AD5" t="s">
        <v>269</v>
      </c>
      <c r="AE5" t="s">
        <v>268</v>
      </c>
      <c r="AF5" t="s">
        <v>270</v>
      </c>
    </row>
    <row r="6" spans="1:32" x14ac:dyDescent="0.25">
      <c r="B6" t="s">
        <v>3</v>
      </c>
      <c r="C6">
        <v>4</v>
      </c>
      <c r="D6" s="1">
        <v>37165</v>
      </c>
      <c r="E6">
        <v>480</v>
      </c>
      <c r="L6">
        <v>1</v>
      </c>
      <c r="M6">
        <v>190</v>
      </c>
      <c r="N6">
        <v>260</v>
      </c>
      <c r="O6">
        <v>330</v>
      </c>
      <c r="AC6" t="s">
        <v>3</v>
      </c>
      <c r="AD6">
        <v>1</v>
      </c>
      <c r="AE6">
        <v>190</v>
      </c>
    </row>
    <row r="7" spans="1:32" x14ac:dyDescent="0.25">
      <c r="B7" t="s">
        <v>3</v>
      </c>
      <c r="C7">
        <v>5</v>
      </c>
      <c r="D7" s="1">
        <v>37257</v>
      </c>
      <c r="E7">
        <v>570</v>
      </c>
      <c r="L7">
        <v>2</v>
      </c>
      <c r="M7">
        <v>190</v>
      </c>
      <c r="N7">
        <v>260</v>
      </c>
      <c r="O7">
        <v>330</v>
      </c>
      <c r="P7">
        <v>480</v>
      </c>
      <c r="AC7" t="s">
        <v>3</v>
      </c>
      <c r="AD7">
        <v>2</v>
      </c>
      <c r="AE7">
        <v>260</v>
      </c>
      <c r="AF7">
        <f>AE6</f>
        <v>190</v>
      </c>
    </row>
    <row r="8" spans="1:32" x14ac:dyDescent="0.25">
      <c r="B8" t="s">
        <v>3</v>
      </c>
      <c r="C8">
        <v>6</v>
      </c>
      <c r="D8" s="1">
        <v>37347</v>
      </c>
      <c r="E8">
        <v>710</v>
      </c>
      <c r="L8">
        <v>3</v>
      </c>
      <c r="M8">
        <v>190</v>
      </c>
      <c r="N8">
        <v>260</v>
      </c>
      <c r="O8">
        <v>330</v>
      </c>
      <c r="P8">
        <v>480</v>
      </c>
      <c r="Q8">
        <v>570</v>
      </c>
      <c r="AC8" t="s">
        <v>3</v>
      </c>
      <c r="AD8">
        <v>3</v>
      </c>
      <c r="AE8">
        <v>330</v>
      </c>
      <c r="AF8">
        <f t="shared" ref="AF8:AF13" si="0">AE7</f>
        <v>260</v>
      </c>
    </row>
    <row r="9" spans="1:32" x14ac:dyDescent="0.25">
      <c r="B9" t="s">
        <v>3</v>
      </c>
      <c r="C9">
        <v>7</v>
      </c>
      <c r="D9" s="1">
        <v>37438</v>
      </c>
      <c r="E9">
        <v>650</v>
      </c>
      <c r="L9">
        <v>4</v>
      </c>
      <c r="M9">
        <v>190</v>
      </c>
      <c r="N9">
        <v>260</v>
      </c>
      <c r="O9">
        <v>330</v>
      </c>
      <c r="P9">
        <v>480</v>
      </c>
      <c r="Q9">
        <v>570</v>
      </c>
      <c r="R9">
        <v>710</v>
      </c>
      <c r="AC9" t="s">
        <v>3</v>
      </c>
      <c r="AD9">
        <v>4</v>
      </c>
      <c r="AE9">
        <v>480</v>
      </c>
      <c r="AF9">
        <f t="shared" si="0"/>
        <v>330</v>
      </c>
    </row>
    <row r="10" spans="1:32" x14ac:dyDescent="0.25">
      <c r="B10" t="s">
        <v>3</v>
      </c>
      <c r="C10">
        <v>8</v>
      </c>
      <c r="D10" s="1">
        <v>37530</v>
      </c>
      <c r="E10">
        <v>690</v>
      </c>
      <c r="L10">
        <v>5</v>
      </c>
      <c r="M10">
        <v>190</v>
      </c>
      <c r="N10">
        <v>260</v>
      </c>
      <c r="O10">
        <v>330</v>
      </c>
      <c r="P10">
        <v>480</v>
      </c>
      <c r="Q10">
        <v>570</v>
      </c>
      <c r="R10">
        <v>710</v>
      </c>
      <c r="S10">
        <v>650</v>
      </c>
      <c r="AC10" t="s">
        <v>3</v>
      </c>
      <c r="AD10">
        <v>5</v>
      </c>
      <c r="AE10">
        <v>570</v>
      </c>
      <c r="AF10">
        <f t="shared" si="0"/>
        <v>480</v>
      </c>
    </row>
    <row r="11" spans="1:32" x14ac:dyDescent="0.25">
      <c r="B11" t="s">
        <v>4</v>
      </c>
      <c r="C11">
        <v>9</v>
      </c>
      <c r="D11" s="1">
        <v>37622</v>
      </c>
      <c r="E11">
        <v>730</v>
      </c>
      <c r="L11">
        <v>6</v>
      </c>
      <c r="AC11" t="s">
        <v>3</v>
      </c>
      <c r="AD11">
        <v>6</v>
      </c>
      <c r="AE11">
        <v>710</v>
      </c>
      <c r="AF11">
        <f t="shared" si="0"/>
        <v>570</v>
      </c>
    </row>
    <row r="12" spans="1:32" x14ac:dyDescent="0.25">
      <c r="B12" t="s">
        <v>4</v>
      </c>
      <c r="C12">
        <v>10</v>
      </c>
      <c r="D12" s="1">
        <v>37712</v>
      </c>
      <c r="E12">
        <v>680</v>
      </c>
      <c r="L12">
        <v>7</v>
      </c>
      <c r="AC12" t="s">
        <v>3</v>
      </c>
      <c r="AD12">
        <v>7</v>
      </c>
      <c r="AE12">
        <v>650</v>
      </c>
      <c r="AF12">
        <f t="shared" si="0"/>
        <v>710</v>
      </c>
    </row>
    <row r="13" spans="1:32" x14ac:dyDescent="0.25">
      <c r="B13" t="s">
        <v>4</v>
      </c>
      <c r="C13">
        <v>11</v>
      </c>
      <c r="D13" s="1">
        <v>37803</v>
      </c>
      <c r="E13">
        <v>660</v>
      </c>
      <c r="L13">
        <v>8</v>
      </c>
      <c r="AC13" t="s">
        <v>3</v>
      </c>
      <c r="AD13">
        <v>8</v>
      </c>
      <c r="AE13">
        <v>690</v>
      </c>
      <c r="AF13">
        <f t="shared" si="0"/>
        <v>650</v>
      </c>
    </row>
    <row r="14" spans="1:32" x14ac:dyDescent="0.25">
      <c r="B14" t="s">
        <v>4</v>
      </c>
      <c r="C14">
        <v>12</v>
      </c>
      <c r="D14" s="1">
        <v>37895</v>
      </c>
      <c r="E14">
        <v>590</v>
      </c>
      <c r="L14">
        <v>9</v>
      </c>
    </row>
    <row r="17" spans="3:4" x14ac:dyDescent="0.25">
      <c r="D17" s="2"/>
    </row>
    <row r="18" spans="3:4" x14ac:dyDescent="0.25">
      <c r="C18" s="1"/>
    </row>
    <row r="19" spans="3:4" x14ac:dyDescent="0.25">
      <c r="C19" s="1"/>
    </row>
    <row r="20" spans="3:4" x14ac:dyDescent="0.25">
      <c r="C20" s="1"/>
    </row>
    <row r="21" spans="3:4" x14ac:dyDescent="0.25">
      <c r="C21" s="1"/>
    </row>
    <row r="22" spans="3:4" x14ac:dyDescent="0.25">
      <c r="C22" s="1"/>
    </row>
    <row r="23" spans="3:4" x14ac:dyDescent="0.25">
      <c r="C23" s="1"/>
    </row>
    <row r="24" spans="3:4" x14ac:dyDescent="0.25">
      <c r="C24" s="1"/>
    </row>
    <row r="25" spans="3:4" x14ac:dyDescent="0.25">
      <c r="C25" s="1"/>
    </row>
  </sheetData>
  <mergeCells count="1">
    <mergeCell ref="M5:X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E85B-C4BB-4CB6-8BF0-E788C6F797FA}">
  <dimension ref="A1:G219"/>
  <sheetViews>
    <sheetView workbookViewId="0">
      <selection activeCell="M15" sqref="M15"/>
    </sheetView>
  </sheetViews>
  <sheetFormatPr defaultRowHeight="15" x14ac:dyDescent="0.25"/>
  <sheetData>
    <row r="1" spans="1:7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5">
      <c r="A2" t="s">
        <v>21</v>
      </c>
      <c r="B2">
        <v>284</v>
      </c>
      <c r="C2">
        <v>5225</v>
      </c>
      <c r="D2">
        <v>189</v>
      </c>
      <c r="E2">
        <v>465</v>
      </c>
      <c r="F2">
        <v>3923</v>
      </c>
      <c r="G2">
        <v>5</v>
      </c>
    </row>
    <row r="3" spans="1:7" x14ac:dyDescent="0.25">
      <c r="A3" t="s">
        <v>22</v>
      </c>
      <c r="B3">
        <v>213</v>
      </c>
      <c r="C3">
        <v>5178</v>
      </c>
      <c r="D3">
        <v>204</v>
      </c>
      <c r="E3">
        <v>532</v>
      </c>
      <c r="F3">
        <v>4436</v>
      </c>
      <c r="G3">
        <v>6</v>
      </c>
    </row>
    <row r="4" spans="1:7" x14ac:dyDescent="0.25">
      <c r="A4" t="s">
        <v>23</v>
      </c>
      <c r="B4">
        <v>227</v>
      </c>
      <c r="C4">
        <v>5297</v>
      </c>
      <c r="D4">
        <v>208</v>
      </c>
      <c r="E4">
        <v>561</v>
      </c>
      <c r="F4">
        <v>4806</v>
      </c>
      <c r="G4">
        <v>7</v>
      </c>
    </row>
    <row r="5" spans="1:7" x14ac:dyDescent="0.25">
      <c r="A5" t="s">
        <v>24</v>
      </c>
      <c r="B5">
        <v>308</v>
      </c>
      <c r="C5">
        <v>5681</v>
      </c>
      <c r="D5">
        <v>197</v>
      </c>
      <c r="E5">
        <v>570</v>
      </c>
      <c r="F5">
        <v>4418</v>
      </c>
      <c r="G5">
        <v>6</v>
      </c>
    </row>
    <row r="6" spans="1:7" x14ac:dyDescent="0.25">
      <c r="A6" t="s">
        <v>25</v>
      </c>
      <c r="B6">
        <v>262</v>
      </c>
      <c r="C6">
        <v>5577</v>
      </c>
      <c r="D6">
        <v>187</v>
      </c>
      <c r="E6">
        <v>529</v>
      </c>
      <c r="F6">
        <v>4339</v>
      </c>
      <c r="G6">
        <v>5</v>
      </c>
    </row>
    <row r="7" spans="1:7" x14ac:dyDescent="0.25">
      <c r="A7" t="s">
        <v>26</v>
      </c>
      <c r="B7">
        <v>228</v>
      </c>
      <c r="C7">
        <v>5651</v>
      </c>
      <c r="D7">
        <v>214</v>
      </c>
      <c r="E7">
        <v>604</v>
      </c>
      <c r="F7">
        <v>4811</v>
      </c>
      <c r="G7">
        <v>7</v>
      </c>
    </row>
    <row r="8" spans="1:7" x14ac:dyDescent="0.25">
      <c r="A8" t="s">
        <v>27</v>
      </c>
      <c r="B8">
        <v>236</v>
      </c>
      <c r="C8">
        <v>5317</v>
      </c>
      <c r="D8">
        <v>227</v>
      </c>
      <c r="E8">
        <v>603</v>
      </c>
      <c r="F8">
        <v>5259</v>
      </c>
      <c r="G8">
        <v>7</v>
      </c>
    </row>
    <row r="9" spans="1:7" x14ac:dyDescent="0.25">
      <c r="A9" t="s">
        <v>28</v>
      </c>
      <c r="B9">
        <v>320</v>
      </c>
      <c r="C9">
        <v>6152</v>
      </c>
      <c r="D9">
        <v>222</v>
      </c>
      <c r="E9">
        <v>582</v>
      </c>
      <c r="F9">
        <v>4735</v>
      </c>
      <c r="G9">
        <v>6</v>
      </c>
    </row>
    <row r="10" spans="1:7" x14ac:dyDescent="0.25">
      <c r="A10" t="s">
        <v>29</v>
      </c>
      <c r="B10">
        <v>272</v>
      </c>
      <c r="C10">
        <v>5758</v>
      </c>
      <c r="D10">
        <v>199</v>
      </c>
      <c r="E10">
        <v>554</v>
      </c>
      <c r="F10">
        <v>4608</v>
      </c>
      <c r="G10">
        <v>5</v>
      </c>
    </row>
    <row r="11" spans="1:7" x14ac:dyDescent="0.25">
      <c r="A11" t="s">
        <v>30</v>
      </c>
      <c r="B11">
        <v>233</v>
      </c>
      <c r="C11">
        <v>5641</v>
      </c>
      <c r="D11">
        <v>229</v>
      </c>
      <c r="E11">
        <v>620</v>
      </c>
      <c r="F11">
        <v>5196</v>
      </c>
      <c r="G11">
        <v>7</v>
      </c>
    </row>
    <row r="12" spans="1:7" x14ac:dyDescent="0.25">
      <c r="A12" t="s">
        <v>31</v>
      </c>
      <c r="B12">
        <v>237</v>
      </c>
      <c r="C12">
        <v>5802</v>
      </c>
      <c r="D12">
        <v>249</v>
      </c>
      <c r="E12">
        <v>646</v>
      </c>
      <c r="F12">
        <v>5609</v>
      </c>
      <c r="G12">
        <v>8</v>
      </c>
    </row>
    <row r="13" spans="1:7" x14ac:dyDescent="0.25">
      <c r="A13" t="s">
        <v>32</v>
      </c>
      <c r="B13">
        <v>313</v>
      </c>
      <c r="C13">
        <v>6265</v>
      </c>
      <c r="D13">
        <v>234</v>
      </c>
      <c r="E13">
        <v>637</v>
      </c>
      <c r="F13">
        <v>4977</v>
      </c>
      <c r="G13">
        <v>6</v>
      </c>
    </row>
    <row r="14" spans="1:7" x14ac:dyDescent="0.25">
      <c r="A14" t="s">
        <v>33</v>
      </c>
      <c r="B14">
        <v>261</v>
      </c>
      <c r="C14">
        <v>5478</v>
      </c>
      <c r="D14">
        <v>208</v>
      </c>
      <c r="E14">
        <v>573</v>
      </c>
      <c r="F14">
        <v>4883</v>
      </c>
      <c r="G14">
        <v>5</v>
      </c>
    </row>
    <row r="15" spans="1:7" x14ac:dyDescent="0.25">
      <c r="A15" t="s">
        <v>34</v>
      </c>
      <c r="B15">
        <v>227</v>
      </c>
      <c r="C15">
        <v>5892</v>
      </c>
      <c r="D15">
        <v>251</v>
      </c>
      <c r="E15">
        <v>673</v>
      </c>
      <c r="F15">
        <v>5744</v>
      </c>
      <c r="G15">
        <v>7</v>
      </c>
    </row>
    <row r="16" spans="1:7" x14ac:dyDescent="0.25">
      <c r="A16" t="s">
        <v>35</v>
      </c>
      <c r="B16">
        <v>250</v>
      </c>
      <c r="C16">
        <v>5952</v>
      </c>
      <c r="D16">
        <v>267</v>
      </c>
      <c r="E16">
        <v>690</v>
      </c>
      <c r="F16">
        <v>6035</v>
      </c>
      <c r="G16">
        <v>8</v>
      </c>
    </row>
    <row r="17" spans="1:7" x14ac:dyDescent="0.25">
      <c r="A17" t="s">
        <v>36</v>
      </c>
      <c r="B17">
        <v>314</v>
      </c>
      <c r="C17">
        <v>6597</v>
      </c>
      <c r="D17">
        <v>255</v>
      </c>
      <c r="E17">
        <v>681</v>
      </c>
      <c r="F17">
        <v>5514</v>
      </c>
      <c r="G17">
        <v>6</v>
      </c>
    </row>
    <row r="18" spans="1:7" x14ac:dyDescent="0.25">
      <c r="A18" t="s">
        <v>37</v>
      </c>
      <c r="B18">
        <v>286</v>
      </c>
      <c r="C18">
        <v>5980</v>
      </c>
      <c r="D18">
        <v>242</v>
      </c>
      <c r="E18">
        <v>621</v>
      </c>
      <c r="F18">
        <v>5387</v>
      </c>
      <c r="G18">
        <v>6</v>
      </c>
    </row>
    <row r="19" spans="1:7" x14ac:dyDescent="0.25">
      <c r="A19" t="s">
        <v>38</v>
      </c>
      <c r="B19">
        <v>227</v>
      </c>
      <c r="C19">
        <v>6154</v>
      </c>
      <c r="D19">
        <v>268</v>
      </c>
      <c r="E19">
        <v>698</v>
      </c>
      <c r="F19">
        <v>6211</v>
      </c>
      <c r="G19">
        <v>8</v>
      </c>
    </row>
    <row r="20" spans="1:7" x14ac:dyDescent="0.25">
      <c r="A20" t="s">
        <v>39</v>
      </c>
      <c r="B20">
        <v>260</v>
      </c>
      <c r="C20">
        <v>5478</v>
      </c>
      <c r="D20">
        <v>290</v>
      </c>
      <c r="E20">
        <v>753</v>
      </c>
      <c r="F20">
        <v>6659</v>
      </c>
      <c r="G20">
        <v>8</v>
      </c>
    </row>
    <row r="21" spans="1:7" x14ac:dyDescent="0.25">
      <c r="A21" t="s">
        <v>40</v>
      </c>
      <c r="B21">
        <v>311</v>
      </c>
      <c r="C21">
        <v>6716</v>
      </c>
      <c r="D21">
        <v>277</v>
      </c>
      <c r="E21">
        <v>728</v>
      </c>
      <c r="F21">
        <v>5983</v>
      </c>
      <c r="G21">
        <v>7</v>
      </c>
    </row>
    <row r="22" spans="1:7" x14ac:dyDescent="0.25">
      <c r="A22" t="s">
        <v>41</v>
      </c>
      <c r="B22">
        <v>295</v>
      </c>
      <c r="C22">
        <v>6022</v>
      </c>
      <c r="D22">
        <v>241</v>
      </c>
      <c r="E22">
        <v>688</v>
      </c>
      <c r="F22">
        <v>5709</v>
      </c>
      <c r="G22">
        <v>6</v>
      </c>
    </row>
    <row r="23" spans="1:7" x14ac:dyDescent="0.25">
      <c r="A23" t="s">
        <v>42</v>
      </c>
      <c r="B23">
        <v>233</v>
      </c>
      <c r="C23">
        <v>6070</v>
      </c>
      <c r="D23">
        <v>253</v>
      </c>
      <c r="E23">
        <v>737</v>
      </c>
      <c r="F23">
        <v>6458</v>
      </c>
      <c r="G23">
        <v>7</v>
      </c>
    </row>
    <row r="24" spans="1:7" x14ac:dyDescent="0.25">
      <c r="A24" t="s">
        <v>43</v>
      </c>
      <c r="B24">
        <v>257</v>
      </c>
      <c r="C24">
        <v>6303</v>
      </c>
      <c r="D24">
        <v>265</v>
      </c>
      <c r="E24">
        <v>742</v>
      </c>
      <c r="F24">
        <v>6875</v>
      </c>
      <c r="G24">
        <v>8</v>
      </c>
    </row>
    <row r="25" spans="1:7" x14ac:dyDescent="0.25">
      <c r="A25" t="s">
        <v>44</v>
      </c>
      <c r="B25">
        <v>339</v>
      </c>
      <c r="C25">
        <v>6693</v>
      </c>
      <c r="D25">
        <v>236</v>
      </c>
      <c r="E25">
        <v>692</v>
      </c>
      <c r="F25">
        <v>6162</v>
      </c>
      <c r="G25">
        <v>6</v>
      </c>
    </row>
    <row r="26" spans="1:7" x14ac:dyDescent="0.25">
      <c r="A26" t="s">
        <v>45</v>
      </c>
      <c r="B26">
        <v>279</v>
      </c>
      <c r="C26">
        <v>6072</v>
      </c>
      <c r="D26">
        <v>229</v>
      </c>
      <c r="E26">
        <v>637</v>
      </c>
      <c r="F26">
        <v>6098</v>
      </c>
      <c r="G26">
        <v>6</v>
      </c>
    </row>
    <row r="27" spans="1:7" x14ac:dyDescent="0.25">
      <c r="A27" t="s">
        <v>46</v>
      </c>
      <c r="B27">
        <v>250</v>
      </c>
      <c r="C27">
        <v>6112</v>
      </c>
      <c r="D27">
        <v>265</v>
      </c>
      <c r="E27">
        <v>757</v>
      </c>
      <c r="F27">
        <v>7075</v>
      </c>
      <c r="G27">
        <v>8</v>
      </c>
    </row>
    <row r="28" spans="1:7" x14ac:dyDescent="0.25">
      <c r="A28" t="s">
        <v>47</v>
      </c>
      <c r="B28">
        <v>270</v>
      </c>
      <c r="C28">
        <v>6146</v>
      </c>
      <c r="D28">
        <v>275</v>
      </c>
      <c r="E28">
        <v>783</v>
      </c>
      <c r="F28">
        <v>7595</v>
      </c>
      <c r="G28">
        <v>8</v>
      </c>
    </row>
    <row r="29" spans="1:7" x14ac:dyDescent="0.25">
      <c r="A29" t="s">
        <v>48</v>
      </c>
      <c r="B29">
        <v>346</v>
      </c>
      <c r="C29">
        <v>6787</v>
      </c>
      <c r="D29">
        <v>258</v>
      </c>
      <c r="E29">
        <v>757</v>
      </c>
      <c r="F29">
        <v>6891</v>
      </c>
      <c r="G29">
        <v>7</v>
      </c>
    </row>
    <row r="30" spans="1:7" x14ac:dyDescent="0.25">
      <c r="A30" t="s">
        <v>49</v>
      </c>
      <c r="B30">
        <v>294</v>
      </c>
      <c r="C30">
        <v>6051</v>
      </c>
      <c r="D30">
        <v>231</v>
      </c>
      <c r="E30">
        <v>674</v>
      </c>
      <c r="F30">
        <v>6707</v>
      </c>
      <c r="G30">
        <v>6</v>
      </c>
    </row>
    <row r="31" spans="1:7" x14ac:dyDescent="0.25">
      <c r="A31" t="s">
        <v>50</v>
      </c>
      <c r="B31">
        <v>255</v>
      </c>
      <c r="C31">
        <v>6259</v>
      </c>
      <c r="D31">
        <v>263</v>
      </c>
      <c r="E31">
        <v>774</v>
      </c>
      <c r="F31">
        <v>7874</v>
      </c>
      <c r="G31">
        <v>8</v>
      </c>
    </row>
    <row r="32" spans="1:7" x14ac:dyDescent="0.25">
      <c r="A32" t="s">
        <v>51</v>
      </c>
      <c r="B32">
        <v>278</v>
      </c>
      <c r="C32">
        <v>6348</v>
      </c>
      <c r="D32">
        <v>308</v>
      </c>
      <c r="E32">
        <v>835</v>
      </c>
      <c r="F32">
        <v>8555</v>
      </c>
      <c r="G32">
        <v>9</v>
      </c>
    </row>
    <row r="33" spans="1:7" x14ac:dyDescent="0.25">
      <c r="A33" t="s">
        <v>52</v>
      </c>
      <c r="B33">
        <v>363</v>
      </c>
      <c r="C33">
        <v>6883</v>
      </c>
      <c r="D33">
        <v>313</v>
      </c>
      <c r="E33">
        <v>838</v>
      </c>
      <c r="F33">
        <v>7503</v>
      </c>
      <c r="G33">
        <v>7</v>
      </c>
    </row>
    <row r="34" spans="1:7" x14ac:dyDescent="0.25">
      <c r="A34" t="s">
        <v>53</v>
      </c>
      <c r="B34">
        <v>313</v>
      </c>
      <c r="C34">
        <v>5890</v>
      </c>
      <c r="D34">
        <v>293</v>
      </c>
      <c r="E34">
        <v>797</v>
      </c>
      <c r="F34">
        <v>7469</v>
      </c>
      <c r="G34">
        <v>6</v>
      </c>
    </row>
    <row r="35" spans="1:7" x14ac:dyDescent="0.25">
      <c r="A35" t="s">
        <v>54</v>
      </c>
      <c r="B35">
        <v>273</v>
      </c>
      <c r="C35">
        <v>6365</v>
      </c>
      <c r="D35">
        <v>328</v>
      </c>
      <c r="E35">
        <v>904</v>
      </c>
      <c r="F35">
        <v>8829</v>
      </c>
      <c r="G35">
        <v>8</v>
      </c>
    </row>
    <row r="36" spans="1:7" x14ac:dyDescent="0.25">
      <c r="A36" t="s">
        <v>55</v>
      </c>
      <c r="B36">
        <v>300</v>
      </c>
      <c r="C36">
        <v>7373</v>
      </c>
      <c r="D36">
        <v>349</v>
      </c>
      <c r="E36">
        <v>949</v>
      </c>
      <c r="F36">
        <v>9513</v>
      </c>
      <c r="G36">
        <v>9</v>
      </c>
    </row>
    <row r="37" spans="1:7" x14ac:dyDescent="0.25">
      <c r="A37" t="s">
        <v>56</v>
      </c>
      <c r="B37">
        <v>370</v>
      </c>
      <c r="C37">
        <v>6768</v>
      </c>
      <c r="D37">
        <v>340</v>
      </c>
      <c r="E37">
        <v>975</v>
      </c>
      <c r="F37">
        <v>8415</v>
      </c>
      <c r="G37">
        <v>7</v>
      </c>
    </row>
    <row r="38" spans="1:7" x14ac:dyDescent="0.25">
      <c r="A38" t="s">
        <v>57</v>
      </c>
      <c r="B38">
        <v>331</v>
      </c>
      <c r="C38">
        <v>6201</v>
      </c>
      <c r="D38">
        <v>309</v>
      </c>
      <c r="E38">
        <v>902</v>
      </c>
      <c r="F38">
        <v>8170</v>
      </c>
      <c r="G38">
        <v>6</v>
      </c>
    </row>
    <row r="39" spans="1:7" x14ac:dyDescent="0.25">
      <c r="A39" t="s">
        <v>58</v>
      </c>
      <c r="B39">
        <v>288</v>
      </c>
      <c r="C39">
        <v>6332</v>
      </c>
      <c r="D39">
        <v>349</v>
      </c>
      <c r="E39">
        <v>974</v>
      </c>
      <c r="F39">
        <v>9503</v>
      </c>
      <c r="G39">
        <v>8</v>
      </c>
    </row>
    <row r="40" spans="1:7" x14ac:dyDescent="0.25">
      <c r="A40" t="s">
        <v>59</v>
      </c>
      <c r="B40">
        <v>306</v>
      </c>
      <c r="C40">
        <v>7213</v>
      </c>
      <c r="D40">
        <v>366</v>
      </c>
      <c r="E40">
        <v>969</v>
      </c>
      <c r="F40">
        <v>10306</v>
      </c>
      <c r="G40">
        <v>9</v>
      </c>
    </row>
    <row r="41" spans="1:7" x14ac:dyDescent="0.25">
      <c r="A41" t="s">
        <v>60</v>
      </c>
      <c r="B41">
        <v>386</v>
      </c>
      <c r="C41">
        <v>6600</v>
      </c>
      <c r="D41">
        <v>340</v>
      </c>
      <c r="E41">
        <v>967</v>
      </c>
      <c r="F41">
        <v>9077</v>
      </c>
      <c r="G41">
        <v>7</v>
      </c>
    </row>
    <row r="42" spans="1:7" x14ac:dyDescent="0.25">
      <c r="A42" t="s">
        <v>61</v>
      </c>
      <c r="B42">
        <v>335</v>
      </c>
      <c r="C42">
        <v>5522</v>
      </c>
      <c r="D42">
        <v>302</v>
      </c>
      <c r="E42">
        <v>849</v>
      </c>
      <c r="F42">
        <v>8650</v>
      </c>
      <c r="G42">
        <v>6</v>
      </c>
    </row>
    <row r="43" spans="1:7" x14ac:dyDescent="0.25">
      <c r="A43" t="s">
        <v>62</v>
      </c>
      <c r="B43">
        <v>288</v>
      </c>
      <c r="C43">
        <v>6184</v>
      </c>
      <c r="D43">
        <v>350</v>
      </c>
      <c r="E43">
        <v>961</v>
      </c>
      <c r="F43">
        <v>10180</v>
      </c>
      <c r="G43">
        <v>8</v>
      </c>
    </row>
    <row r="44" spans="1:7" x14ac:dyDescent="0.25">
      <c r="A44" t="s">
        <v>63</v>
      </c>
      <c r="B44">
        <v>308</v>
      </c>
      <c r="C44">
        <v>7202</v>
      </c>
      <c r="D44">
        <v>362</v>
      </c>
      <c r="E44">
        <v>966</v>
      </c>
      <c r="F44">
        <v>11234</v>
      </c>
      <c r="G44">
        <v>10</v>
      </c>
    </row>
    <row r="45" spans="1:7" x14ac:dyDescent="0.25">
      <c r="A45" t="s">
        <v>64</v>
      </c>
      <c r="B45">
        <v>402</v>
      </c>
      <c r="C45">
        <v>6599</v>
      </c>
      <c r="D45">
        <v>337</v>
      </c>
      <c r="E45">
        <v>922</v>
      </c>
      <c r="F45">
        <v>9836</v>
      </c>
      <c r="G45">
        <v>7</v>
      </c>
    </row>
    <row r="46" spans="1:7" x14ac:dyDescent="0.25">
      <c r="A46" t="s">
        <v>65</v>
      </c>
      <c r="B46">
        <v>353</v>
      </c>
      <c r="C46">
        <v>5801</v>
      </c>
      <c r="D46">
        <v>306</v>
      </c>
      <c r="E46">
        <v>836</v>
      </c>
      <c r="F46">
        <v>9490</v>
      </c>
      <c r="G46">
        <v>6</v>
      </c>
    </row>
    <row r="47" spans="1:7" x14ac:dyDescent="0.25">
      <c r="A47" t="s">
        <v>66</v>
      </c>
      <c r="B47">
        <v>316</v>
      </c>
      <c r="C47">
        <v>6771</v>
      </c>
      <c r="D47">
        <v>358</v>
      </c>
      <c r="E47">
        <v>998</v>
      </c>
      <c r="F47">
        <v>10991</v>
      </c>
      <c r="G47">
        <v>9</v>
      </c>
    </row>
    <row r="48" spans="1:7" x14ac:dyDescent="0.25">
      <c r="A48" t="s">
        <v>67</v>
      </c>
      <c r="B48">
        <v>325</v>
      </c>
      <c r="C48">
        <v>6837</v>
      </c>
      <c r="D48">
        <v>359</v>
      </c>
      <c r="E48">
        <v>1025</v>
      </c>
      <c r="F48">
        <v>12170</v>
      </c>
      <c r="G48">
        <v>10</v>
      </c>
    </row>
    <row r="49" spans="1:7" x14ac:dyDescent="0.25">
      <c r="A49" t="s">
        <v>68</v>
      </c>
      <c r="B49">
        <v>405</v>
      </c>
      <c r="C49">
        <v>6685</v>
      </c>
      <c r="D49">
        <v>357</v>
      </c>
      <c r="E49">
        <v>971</v>
      </c>
      <c r="F49">
        <v>10470</v>
      </c>
      <c r="G49">
        <v>7</v>
      </c>
    </row>
    <row r="50" spans="1:7" x14ac:dyDescent="0.25">
      <c r="A50" t="s">
        <v>69</v>
      </c>
      <c r="B50">
        <v>393</v>
      </c>
      <c r="C50">
        <v>6255</v>
      </c>
      <c r="D50">
        <v>341</v>
      </c>
      <c r="E50">
        <v>892</v>
      </c>
      <c r="F50">
        <v>10087</v>
      </c>
      <c r="G50">
        <v>6</v>
      </c>
    </row>
    <row r="51" spans="1:7" x14ac:dyDescent="0.25">
      <c r="A51" t="s">
        <v>70</v>
      </c>
      <c r="B51">
        <v>319</v>
      </c>
      <c r="C51">
        <v>6977</v>
      </c>
      <c r="D51">
        <v>380</v>
      </c>
      <c r="E51">
        <v>973</v>
      </c>
      <c r="F51">
        <v>11858</v>
      </c>
      <c r="G51">
        <v>9</v>
      </c>
    </row>
    <row r="52" spans="1:7" x14ac:dyDescent="0.25">
      <c r="A52" t="s">
        <v>71</v>
      </c>
      <c r="B52">
        <v>327</v>
      </c>
      <c r="C52">
        <v>7417</v>
      </c>
      <c r="D52">
        <v>404</v>
      </c>
      <c r="E52">
        <v>1047</v>
      </c>
      <c r="F52">
        <v>13198</v>
      </c>
      <c r="G52">
        <v>11</v>
      </c>
    </row>
    <row r="53" spans="1:7" x14ac:dyDescent="0.25">
      <c r="A53" t="s">
        <v>72</v>
      </c>
      <c r="B53">
        <v>442</v>
      </c>
      <c r="C53">
        <v>7075</v>
      </c>
      <c r="D53">
        <v>409</v>
      </c>
      <c r="E53">
        <v>1017</v>
      </c>
      <c r="F53">
        <v>11413</v>
      </c>
      <c r="G53">
        <v>8</v>
      </c>
    </row>
    <row r="54" spans="1:7" x14ac:dyDescent="0.25">
      <c r="A54" t="s">
        <v>73</v>
      </c>
      <c r="B54">
        <v>383</v>
      </c>
      <c r="C54">
        <v>6641</v>
      </c>
      <c r="D54">
        <v>383</v>
      </c>
      <c r="E54">
        <v>948</v>
      </c>
      <c r="F54">
        <v>11136</v>
      </c>
      <c r="G54">
        <v>7</v>
      </c>
    </row>
    <row r="55" spans="1:7" x14ac:dyDescent="0.25">
      <c r="A55" t="s">
        <v>74</v>
      </c>
      <c r="B55">
        <v>332</v>
      </c>
      <c r="C55">
        <v>7154</v>
      </c>
      <c r="D55">
        <v>417</v>
      </c>
      <c r="E55">
        <v>1032</v>
      </c>
      <c r="F55">
        <v>13040</v>
      </c>
      <c r="G55">
        <v>10</v>
      </c>
    </row>
    <row r="56" spans="1:7" x14ac:dyDescent="0.25">
      <c r="A56" t="s">
        <v>75</v>
      </c>
      <c r="B56">
        <v>361</v>
      </c>
      <c r="C56">
        <v>7929</v>
      </c>
      <c r="D56">
        <v>454</v>
      </c>
      <c r="E56">
        <v>1190</v>
      </c>
      <c r="F56">
        <v>14248</v>
      </c>
      <c r="G56">
        <v>13</v>
      </c>
    </row>
    <row r="57" spans="1:7" x14ac:dyDescent="0.25">
      <c r="A57" t="s">
        <v>76</v>
      </c>
      <c r="B57">
        <v>446</v>
      </c>
      <c r="C57">
        <v>7362</v>
      </c>
      <c r="D57">
        <v>428</v>
      </c>
      <c r="E57">
        <v>1136</v>
      </c>
      <c r="F57">
        <v>12759</v>
      </c>
      <c r="G57">
        <v>11</v>
      </c>
    </row>
    <row r="58" spans="1:7" x14ac:dyDescent="0.25">
      <c r="A58" t="s">
        <v>77</v>
      </c>
      <c r="B58">
        <v>387</v>
      </c>
      <c r="C58">
        <v>6807</v>
      </c>
      <c r="D58">
        <v>386</v>
      </c>
      <c r="E58">
        <v>1049</v>
      </c>
      <c r="F58">
        <v>12328</v>
      </c>
      <c r="G58">
        <v>12</v>
      </c>
    </row>
    <row r="59" spans="1:7" x14ac:dyDescent="0.25">
      <c r="A59" t="s">
        <v>78</v>
      </c>
      <c r="B59">
        <v>357</v>
      </c>
      <c r="C59">
        <v>7612</v>
      </c>
      <c r="D59">
        <v>428</v>
      </c>
      <c r="E59">
        <v>1134</v>
      </c>
      <c r="F59">
        <v>14493</v>
      </c>
      <c r="G59">
        <v>18</v>
      </c>
    </row>
    <row r="60" spans="1:7" x14ac:dyDescent="0.25">
      <c r="A60" t="s">
        <v>79</v>
      </c>
      <c r="B60">
        <v>374</v>
      </c>
      <c r="C60">
        <v>7862</v>
      </c>
      <c r="D60">
        <v>434</v>
      </c>
      <c r="E60">
        <v>1229</v>
      </c>
      <c r="F60">
        <v>15664</v>
      </c>
      <c r="G60">
        <v>23</v>
      </c>
    </row>
    <row r="61" spans="1:7" x14ac:dyDescent="0.25">
      <c r="A61" t="s">
        <v>80</v>
      </c>
      <c r="B61">
        <v>466</v>
      </c>
      <c r="C61">
        <v>7126</v>
      </c>
      <c r="D61">
        <v>417</v>
      </c>
      <c r="E61">
        <v>1188</v>
      </c>
      <c r="F61">
        <v>13781</v>
      </c>
      <c r="G61">
        <v>20</v>
      </c>
    </row>
    <row r="62" spans="1:7" x14ac:dyDescent="0.25">
      <c r="A62" t="s">
        <v>81</v>
      </c>
      <c r="B62">
        <v>410</v>
      </c>
      <c r="C62">
        <v>7255</v>
      </c>
      <c r="D62">
        <v>385</v>
      </c>
      <c r="E62">
        <v>1058</v>
      </c>
      <c r="F62">
        <v>13299</v>
      </c>
      <c r="G62">
        <v>19</v>
      </c>
    </row>
    <row r="63" spans="1:7" x14ac:dyDescent="0.25">
      <c r="A63" t="s">
        <v>82</v>
      </c>
      <c r="B63">
        <v>370</v>
      </c>
      <c r="C63">
        <v>8076</v>
      </c>
      <c r="D63">
        <v>433</v>
      </c>
      <c r="E63">
        <v>1209</v>
      </c>
      <c r="F63">
        <v>15230</v>
      </c>
      <c r="G63">
        <v>23</v>
      </c>
    </row>
    <row r="64" spans="1:7" x14ac:dyDescent="0.25">
      <c r="A64" t="s">
        <v>83</v>
      </c>
      <c r="B64">
        <v>379</v>
      </c>
      <c r="C64">
        <v>8405</v>
      </c>
      <c r="D64">
        <v>453</v>
      </c>
      <c r="E64">
        <v>1199</v>
      </c>
      <c r="F64">
        <v>16667</v>
      </c>
      <c r="G64">
        <v>28</v>
      </c>
    </row>
    <row r="65" spans="1:7" x14ac:dyDescent="0.25">
      <c r="A65" t="s">
        <v>84</v>
      </c>
      <c r="B65">
        <v>487</v>
      </c>
      <c r="C65">
        <v>7974</v>
      </c>
      <c r="D65">
        <v>436</v>
      </c>
      <c r="E65">
        <v>1253</v>
      </c>
      <c r="F65">
        <v>14484</v>
      </c>
      <c r="G65">
        <v>24</v>
      </c>
    </row>
    <row r="66" spans="1:7" x14ac:dyDescent="0.25">
      <c r="A66" t="s">
        <v>85</v>
      </c>
      <c r="B66">
        <v>419</v>
      </c>
      <c r="C66">
        <v>6500</v>
      </c>
      <c r="D66">
        <v>399</v>
      </c>
      <c r="E66">
        <v>1070</v>
      </c>
      <c r="F66">
        <v>13838</v>
      </c>
      <c r="G66">
        <v>24</v>
      </c>
    </row>
    <row r="67" spans="1:7" x14ac:dyDescent="0.25">
      <c r="A67" t="s">
        <v>86</v>
      </c>
      <c r="B67">
        <v>378</v>
      </c>
      <c r="C67">
        <v>7119</v>
      </c>
      <c r="D67">
        <v>461</v>
      </c>
      <c r="E67">
        <v>1282</v>
      </c>
      <c r="F67">
        <v>15919</v>
      </c>
      <c r="G67">
        <v>34</v>
      </c>
    </row>
    <row r="68" spans="1:7" x14ac:dyDescent="0.25">
      <c r="A68" t="s">
        <v>87</v>
      </c>
      <c r="B68">
        <v>393</v>
      </c>
      <c r="C68">
        <v>7367</v>
      </c>
      <c r="D68">
        <v>476</v>
      </c>
      <c r="E68">
        <v>1303</v>
      </c>
      <c r="F68">
        <v>17149</v>
      </c>
      <c r="G68">
        <v>40</v>
      </c>
    </row>
    <row r="69" spans="1:7" x14ac:dyDescent="0.25">
      <c r="A69" t="s">
        <v>88</v>
      </c>
      <c r="B69">
        <v>506</v>
      </c>
      <c r="C69">
        <v>7549</v>
      </c>
      <c r="D69">
        <v>477</v>
      </c>
      <c r="E69">
        <v>1281</v>
      </c>
      <c r="F69">
        <v>15564</v>
      </c>
      <c r="G69">
        <v>35</v>
      </c>
    </row>
    <row r="70" spans="1:7" x14ac:dyDescent="0.25">
      <c r="A70" t="s">
        <v>89</v>
      </c>
      <c r="B70">
        <v>458</v>
      </c>
      <c r="C70">
        <v>7168</v>
      </c>
      <c r="D70">
        <v>452</v>
      </c>
      <c r="E70">
        <v>1148</v>
      </c>
      <c r="F70">
        <v>15024</v>
      </c>
      <c r="G70">
        <v>34</v>
      </c>
    </row>
    <row r="71" spans="1:7" x14ac:dyDescent="0.25">
      <c r="A71" t="s">
        <v>90</v>
      </c>
      <c r="B71">
        <v>387</v>
      </c>
      <c r="C71">
        <v>7635</v>
      </c>
      <c r="D71">
        <v>461</v>
      </c>
      <c r="E71">
        <v>1305</v>
      </c>
      <c r="F71">
        <v>17064</v>
      </c>
      <c r="G71">
        <v>41</v>
      </c>
    </row>
    <row r="72" spans="1:7" x14ac:dyDescent="0.25">
      <c r="A72" t="s">
        <v>91</v>
      </c>
      <c r="B72">
        <v>427</v>
      </c>
      <c r="C72">
        <v>8446</v>
      </c>
      <c r="D72">
        <v>534</v>
      </c>
      <c r="E72">
        <v>1342</v>
      </c>
      <c r="F72">
        <v>18512</v>
      </c>
      <c r="G72">
        <v>48</v>
      </c>
    </row>
    <row r="73" spans="1:7" x14ac:dyDescent="0.25">
      <c r="A73" t="s">
        <v>92</v>
      </c>
      <c r="B73">
        <v>565</v>
      </c>
      <c r="C73">
        <v>7593</v>
      </c>
      <c r="D73">
        <v>516</v>
      </c>
      <c r="E73">
        <v>1452</v>
      </c>
      <c r="F73">
        <v>16467</v>
      </c>
      <c r="G73">
        <v>39</v>
      </c>
    </row>
    <row r="74" spans="1:7" x14ac:dyDescent="0.25">
      <c r="A74" t="s">
        <v>93</v>
      </c>
      <c r="B74">
        <v>465</v>
      </c>
      <c r="C74">
        <v>6823</v>
      </c>
      <c r="D74">
        <v>478</v>
      </c>
      <c r="E74">
        <v>1184</v>
      </c>
      <c r="F74">
        <v>16249</v>
      </c>
      <c r="G74">
        <v>38</v>
      </c>
    </row>
    <row r="75" spans="1:7" x14ac:dyDescent="0.25">
      <c r="A75" t="s">
        <v>94</v>
      </c>
      <c r="B75">
        <v>445</v>
      </c>
      <c r="C75">
        <v>7856</v>
      </c>
      <c r="D75">
        <v>526</v>
      </c>
      <c r="E75">
        <v>1352</v>
      </c>
      <c r="F75">
        <v>18515</v>
      </c>
      <c r="G75">
        <v>48</v>
      </c>
    </row>
    <row r="76" spans="1:7" x14ac:dyDescent="0.25">
      <c r="A76" t="s">
        <v>95</v>
      </c>
      <c r="B76">
        <v>450</v>
      </c>
      <c r="C76">
        <v>8574</v>
      </c>
      <c r="D76">
        <v>518</v>
      </c>
      <c r="E76">
        <v>1316</v>
      </c>
      <c r="F76">
        <v>20377</v>
      </c>
      <c r="G76">
        <v>52</v>
      </c>
    </row>
    <row r="77" spans="1:7" x14ac:dyDescent="0.25">
      <c r="A77" t="s">
        <v>96</v>
      </c>
      <c r="B77">
        <v>556</v>
      </c>
      <c r="C77">
        <v>8163</v>
      </c>
      <c r="D77">
        <v>417</v>
      </c>
      <c r="E77">
        <v>1353</v>
      </c>
      <c r="F77">
        <v>17681</v>
      </c>
      <c r="G77">
        <v>43</v>
      </c>
    </row>
    <row r="78" spans="1:7" x14ac:dyDescent="0.25">
      <c r="A78" t="s">
        <v>97</v>
      </c>
      <c r="B78">
        <v>500</v>
      </c>
      <c r="C78">
        <v>6971</v>
      </c>
      <c r="D78">
        <v>340</v>
      </c>
      <c r="E78">
        <v>1121</v>
      </c>
      <c r="F78">
        <v>16692</v>
      </c>
      <c r="G78">
        <v>39</v>
      </c>
    </row>
    <row r="79" spans="1:7" x14ac:dyDescent="0.25">
      <c r="A79" t="s">
        <v>98</v>
      </c>
      <c r="B79">
        <v>452</v>
      </c>
      <c r="C79">
        <v>8021</v>
      </c>
      <c r="D79">
        <v>437</v>
      </c>
      <c r="E79">
        <v>1297</v>
      </c>
      <c r="F79">
        <v>19184</v>
      </c>
      <c r="G79">
        <v>49</v>
      </c>
    </row>
    <row r="80" spans="1:7" x14ac:dyDescent="0.25">
      <c r="A80" t="s">
        <v>99</v>
      </c>
      <c r="B80">
        <v>435</v>
      </c>
      <c r="C80">
        <v>8133</v>
      </c>
      <c r="D80">
        <v>459</v>
      </c>
      <c r="E80">
        <v>1318</v>
      </c>
      <c r="F80">
        <v>20078</v>
      </c>
      <c r="G80">
        <v>55</v>
      </c>
    </row>
    <row r="81" spans="1:7" x14ac:dyDescent="0.25">
      <c r="A81" t="s">
        <v>100</v>
      </c>
      <c r="B81">
        <v>554</v>
      </c>
      <c r="C81">
        <v>8349</v>
      </c>
      <c r="D81">
        <v>449</v>
      </c>
      <c r="E81">
        <v>1281</v>
      </c>
      <c r="F81">
        <v>18260</v>
      </c>
      <c r="G81">
        <v>47</v>
      </c>
    </row>
    <row r="82" spans="1:7" x14ac:dyDescent="0.25">
      <c r="A82" t="s">
        <v>101</v>
      </c>
      <c r="B82">
        <v>510</v>
      </c>
      <c r="C82">
        <v>6687</v>
      </c>
      <c r="D82">
        <v>424</v>
      </c>
      <c r="E82">
        <v>1109</v>
      </c>
      <c r="F82">
        <v>18023</v>
      </c>
      <c r="G82">
        <v>44</v>
      </c>
    </row>
    <row r="83" spans="1:7" x14ac:dyDescent="0.25">
      <c r="A83" t="s">
        <v>102</v>
      </c>
      <c r="B83">
        <v>433</v>
      </c>
      <c r="C83">
        <v>7991</v>
      </c>
      <c r="D83">
        <v>501</v>
      </c>
      <c r="E83">
        <v>1299</v>
      </c>
      <c r="F83">
        <v>20234</v>
      </c>
      <c r="G83">
        <v>58</v>
      </c>
    </row>
    <row r="84" spans="1:7" x14ac:dyDescent="0.25">
      <c r="A84" t="s">
        <v>103</v>
      </c>
      <c r="B84">
        <v>453</v>
      </c>
      <c r="C84">
        <v>6900</v>
      </c>
      <c r="D84">
        <v>540</v>
      </c>
      <c r="E84">
        <v>1341</v>
      </c>
      <c r="F84">
        <v>22272</v>
      </c>
      <c r="G84">
        <v>65</v>
      </c>
    </row>
    <row r="85" spans="1:7" x14ac:dyDescent="0.25">
      <c r="A85" t="s">
        <v>104</v>
      </c>
      <c r="B85">
        <v>548</v>
      </c>
      <c r="C85">
        <v>7119</v>
      </c>
      <c r="D85">
        <v>533</v>
      </c>
      <c r="E85">
        <v>1290</v>
      </c>
      <c r="F85">
        <v>19684</v>
      </c>
      <c r="G85">
        <v>54</v>
      </c>
    </row>
    <row r="86" spans="1:7" x14ac:dyDescent="0.25">
      <c r="A86" t="s">
        <v>105</v>
      </c>
      <c r="B86">
        <v>486</v>
      </c>
      <c r="C86">
        <v>7156</v>
      </c>
      <c r="D86">
        <v>457</v>
      </c>
      <c r="E86">
        <v>1101</v>
      </c>
      <c r="F86">
        <v>19031</v>
      </c>
      <c r="G86">
        <v>49</v>
      </c>
    </row>
    <row r="87" spans="1:7" x14ac:dyDescent="0.25">
      <c r="A87" t="s">
        <v>106</v>
      </c>
      <c r="B87">
        <v>453</v>
      </c>
      <c r="C87">
        <v>8671</v>
      </c>
      <c r="D87">
        <v>513</v>
      </c>
      <c r="E87">
        <v>1284</v>
      </c>
      <c r="F87">
        <v>21545</v>
      </c>
      <c r="G87">
        <v>64</v>
      </c>
    </row>
    <row r="88" spans="1:7" x14ac:dyDescent="0.25">
      <c r="A88" t="s">
        <v>107</v>
      </c>
      <c r="B88">
        <v>457</v>
      </c>
      <c r="C88">
        <v>8459</v>
      </c>
      <c r="D88">
        <v>522</v>
      </c>
      <c r="E88">
        <v>1321</v>
      </c>
      <c r="F88">
        <v>23270</v>
      </c>
      <c r="G88">
        <v>74</v>
      </c>
    </row>
    <row r="89" spans="1:7" x14ac:dyDescent="0.25">
      <c r="A89" t="s">
        <v>108</v>
      </c>
      <c r="B89">
        <v>566</v>
      </c>
      <c r="C89">
        <v>7367</v>
      </c>
      <c r="D89">
        <v>478</v>
      </c>
      <c r="E89">
        <v>1317</v>
      </c>
      <c r="F89">
        <v>20107</v>
      </c>
      <c r="G89">
        <v>58</v>
      </c>
    </row>
    <row r="90" spans="1:7" x14ac:dyDescent="0.25">
      <c r="A90" t="s">
        <v>109</v>
      </c>
      <c r="B90">
        <v>515</v>
      </c>
      <c r="C90">
        <v>7219</v>
      </c>
      <c r="D90">
        <v>421</v>
      </c>
      <c r="E90">
        <v>1122</v>
      </c>
      <c r="F90">
        <v>20084</v>
      </c>
      <c r="G90">
        <v>56</v>
      </c>
    </row>
    <row r="91" spans="1:7" x14ac:dyDescent="0.25">
      <c r="A91" t="s">
        <v>110</v>
      </c>
      <c r="B91">
        <v>464</v>
      </c>
      <c r="C91">
        <v>7344</v>
      </c>
      <c r="D91">
        <v>487</v>
      </c>
      <c r="E91">
        <v>1261</v>
      </c>
      <c r="F91">
        <v>22634</v>
      </c>
      <c r="G91">
        <v>71</v>
      </c>
    </row>
    <row r="92" spans="1:7" x14ac:dyDescent="0.25">
      <c r="A92" t="s">
        <v>111</v>
      </c>
      <c r="B92">
        <v>431</v>
      </c>
      <c r="C92">
        <v>7314</v>
      </c>
      <c r="D92">
        <v>470</v>
      </c>
      <c r="E92">
        <v>1312</v>
      </c>
      <c r="F92">
        <v>24494</v>
      </c>
      <c r="G92">
        <v>78</v>
      </c>
    </row>
    <row r="93" spans="1:7" x14ac:dyDescent="0.25">
      <c r="A93" t="s">
        <v>112</v>
      </c>
      <c r="B93">
        <v>588</v>
      </c>
      <c r="C93">
        <v>7379</v>
      </c>
      <c r="D93">
        <v>482</v>
      </c>
      <c r="E93">
        <v>1298</v>
      </c>
      <c r="F93">
        <v>21396</v>
      </c>
      <c r="G93">
        <v>65</v>
      </c>
    </row>
    <row r="94" spans="1:7" x14ac:dyDescent="0.25">
      <c r="A94" t="s">
        <v>113</v>
      </c>
      <c r="B94">
        <v>503</v>
      </c>
      <c r="C94">
        <v>7084</v>
      </c>
      <c r="D94">
        <v>458</v>
      </c>
      <c r="E94">
        <v>1205</v>
      </c>
      <c r="F94">
        <v>21323</v>
      </c>
      <c r="G94">
        <v>59</v>
      </c>
    </row>
    <row r="95" spans="1:7" x14ac:dyDescent="0.25">
      <c r="A95" t="s">
        <v>114</v>
      </c>
      <c r="B95">
        <v>443</v>
      </c>
      <c r="C95">
        <v>7882</v>
      </c>
      <c r="D95">
        <v>526</v>
      </c>
      <c r="E95">
        <v>1302</v>
      </c>
      <c r="F95">
        <v>23644</v>
      </c>
      <c r="G95">
        <v>74</v>
      </c>
    </row>
    <row r="96" spans="1:7" x14ac:dyDescent="0.25">
      <c r="A96" t="s">
        <v>115</v>
      </c>
      <c r="B96">
        <v>448</v>
      </c>
      <c r="C96">
        <v>7816</v>
      </c>
      <c r="D96">
        <v>573</v>
      </c>
      <c r="E96">
        <v>1377</v>
      </c>
      <c r="F96">
        <v>25994</v>
      </c>
      <c r="G96">
        <v>88</v>
      </c>
    </row>
    <row r="97" spans="1:7" x14ac:dyDescent="0.25">
      <c r="A97" t="s">
        <v>116</v>
      </c>
      <c r="B97">
        <v>555</v>
      </c>
      <c r="C97">
        <v>6786</v>
      </c>
      <c r="D97">
        <v>563</v>
      </c>
      <c r="E97">
        <v>1359</v>
      </c>
      <c r="F97">
        <v>22802</v>
      </c>
      <c r="G97">
        <v>71</v>
      </c>
    </row>
    <row r="98" spans="1:7" x14ac:dyDescent="0.25">
      <c r="A98" t="s">
        <v>117</v>
      </c>
      <c r="B98">
        <v>513</v>
      </c>
      <c r="C98">
        <v>6794</v>
      </c>
      <c r="D98">
        <v>513</v>
      </c>
      <c r="E98">
        <v>1232</v>
      </c>
      <c r="F98">
        <v>22604</v>
      </c>
      <c r="G98">
        <v>68</v>
      </c>
    </row>
    <row r="99" spans="1:7" x14ac:dyDescent="0.25">
      <c r="A99" t="s">
        <v>118</v>
      </c>
      <c r="B99">
        <v>427</v>
      </c>
      <c r="C99">
        <v>8168</v>
      </c>
      <c r="D99">
        <v>551</v>
      </c>
      <c r="E99">
        <v>1386</v>
      </c>
      <c r="F99">
        <v>24510</v>
      </c>
      <c r="G99">
        <v>91</v>
      </c>
    </row>
    <row r="100" spans="1:7" x14ac:dyDescent="0.25">
      <c r="A100" t="s">
        <v>119</v>
      </c>
      <c r="B100">
        <v>473</v>
      </c>
      <c r="C100">
        <v>8097</v>
      </c>
      <c r="D100">
        <v>589</v>
      </c>
      <c r="E100">
        <v>1440</v>
      </c>
      <c r="F100">
        <v>26690</v>
      </c>
      <c r="G100">
        <v>103</v>
      </c>
    </row>
    <row r="101" spans="1:7" x14ac:dyDescent="0.25">
      <c r="A101" t="s">
        <v>120</v>
      </c>
      <c r="B101">
        <v>526</v>
      </c>
      <c r="C101">
        <v>7820</v>
      </c>
      <c r="D101">
        <v>564</v>
      </c>
      <c r="E101">
        <v>1439</v>
      </c>
      <c r="F101">
        <v>24132</v>
      </c>
      <c r="G101">
        <v>83</v>
      </c>
    </row>
    <row r="102" spans="1:7" x14ac:dyDescent="0.25">
      <c r="A102" t="s">
        <v>121</v>
      </c>
      <c r="B102">
        <v>548</v>
      </c>
      <c r="C102">
        <v>6437</v>
      </c>
      <c r="D102">
        <v>519</v>
      </c>
      <c r="E102">
        <v>1282</v>
      </c>
      <c r="F102">
        <v>23639</v>
      </c>
      <c r="G102">
        <v>88</v>
      </c>
    </row>
    <row r="103" spans="1:7" x14ac:dyDescent="0.25">
      <c r="A103" t="s">
        <v>122</v>
      </c>
      <c r="B103">
        <v>440</v>
      </c>
      <c r="C103">
        <v>7995</v>
      </c>
      <c r="D103">
        <v>581</v>
      </c>
      <c r="E103">
        <v>1573</v>
      </c>
      <c r="F103">
        <v>26320</v>
      </c>
      <c r="G103">
        <v>110</v>
      </c>
    </row>
    <row r="104" spans="1:7" x14ac:dyDescent="0.25">
      <c r="A104" t="s">
        <v>123</v>
      </c>
      <c r="B104">
        <v>469</v>
      </c>
      <c r="C104">
        <v>8238</v>
      </c>
      <c r="D104">
        <v>581</v>
      </c>
      <c r="E104">
        <v>1533</v>
      </c>
      <c r="F104">
        <v>28345</v>
      </c>
      <c r="G104">
        <v>120</v>
      </c>
    </row>
    <row r="105" spans="1:7" x14ac:dyDescent="0.25">
      <c r="A105" t="s">
        <v>124</v>
      </c>
      <c r="B105">
        <v>575</v>
      </c>
      <c r="C105">
        <v>8026</v>
      </c>
      <c r="D105">
        <v>578</v>
      </c>
      <c r="E105">
        <v>1641</v>
      </c>
      <c r="F105">
        <v>24890</v>
      </c>
      <c r="G105">
        <v>101</v>
      </c>
    </row>
    <row r="106" spans="1:7" x14ac:dyDescent="0.25">
      <c r="A106" t="s">
        <v>125</v>
      </c>
      <c r="B106">
        <v>493</v>
      </c>
      <c r="C106">
        <v>6697</v>
      </c>
      <c r="D106">
        <v>501</v>
      </c>
      <c r="E106">
        <v>1337</v>
      </c>
      <c r="F106">
        <v>24675</v>
      </c>
      <c r="G106">
        <v>93</v>
      </c>
    </row>
    <row r="107" spans="1:7" x14ac:dyDescent="0.25">
      <c r="A107" t="s">
        <v>126</v>
      </c>
      <c r="B107">
        <v>433</v>
      </c>
      <c r="C107">
        <v>7749</v>
      </c>
      <c r="D107">
        <v>560</v>
      </c>
      <c r="E107">
        <v>1575</v>
      </c>
      <c r="F107">
        <v>27122</v>
      </c>
      <c r="G107">
        <v>116</v>
      </c>
    </row>
    <row r="108" spans="1:7" x14ac:dyDescent="0.25">
      <c r="A108" t="s">
        <v>127</v>
      </c>
      <c r="B108">
        <v>480</v>
      </c>
      <c r="C108">
        <v>8043</v>
      </c>
      <c r="D108">
        <v>512</v>
      </c>
      <c r="E108">
        <v>1475</v>
      </c>
      <c r="F108">
        <v>28590</v>
      </c>
      <c r="G108">
        <v>127</v>
      </c>
    </row>
    <row r="109" spans="1:7" x14ac:dyDescent="0.25">
      <c r="A109" t="s">
        <v>128</v>
      </c>
      <c r="B109">
        <v>576</v>
      </c>
      <c r="C109">
        <v>7469</v>
      </c>
      <c r="D109">
        <v>412</v>
      </c>
      <c r="E109">
        <v>1357</v>
      </c>
      <c r="F109">
        <v>25371</v>
      </c>
      <c r="G109">
        <v>98</v>
      </c>
    </row>
    <row r="110" spans="1:7" x14ac:dyDescent="0.25">
      <c r="A110" t="s">
        <v>129</v>
      </c>
      <c r="B110">
        <v>475</v>
      </c>
      <c r="C110">
        <v>6559</v>
      </c>
      <c r="D110">
        <v>303</v>
      </c>
      <c r="E110">
        <v>1086</v>
      </c>
      <c r="F110">
        <v>24687</v>
      </c>
      <c r="G110">
        <v>92</v>
      </c>
    </row>
    <row r="111" spans="1:7" x14ac:dyDescent="0.25">
      <c r="A111" t="s">
        <v>130</v>
      </c>
      <c r="B111">
        <v>405</v>
      </c>
      <c r="C111">
        <v>7852</v>
      </c>
      <c r="D111">
        <v>409</v>
      </c>
      <c r="E111">
        <v>1158</v>
      </c>
      <c r="F111">
        <v>27285</v>
      </c>
      <c r="G111">
        <v>118</v>
      </c>
    </row>
    <row r="112" spans="1:7" x14ac:dyDescent="0.25">
      <c r="A112" t="s">
        <v>131</v>
      </c>
      <c r="B112">
        <v>435</v>
      </c>
      <c r="C112">
        <v>7449</v>
      </c>
      <c r="D112">
        <v>420</v>
      </c>
      <c r="E112">
        <v>1279</v>
      </c>
      <c r="F112">
        <v>29290</v>
      </c>
      <c r="G112">
        <v>124</v>
      </c>
    </row>
    <row r="113" spans="1:7" x14ac:dyDescent="0.25">
      <c r="A113" t="s">
        <v>132</v>
      </c>
      <c r="B113">
        <v>535</v>
      </c>
      <c r="C113">
        <v>6975</v>
      </c>
      <c r="D113">
        <v>413</v>
      </c>
      <c r="E113">
        <v>1313</v>
      </c>
      <c r="F113">
        <v>26684</v>
      </c>
      <c r="G113">
        <v>104</v>
      </c>
    </row>
    <row r="114" spans="1:7" x14ac:dyDescent="0.25">
      <c r="A114" t="s">
        <v>133</v>
      </c>
      <c r="B114">
        <v>453</v>
      </c>
      <c r="C114">
        <v>6631</v>
      </c>
      <c r="D114">
        <v>400</v>
      </c>
      <c r="E114">
        <v>1166</v>
      </c>
      <c r="F114">
        <v>26641</v>
      </c>
      <c r="G114">
        <v>97</v>
      </c>
    </row>
    <row r="115" spans="1:7" x14ac:dyDescent="0.25">
      <c r="A115" t="s">
        <v>134</v>
      </c>
      <c r="B115">
        <v>430</v>
      </c>
      <c r="C115">
        <v>6928</v>
      </c>
      <c r="D115">
        <v>469</v>
      </c>
      <c r="E115">
        <v>1373</v>
      </c>
      <c r="F115">
        <v>29042</v>
      </c>
      <c r="G115">
        <v>116</v>
      </c>
    </row>
    <row r="116" spans="1:7" x14ac:dyDescent="0.25">
      <c r="A116" t="s">
        <v>135</v>
      </c>
      <c r="B116">
        <v>417</v>
      </c>
      <c r="C116">
        <v>6542</v>
      </c>
      <c r="D116">
        <v>482</v>
      </c>
      <c r="E116">
        <v>1456</v>
      </c>
      <c r="F116">
        <v>31856</v>
      </c>
      <c r="G116">
        <v>130</v>
      </c>
    </row>
    <row r="117" spans="1:7" x14ac:dyDescent="0.25">
      <c r="A117" t="s">
        <v>136</v>
      </c>
      <c r="B117">
        <v>552</v>
      </c>
      <c r="C117">
        <v>6819</v>
      </c>
      <c r="D117">
        <v>484</v>
      </c>
      <c r="E117">
        <v>1495</v>
      </c>
      <c r="F117">
        <v>28343</v>
      </c>
      <c r="G117">
        <v>111</v>
      </c>
    </row>
    <row r="118" spans="1:7" x14ac:dyDescent="0.25">
      <c r="A118" t="s">
        <v>137</v>
      </c>
      <c r="B118">
        <v>464</v>
      </c>
      <c r="C118">
        <v>6033</v>
      </c>
      <c r="D118">
        <v>447</v>
      </c>
      <c r="E118">
        <v>1251</v>
      </c>
      <c r="F118">
        <v>28982</v>
      </c>
      <c r="G118">
        <v>103</v>
      </c>
    </row>
    <row r="119" spans="1:7" x14ac:dyDescent="0.25">
      <c r="A119" t="s">
        <v>138</v>
      </c>
      <c r="B119">
        <v>417</v>
      </c>
      <c r="C119">
        <v>7678</v>
      </c>
      <c r="D119">
        <v>507</v>
      </c>
      <c r="E119">
        <v>1456</v>
      </c>
      <c r="F119">
        <v>30838</v>
      </c>
      <c r="G119">
        <v>120</v>
      </c>
    </row>
    <row r="120" spans="1:7" x14ac:dyDescent="0.25">
      <c r="A120" t="s">
        <v>139</v>
      </c>
      <c r="B120">
        <v>423</v>
      </c>
      <c r="C120">
        <v>7341</v>
      </c>
      <c r="D120">
        <v>533</v>
      </c>
      <c r="E120">
        <v>1631</v>
      </c>
      <c r="F120">
        <v>33165</v>
      </c>
      <c r="G120">
        <v>132</v>
      </c>
    </row>
    <row r="121" spans="1:7" x14ac:dyDescent="0.25">
      <c r="A121" t="s">
        <v>140</v>
      </c>
      <c r="B121">
        <v>554</v>
      </c>
      <c r="C121">
        <v>6829</v>
      </c>
      <c r="D121">
        <v>505</v>
      </c>
      <c r="E121">
        <v>1555</v>
      </c>
      <c r="F121">
        <v>29648</v>
      </c>
      <c r="G121">
        <v>107</v>
      </c>
    </row>
    <row r="122" spans="1:7" x14ac:dyDescent="0.25">
      <c r="A122" t="s">
        <v>141</v>
      </c>
      <c r="B122">
        <v>459</v>
      </c>
      <c r="C122">
        <v>5733</v>
      </c>
      <c r="D122">
        <v>442</v>
      </c>
      <c r="E122">
        <v>1375</v>
      </c>
      <c r="F122">
        <v>29506</v>
      </c>
      <c r="G122">
        <v>98</v>
      </c>
    </row>
    <row r="123" spans="1:7" x14ac:dyDescent="0.25">
      <c r="A123" t="s">
        <v>142</v>
      </c>
      <c r="B123">
        <v>428</v>
      </c>
      <c r="C123">
        <v>7465</v>
      </c>
      <c r="D123">
        <v>503</v>
      </c>
      <c r="E123">
        <v>1546</v>
      </c>
      <c r="F123">
        <v>32002</v>
      </c>
      <c r="G123">
        <v>127</v>
      </c>
    </row>
    <row r="124" spans="1:7" x14ac:dyDescent="0.25">
      <c r="A124" t="s">
        <v>143</v>
      </c>
      <c r="B124">
        <v>429</v>
      </c>
      <c r="C124">
        <v>7780</v>
      </c>
      <c r="D124">
        <v>506</v>
      </c>
      <c r="E124">
        <v>1568</v>
      </c>
      <c r="F124">
        <v>34375</v>
      </c>
      <c r="G124">
        <v>137</v>
      </c>
    </row>
    <row r="125" spans="1:7" x14ac:dyDescent="0.25">
      <c r="A125" t="s">
        <v>144</v>
      </c>
      <c r="B125">
        <v>534</v>
      </c>
      <c r="C125">
        <v>7234</v>
      </c>
      <c r="D125">
        <v>443</v>
      </c>
      <c r="E125">
        <v>1561</v>
      </c>
      <c r="F125">
        <v>31046</v>
      </c>
      <c r="G125">
        <v>112</v>
      </c>
    </row>
    <row r="126" spans="1:7" x14ac:dyDescent="0.25">
      <c r="A126" t="s">
        <v>145</v>
      </c>
      <c r="B126">
        <v>481</v>
      </c>
      <c r="C126">
        <v>5765</v>
      </c>
      <c r="D126">
        <v>414</v>
      </c>
      <c r="E126">
        <v>1332</v>
      </c>
      <c r="F126">
        <v>31015</v>
      </c>
      <c r="G126">
        <v>106</v>
      </c>
    </row>
    <row r="127" spans="1:7" x14ac:dyDescent="0.25">
      <c r="A127" t="s">
        <v>146</v>
      </c>
      <c r="B127">
        <v>416</v>
      </c>
      <c r="C127">
        <v>7476</v>
      </c>
      <c r="D127">
        <v>485</v>
      </c>
      <c r="E127">
        <v>1458</v>
      </c>
      <c r="F127">
        <v>33685</v>
      </c>
      <c r="G127">
        <v>130</v>
      </c>
    </row>
    <row r="128" spans="1:7" x14ac:dyDescent="0.25">
      <c r="A128" t="s">
        <v>147</v>
      </c>
      <c r="B128">
        <v>440</v>
      </c>
      <c r="C128">
        <v>6742</v>
      </c>
      <c r="D128">
        <v>495</v>
      </c>
      <c r="E128">
        <v>1501</v>
      </c>
      <c r="F128">
        <v>35850</v>
      </c>
      <c r="G128">
        <v>158</v>
      </c>
    </row>
    <row r="129" spans="1:7" x14ac:dyDescent="0.25">
      <c r="A129" t="s">
        <v>148</v>
      </c>
      <c r="B129">
        <v>538</v>
      </c>
      <c r="C129">
        <v>7217</v>
      </c>
      <c r="D129">
        <v>458</v>
      </c>
      <c r="E129">
        <v>1615</v>
      </c>
      <c r="F129">
        <v>33211</v>
      </c>
      <c r="G129">
        <v>123</v>
      </c>
    </row>
    <row r="130" spans="1:7" x14ac:dyDescent="0.25">
      <c r="A130" t="s">
        <v>149</v>
      </c>
      <c r="B130">
        <v>474</v>
      </c>
      <c r="C130">
        <v>6034</v>
      </c>
      <c r="D130">
        <v>428</v>
      </c>
      <c r="E130">
        <v>1418</v>
      </c>
      <c r="F130">
        <v>33142</v>
      </c>
      <c r="G130">
        <v>116</v>
      </c>
    </row>
    <row r="131" spans="1:7" x14ac:dyDescent="0.25">
      <c r="A131" t="s">
        <v>150</v>
      </c>
      <c r="B131">
        <v>440</v>
      </c>
      <c r="C131">
        <v>7389</v>
      </c>
      <c r="D131">
        <v>519</v>
      </c>
      <c r="E131">
        <v>1625</v>
      </c>
      <c r="F131">
        <v>34664</v>
      </c>
      <c r="G131">
        <v>137</v>
      </c>
    </row>
    <row r="132" spans="1:7" x14ac:dyDescent="0.25">
      <c r="A132" t="s">
        <v>151</v>
      </c>
      <c r="B132">
        <v>447</v>
      </c>
      <c r="C132">
        <v>7077</v>
      </c>
      <c r="D132">
        <v>555</v>
      </c>
      <c r="E132">
        <v>1770</v>
      </c>
      <c r="F132">
        <v>37154</v>
      </c>
      <c r="G132">
        <v>157</v>
      </c>
    </row>
    <row r="133" spans="1:7" x14ac:dyDescent="0.25">
      <c r="A133" t="s">
        <v>152</v>
      </c>
      <c r="B133">
        <v>598</v>
      </c>
      <c r="C133">
        <v>6837</v>
      </c>
      <c r="D133">
        <v>538</v>
      </c>
      <c r="E133">
        <v>1791</v>
      </c>
      <c r="F133">
        <v>35303</v>
      </c>
      <c r="G133">
        <v>125</v>
      </c>
    </row>
    <row r="134" spans="1:7" x14ac:dyDescent="0.25">
      <c r="A134" t="s">
        <v>153</v>
      </c>
      <c r="B134">
        <v>467</v>
      </c>
      <c r="C134">
        <v>6051</v>
      </c>
      <c r="D134">
        <v>510</v>
      </c>
      <c r="E134">
        <v>1621</v>
      </c>
      <c r="F134">
        <v>36905</v>
      </c>
      <c r="G134">
        <v>117</v>
      </c>
    </row>
    <row r="135" spans="1:7" x14ac:dyDescent="0.25">
      <c r="A135" t="s">
        <v>154</v>
      </c>
      <c r="B135">
        <v>439</v>
      </c>
      <c r="C135">
        <v>7193</v>
      </c>
      <c r="D135">
        <v>571</v>
      </c>
      <c r="E135">
        <v>1719</v>
      </c>
      <c r="F135">
        <v>37333</v>
      </c>
      <c r="G135">
        <v>149</v>
      </c>
    </row>
    <row r="136" spans="1:7" x14ac:dyDescent="0.25">
      <c r="A136" t="s">
        <v>155</v>
      </c>
      <c r="B136">
        <v>446</v>
      </c>
      <c r="C136">
        <v>6639</v>
      </c>
      <c r="D136">
        <v>556</v>
      </c>
      <c r="E136">
        <v>1972</v>
      </c>
      <c r="F136">
        <v>40413</v>
      </c>
      <c r="G136">
        <v>175</v>
      </c>
    </row>
    <row r="137" spans="1:7" x14ac:dyDescent="0.25">
      <c r="A137" t="s">
        <v>156</v>
      </c>
      <c r="B137">
        <v>567</v>
      </c>
      <c r="C137">
        <v>7060</v>
      </c>
      <c r="D137">
        <v>509</v>
      </c>
      <c r="E137">
        <v>1894</v>
      </c>
      <c r="F137">
        <v>36579</v>
      </c>
      <c r="G137">
        <v>139</v>
      </c>
    </row>
    <row r="138" spans="1:7" x14ac:dyDescent="0.25">
      <c r="A138" t="s">
        <v>157</v>
      </c>
      <c r="B138">
        <v>485</v>
      </c>
      <c r="C138">
        <v>6562</v>
      </c>
      <c r="D138">
        <v>458</v>
      </c>
      <c r="E138">
        <v>1565</v>
      </c>
      <c r="F138">
        <v>37016</v>
      </c>
      <c r="G138">
        <v>125</v>
      </c>
    </row>
    <row r="139" spans="1:7" x14ac:dyDescent="0.25">
      <c r="A139" t="s">
        <v>158</v>
      </c>
      <c r="B139">
        <v>441</v>
      </c>
      <c r="C139">
        <v>7063</v>
      </c>
      <c r="D139">
        <v>510</v>
      </c>
      <c r="E139">
        <v>1645</v>
      </c>
      <c r="F139">
        <v>39103</v>
      </c>
      <c r="G139">
        <v>152</v>
      </c>
    </row>
    <row r="140" spans="1:7" x14ac:dyDescent="0.25">
      <c r="A140" t="s">
        <v>159</v>
      </c>
      <c r="B140">
        <v>429</v>
      </c>
      <c r="C140">
        <v>7374</v>
      </c>
      <c r="D140">
        <v>494</v>
      </c>
      <c r="E140">
        <v>1658</v>
      </c>
      <c r="F140">
        <v>41067</v>
      </c>
      <c r="G140">
        <v>161</v>
      </c>
    </row>
    <row r="141" spans="1:7" x14ac:dyDescent="0.25">
      <c r="A141" t="s">
        <v>160</v>
      </c>
      <c r="B141">
        <v>599</v>
      </c>
      <c r="C141">
        <v>6563</v>
      </c>
      <c r="D141">
        <v>460</v>
      </c>
      <c r="E141">
        <v>1668</v>
      </c>
      <c r="F141">
        <v>37653</v>
      </c>
      <c r="G141">
        <v>123</v>
      </c>
    </row>
    <row r="142" spans="1:7" x14ac:dyDescent="0.25">
      <c r="A142" t="s">
        <v>161</v>
      </c>
      <c r="B142">
        <v>464</v>
      </c>
      <c r="C142">
        <v>6202</v>
      </c>
      <c r="D142">
        <v>372</v>
      </c>
      <c r="E142">
        <v>1343</v>
      </c>
      <c r="F142">
        <v>37554</v>
      </c>
      <c r="G142">
        <v>111</v>
      </c>
    </row>
    <row r="143" spans="1:7" x14ac:dyDescent="0.25">
      <c r="A143" t="s">
        <v>162</v>
      </c>
      <c r="B143">
        <v>424</v>
      </c>
      <c r="C143">
        <v>6694</v>
      </c>
      <c r="D143">
        <v>436</v>
      </c>
      <c r="E143">
        <v>1441</v>
      </c>
      <c r="F143">
        <v>38752</v>
      </c>
      <c r="G143">
        <v>141</v>
      </c>
    </row>
    <row r="144" spans="1:7" x14ac:dyDescent="0.25">
      <c r="A144" t="s">
        <v>163</v>
      </c>
      <c r="B144">
        <v>436</v>
      </c>
      <c r="C144">
        <v>6748</v>
      </c>
      <c r="D144">
        <v>422</v>
      </c>
      <c r="E144">
        <v>1444</v>
      </c>
      <c r="F144">
        <v>41424</v>
      </c>
      <c r="G144">
        <v>160</v>
      </c>
    </row>
    <row r="145" spans="1:7" x14ac:dyDescent="0.25">
      <c r="A145" t="s">
        <v>164</v>
      </c>
      <c r="B145">
        <v>574</v>
      </c>
      <c r="C145">
        <v>6160</v>
      </c>
      <c r="D145">
        <v>423</v>
      </c>
      <c r="E145">
        <v>1497</v>
      </c>
      <c r="F145">
        <v>38101</v>
      </c>
      <c r="G145">
        <v>125</v>
      </c>
    </row>
    <row r="146" spans="1:7" x14ac:dyDescent="0.25">
      <c r="A146" t="s">
        <v>165</v>
      </c>
      <c r="B146">
        <v>443</v>
      </c>
      <c r="C146">
        <v>5777</v>
      </c>
      <c r="D146">
        <v>383</v>
      </c>
      <c r="E146">
        <v>1289</v>
      </c>
      <c r="F146">
        <v>38332</v>
      </c>
      <c r="G146">
        <v>117</v>
      </c>
    </row>
    <row r="147" spans="1:7" x14ac:dyDescent="0.25">
      <c r="A147" t="s">
        <v>166</v>
      </c>
      <c r="B147">
        <v>410</v>
      </c>
      <c r="C147">
        <v>5853</v>
      </c>
      <c r="D147">
        <v>404</v>
      </c>
      <c r="E147">
        <v>1501</v>
      </c>
      <c r="F147">
        <v>39774</v>
      </c>
      <c r="G147">
        <v>151</v>
      </c>
    </row>
    <row r="148" spans="1:7" x14ac:dyDescent="0.25">
      <c r="A148" t="s">
        <v>167</v>
      </c>
      <c r="B148">
        <v>420</v>
      </c>
      <c r="C148">
        <v>6416</v>
      </c>
      <c r="D148">
        <v>446</v>
      </c>
      <c r="E148">
        <v>1539</v>
      </c>
      <c r="F148">
        <v>42246</v>
      </c>
      <c r="G148">
        <v>175</v>
      </c>
    </row>
    <row r="149" spans="1:7" x14ac:dyDescent="0.25">
      <c r="A149" t="s">
        <v>168</v>
      </c>
      <c r="B149">
        <v>532</v>
      </c>
      <c r="C149">
        <v>5825</v>
      </c>
      <c r="D149">
        <v>420</v>
      </c>
      <c r="E149">
        <v>1568</v>
      </c>
      <c r="F149">
        <v>38498</v>
      </c>
      <c r="G149">
        <v>129</v>
      </c>
    </row>
    <row r="150" spans="1:7" x14ac:dyDescent="0.25">
      <c r="A150" t="s">
        <v>169</v>
      </c>
      <c r="B150">
        <v>433</v>
      </c>
      <c r="C150">
        <v>5724</v>
      </c>
      <c r="D150">
        <v>394</v>
      </c>
      <c r="E150">
        <v>1450</v>
      </c>
      <c r="F150">
        <v>39460</v>
      </c>
      <c r="G150">
        <v>116</v>
      </c>
    </row>
    <row r="151" spans="1:7" x14ac:dyDescent="0.25">
      <c r="A151" t="s">
        <v>170</v>
      </c>
      <c r="B151">
        <v>421</v>
      </c>
      <c r="C151">
        <v>6036</v>
      </c>
      <c r="D151">
        <v>462</v>
      </c>
      <c r="E151">
        <v>1668</v>
      </c>
      <c r="F151">
        <v>41356</v>
      </c>
      <c r="G151">
        <v>149</v>
      </c>
    </row>
    <row r="152" spans="1:7" x14ac:dyDescent="0.25">
      <c r="A152" t="s">
        <v>171</v>
      </c>
      <c r="B152">
        <v>410</v>
      </c>
      <c r="C152">
        <v>6570</v>
      </c>
      <c r="D152">
        <v>475</v>
      </c>
      <c r="E152">
        <v>1648</v>
      </c>
      <c r="F152">
        <v>42949</v>
      </c>
      <c r="G152">
        <v>163</v>
      </c>
    </row>
    <row r="153" spans="1:7" x14ac:dyDescent="0.25">
      <c r="A153" t="s">
        <v>172</v>
      </c>
      <c r="B153">
        <v>512</v>
      </c>
      <c r="C153">
        <v>5675</v>
      </c>
      <c r="D153">
        <v>443</v>
      </c>
      <c r="E153">
        <v>1863</v>
      </c>
      <c r="F153">
        <v>40974</v>
      </c>
      <c r="G153">
        <v>138</v>
      </c>
    </row>
    <row r="154" spans="1:7" x14ac:dyDescent="0.25">
      <c r="A154" t="s">
        <v>173</v>
      </c>
      <c r="B154">
        <v>449</v>
      </c>
      <c r="C154">
        <v>5311</v>
      </c>
      <c r="D154">
        <v>421</v>
      </c>
      <c r="E154">
        <v>1468</v>
      </c>
      <c r="F154">
        <v>40162</v>
      </c>
      <c r="G154">
        <v>127</v>
      </c>
    </row>
    <row r="155" spans="1:7" x14ac:dyDescent="0.25">
      <c r="A155" t="s">
        <v>174</v>
      </c>
      <c r="B155">
        <v>381</v>
      </c>
      <c r="C155">
        <v>5717</v>
      </c>
      <c r="D155">
        <v>475</v>
      </c>
      <c r="E155">
        <v>1755</v>
      </c>
      <c r="F155">
        <v>41199</v>
      </c>
      <c r="G155">
        <v>159</v>
      </c>
    </row>
    <row r="156" spans="1:7" x14ac:dyDescent="0.25">
      <c r="A156" t="s">
        <v>175</v>
      </c>
      <c r="B156">
        <v>423</v>
      </c>
      <c r="C156">
        <v>7000</v>
      </c>
      <c r="D156">
        <v>497</v>
      </c>
      <c r="E156">
        <v>1962</v>
      </c>
      <c r="F156">
        <v>44095</v>
      </c>
      <c r="G156">
        <v>184</v>
      </c>
    </row>
    <row r="157" spans="1:7" x14ac:dyDescent="0.25">
      <c r="A157" t="s">
        <v>176</v>
      </c>
      <c r="B157">
        <v>531</v>
      </c>
      <c r="C157">
        <v>6085</v>
      </c>
      <c r="D157">
        <v>476</v>
      </c>
      <c r="E157">
        <v>1833</v>
      </c>
      <c r="F157">
        <v>41745</v>
      </c>
      <c r="G157">
        <v>147</v>
      </c>
    </row>
    <row r="158" spans="1:7" x14ac:dyDescent="0.25">
      <c r="A158" t="s">
        <v>177</v>
      </c>
      <c r="B158">
        <v>426</v>
      </c>
      <c r="C158">
        <v>4714</v>
      </c>
      <c r="D158">
        <v>430</v>
      </c>
      <c r="E158">
        <v>1626</v>
      </c>
      <c r="F158">
        <v>41768</v>
      </c>
      <c r="G158">
        <v>131</v>
      </c>
    </row>
    <row r="159" spans="1:7" x14ac:dyDescent="0.25">
      <c r="A159" t="s">
        <v>178</v>
      </c>
      <c r="B159">
        <v>408</v>
      </c>
      <c r="C159">
        <v>3939</v>
      </c>
      <c r="D159">
        <v>457</v>
      </c>
      <c r="E159">
        <v>1703</v>
      </c>
      <c r="F159">
        <v>43686</v>
      </c>
      <c r="G159">
        <v>167</v>
      </c>
    </row>
    <row r="160" spans="1:7" x14ac:dyDescent="0.25">
      <c r="A160" t="s">
        <v>179</v>
      </c>
      <c r="B160">
        <v>416</v>
      </c>
      <c r="C160">
        <v>6137</v>
      </c>
      <c r="D160">
        <v>417</v>
      </c>
      <c r="E160">
        <v>1733</v>
      </c>
      <c r="F160">
        <v>46022</v>
      </c>
      <c r="G160">
        <v>181</v>
      </c>
    </row>
    <row r="161" spans="1:7" x14ac:dyDescent="0.25">
      <c r="A161" t="s">
        <v>180</v>
      </c>
      <c r="B161">
        <v>520</v>
      </c>
      <c r="C161">
        <v>4739</v>
      </c>
      <c r="D161">
        <v>370</v>
      </c>
      <c r="E161">
        <v>1545</v>
      </c>
      <c r="F161">
        <v>42800</v>
      </c>
      <c r="G161">
        <v>145</v>
      </c>
    </row>
    <row r="162" spans="1:7" x14ac:dyDescent="0.25">
      <c r="A162" t="s">
        <v>181</v>
      </c>
      <c r="B162">
        <v>409</v>
      </c>
      <c r="C162">
        <v>4275</v>
      </c>
      <c r="D162">
        <v>310</v>
      </c>
      <c r="E162">
        <v>1526</v>
      </c>
      <c r="F162">
        <v>43661</v>
      </c>
      <c r="G162">
        <v>133</v>
      </c>
    </row>
    <row r="163" spans="1:7" x14ac:dyDescent="0.25">
      <c r="A163" t="s">
        <v>182</v>
      </c>
      <c r="B163">
        <v>398</v>
      </c>
      <c r="C163">
        <v>5239</v>
      </c>
      <c r="D163">
        <v>358</v>
      </c>
      <c r="E163">
        <v>1593</v>
      </c>
      <c r="F163">
        <v>44707</v>
      </c>
      <c r="G163">
        <v>162</v>
      </c>
    </row>
    <row r="164" spans="1:7" x14ac:dyDescent="0.25">
      <c r="A164" t="s">
        <v>183</v>
      </c>
      <c r="B164">
        <v>398</v>
      </c>
      <c r="C164">
        <v>6293</v>
      </c>
      <c r="D164">
        <v>379</v>
      </c>
      <c r="E164">
        <v>1706</v>
      </c>
      <c r="F164">
        <v>46326</v>
      </c>
      <c r="G164">
        <v>184</v>
      </c>
    </row>
    <row r="165" spans="1:7" x14ac:dyDescent="0.25">
      <c r="A165" t="s">
        <v>184</v>
      </c>
      <c r="B165">
        <v>507</v>
      </c>
      <c r="C165">
        <v>5575</v>
      </c>
      <c r="D165">
        <v>369</v>
      </c>
      <c r="E165">
        <v>1699</v>
      </c>
      <c r="F165">
        <v>43346</v>
      </c>
      <c r="G165">
        <v>146</v>
      </c>
    </row>
    <row r="166" spans="1:7" x14ac:dyDescent="0.25">
      <c r="A166" t="s">
        <v>185</v>
      </c>
      <c r="B166">
        <v>432</v>
      </c>
      <c r="C166">
        <v>4802</v>
      </c>
      <c r="D166">
        <v>330</v>
      </c>
      <c r="E166">
        <v>1511</v>
      </c>
      <c r="F166">
        <v>43938</v>
      </c>
      <c r="G166">
        <v>135</v>
      </c>
    </row>
    <row r="167" spans="1:7" x14ac:dyDescent="0.25">
      <c r="A167" t="s">
        <v>186</v>
      </c>
      <c r="B167">
        <v>398</v>
      </c>
      <c r="C167">
        <v>5523</v>
      </c>
      <c r="D167">
        <v>390</v>
      </c>
      <c r="E167">
        <v>1785</v>
      </c>
      <c r="F167">
        <v>45828</v>
      </c>
      <c r="G167">
        <v>171</v>
      </c>
    </row>
    <row r="168" spans="1:7" x14ac:dyDescent="0.25">
      <c r="A168" t="s">
        <v>187</v>
      </c>
      <c r="B168">
        <v>406</v>
      </c>
      <c r="C168">
        <v>5708</v>
      </c>
      <c r="D168">
        <v>416</v>
      </c>
      <c r="E168">
        <v>1826</v>
      </c>
      <c r="F168">
        <v>48448</v>
      </c>
      <c r="G168">
        <v>183</v>
      </c>
    </row>
    <row r="169" spans="1:7" x14ac:dyDescent="0.25">
      <c r="A169" t="s">
        <v>188</v>
      </c>
      <c r="B169">
        <v>526</v>
      </c>
      <c r="C169">
        <v>4821</v>
      </c>
      <c r="D169">
        <v>383</v>
      </c>
      <c r="E169">
        <v>1830</v>
      </c>
      <c r="F169">
        <v>46096</v>
      </c>
      <c r="G169">
        <v>151</v>
      </c>
    </row>
    <row r="170" spans="1:7" x14ac:dyDescent="0.25">
      <c r="A170" t="s">
        <v>189</v>
      </c>
      <c r="B170">
        <v>428</v>
      </c>
      <c r="C170">
        <v>4919</v>
      </c>
      <c r="D170">
        <v>339</v>
      </c>
      <c r="E170">
        <v>1719</v>
      </c>
      <c r="F170">
        <v>46198</v>
      </c>
      <c r="G170">
        <v>141</v>
      </c>
    </row>
    <row r="171" spans="1:7" x14ac:dyDescent="0.25">
      <c r="A171" t="s">
        <v>190</v>
      </c>
      <c r="B171">
        <v>397</v>
      </c>
      <c r="C171">
        <v>5809</v>
      </c>
      <c r="D171">
        <v>394</v>
      </c>
      <c r="E171">
        <v>1861</v>
      </c>
      <c r="F171">
        <v>47237</v>
      </c>
      <c r="G171">
        <v>174</v>
      </c>
    </row>
    <row r="172" spans="1:7" x14ac:dyDescent="0.25">
      <c r="A172" t="s">
        <v>191</v>
      </c>
      <c r="B172">
        <v>403</v>
      </c>
      <c r="C172">
        <v>5904</v>
      </c>
      <c r="D172">
        <v>412</v>
      </c>
      <c r="E172">
        <v>1956</v>
      </c>
      <c r="F172">
        <v>49041</v>
      </c>
      <c r="G172">
        <v>191</v>
      </c>
    </row>
    <row r="173" spans="1:7" x14ac:dyDescent="0.25">
      <c r="A173" t="s">
        <v>192</v>
      </c>
      <c r="B173">
        <v>517</v>
      </c>
      <c r="C173">
        <v>4555</v>
      </c>
      <c r="D173">
        <v>420</v>
      </c>
      <c r="E173">
        <v>2067</v>
      </c>
      <c r="F173">
        <v>46192</v>
      </c>
      <c r="G173">
        <v>157</v>
      </c>
    </row>
    <row r="174" spans="1:7" x14ac:dyDescent="0.25">
      <c r="A174" t="s">
        <v>193</v>
      </c>
      <c r="B174">
        <v>435</v>
      </c>
      <c r="C174">
        <v>5198</v>
      </c>
      <c r="D174">
        <v>376</v>
      </c>
      <c r="E174">
        <v>1737</v>
      </c>
      <c r="F174">
        <v>48089</v>
      </c>
      <c r="G174">
        <v>145</v>
      </c>
    </row>
    <row r="175" spans="1:7" x14ac:dyDescent="0.25">
      <c r="A175" t="s">
        <v>194</v>
      </c>
      <c r="B175">
        <v>383</v>
      </c>
      <c r="C175">
        <v>5388</v>
      </c>
      <c r="D175">
        <v>401</v>
      </c>
      <c r="E175">
        <v>1944</v>
      </c>
      <c r="F175">
        <v>48227</v>
      </c>
      <c r="G175">
        <v>182</v>
      </c>
    </row>
    <row r="176" spans="1:7" x14ac:dyDescent="0.25">
      <c r="A176" t="s">
        <v>195</v>
      </c>
      <c r="B176">
        <v>424</v>
      </c>
      <c r="C176">
        <v>5142</v>
      </c>
      <c r="D176">
        <v>430</v>
      </c>
      <c r="E176">
        <v>2005</v>
      </c>
      <c r="F176">
        <v>49784</v>
      </c>
      <c r="G176">
        <v>198</v>
      </c>
    </row>
    <row r="177" spans="1:7" x14ac:dyDescent="0.25">
      <c r="A177" t="s">
        <v>196</v>
      </c>
      <c r="B177">
        <v>521</v>
      </c>
      <c r="C177">
        <v>5517</v>
      </c>
      <c r="D177">
        <v>417</v>
      </c>
      <c r="E177">
        <v>2027</v>
      </c>
      <c r="F177">
        <v>47588</v>
      </c>
      <c r="G177">
        <v>165</v>
      </c>
    </row>
    <row r="178" spans="1:7" x14ac:dyDescent="0.25">
      <c r="A178" t="s">
        <v>197</v>
      </c>
      <c r="B178">
        <v>421</v>
      </c>
      <c r="C178">
        <v>5169</v>
      </c>
      <c r="D178">
        <v>416</v>
      </c>
      <c r="E178">
        <v>1835</v>
      </c>
      <c r="F178">
        <v>49320</v>
      </c>
      <c r="G178">
        <v>164</v>
      </c>
    </row>
    <row r="179" spans="1:7" x14ac:dyDescent="0.25">
      <c r="A179" t="s">
        <v>198</v>
      </c>
      <c r="B179">
        <v>402</v>
      </c>
      <c r="C179">
        <v>4860</v>
      </c>
      <c r="D179">
        <v>447</v>
      </c>
      <c r="E179">
        <v>2070</v>
      </c>
      <c r="F179">
        <v>50670</v>
      </c>
      <c r="G179">
        <v>199</v>
      </c>
    </row>
    <row r="180" spans="1:7" x14ac:dyDescent="0.25">
      <c r="A180" t="s">
        <v>199</v>
      </c>
      <c r="B180">
        <v>414</v>
      </c>
      <c r="C180">
        <v>5185</v>
      </c>
      <c r="D180">
        <v>421</v>
      </c>
      <c r="E180">
        <v>1898</v>
      </c>
      <c r="F180">
        <v>52623</v>
      </c>
      <c r="G180">
        <v>213</v>
      </c>
    </row>
    <row r="181" spans="1:7" x14ac:dyDescent="0.25">
      <c r="A181" t="s">
        <v>200</v>
      </c>
      <c r="B181">
        <v>500</v>
      </c>
      <c r="C181">
        <v>4763</v>
      </c>
      <c r="D181">
        <v>379</v>
      </c>
      <c r="E181">
        <v>1652</v>
      </c>
      <c r="F181">
        <v>49350</v>
      </c>
      <c r="G181">
        <v>173</v>
      </c>
    </row>
    <row r="182" spans="1:7" x14ac:dyDescent="0.25">
      <c r="A182" t="s">
        <v>201</v>
      </c>
      <c r="B182">
        <v>451</v>
      </c>
      <c r="C182">
        <v>4217</v>
      </c>
      <c r="D182">
        <v>304</v>
      </c>
      <c r="E182">
        <v>1554</v>
      </c>
      <c r="F182">
        <v>51658</v>
      </c>
      <c r="G182">
        <v>177</v>
      </c>
    </row>
    <row r="183" spans="1:7" x14ac:dyDescent="0.25">
      <c r="A183" t="s">
        <v>202</v>
      </c>
      <c r="B183">
        <v>380</v>
      </c>
      <c r="C183">
        <v>4959</v>
      </c>
      <c r="D183">
        <v>337</v>
      </c>
      <c r="E183">
        <v>1717</v>
      </c>
      <c r="F183">
        <v>51103</v>
      </c>
      <c r="G183">
        <v>205</v>
      </c>
    </row>
    <row r="184" spans="1:7" x14ac:dyDescent="0.25">
      <c r="A184" t="s">
        <v>203</v>
      </c>
      <c r="B184">
        <v>416</v>
      </c>
      <c r="C184">
        <v>5196</v>
      </c>
      <c r="D184">
        <v>385</v>
      </c>
      <c r="E184">
        <v>1679</v>
      </c>
      <c r="F184">
        <v>52226</v>
      </c>
      <c r="G184">
        <v>218</v>
      </c>
    </row>
    <row r="185" spans="1:7" x14ac:dyDescent="0.25">
      <c r="A185" t="s">
        <v>204</v>
      </c>
      <c r="B185">
        <v>492</v>
      </c>
      <c r="C185">
        <v>4522</v>
      </c>
      <c r="D185">
        <v>381</v>
      </c>
      <c r="E185">
        <v>1836</v>
      </c>
      <c r="F185">
        <v>50778</v>
      </c>
      <c r="G185">
        <v>185</v>
      </c>
    </row>
    <row r="186" spans="1:7" x14ac:dyDescent="0.25">
      <c r="A186" t="s">
        <v>205</v>
      </c>
      <c r="B186">
        <v>428</v>
      </c>
      <c r="C186">
        <v>3843</v>
      </c>
      <c r="D186">
        <v>345</v>
      </c>
      <c r="E186">
        <v>1729</v>
      </c>
      <c r="F186">
        <v>50639</v>
      </c>
      <c r="G186">
        <v>166</v>
      </c>
    </row>
    <row r="187" spans="1:7" x14ac:dyDescent="0.25">
      <c r="A187" t="s">
        <v>206</v>
      </c>
      <c r="B187">
        <v>408</v>
      </c>
      <c r="C187">
        <v>4806</v>
      </c>
      <c r="D187">
        <v>405</v>
      </c>
      <c r="E187">
        <v>1992</v>
      </c>
      <c r="F187">
        <v>51486</v>
      </c>
      <c r="G187">
        <v>204</v>
      </c>
    </row>
    <row r="188" spans="1:7" x14ac:dyDescent="0.25">
      <c r="A188" t="s">
        <v>207</v>
      </c>
      <c r="B188">
        <v>406</v>
      </c>
      <c r="C188">
        <v>5280</v>
      </c>
      <c r="D188">
        <v>417</v>
      </c>
      <c r="E188">
        <v>2030</v>
      </c>
      <c r="F188">
        <v>53299</v>
      </c>
      <c r="G188">
        <v>228</v>
      </c>
    </row>
    <row r="189" spans="1:7" x14ac:dyDescent="0.25">
      <c r="A189" t="s">
        <v>208</v>
      </c>
      <c r="B189">
        <v>506</v>
      </c>
      <c r="C189">
        <v>4709</v>
      </c>
      <c r="D189">
        <v>420</v>
      </c>
      <c r="E189">
        <v>1978</v>
      </c>
      <c r="F189">
        <v>51646</v>
      </c>
      <c r="G189">
        <v>186</v>
      </c>
    </row>
    <row r="190" spans="1:7" x14ac:dyDescent="0.25">
      <c r="A190" t="s">
        <v>209</v>
      </c>
      <c r="B190">
        <v>435</v>
      </c>
      <c r="C190">
        <v>4362</v>
      </c>
      <c r="D190">
        <v>387</v>
      </c>
      <c r="E190">
        <v>1831</v>
      </c>
      <c r="F190">
        <v>51415</v>
      </c>
      <c r="G190">
        <v>172</v>
      </c>
    </row>
    <row r="191" spans="1:7" x14ac:dyDescent="0.25">
      <c r="A191" t="s">
        <v>210</v>
      </c>
      <c r="B191">
        <v>380</v>
      </c>
      <c r="C191">
        <v>5210</v>
      </c>
      <c r="D191">
        <v>415</v>
      </c>
      <c r="E191">
        <v>1892</v>
      </c>
      <c r="F191">
        <v>51379</v>
      </c>
      <c r="G191">
        <v>204</v>
      </c>
    </row>
    <row r="192" spans="1:7" x14ac:dyDescent="0.25">
      <c r="A192" t="s">
        <v>211</v>
      </c>
      <c r="B192">
        <v>421</v>
      </c>
      <c r="C192">
        <v>5258</v>
      </c>
      <c r="D192">
        <v>440</v>
      </c>
      <c r="E192">
        <v>2227</v>
      </c>
      <c r="F192">
        <v>54808</v>
      </c>
      <c r="G192">
        <v>232</v>
      </c>
    </row>
    <row r="193" spans="1:7" x14ac:dyDescent="0.25">
      <c r="A193" t="s">
        <v>212</v>
      </c>
      <c r="B193">
        <v>490</v>
      </c>
      <c r="C193">
        <v>4526</v>
      </c>
      <c r="D193">
        <v>413</v>
      </c>
      <c r="E193">
        <v>2090</v>
      </c>
      <c r="F193">
        <v>52453</v>
      </c>
      <c r="G193">
        <v>188</v>
      </c>
    </row>
    <row r="194" spans="1:7" x14ac:dyDescent="0.25">
      <c r="A194" t="s">
        <v>213</v>
      </c>
      <c r="B194">
        <v>435</v>
      </c>
      <c r="C194">
        <v>3974</v>
      </c>
      <c r="D194">
        <v>409</v>
      </c>
      <c r="E194">
        <v>1963</v>
      </c>
      <c r="F194">
        <v>54561</v>
      </c>
      <c r="G194">
        <v>173</v>
      </c>
    </row>
    <row r="195" spans="1:7" x14ac:dyDescent="0.25">
      <c r="A195" t="s">
        <v>214</v>
      </c>
      <c r="B195">
        <v>390</v>
      </c>
      <c r="C195">
        <v>5027</v>
      </c>
      <c r="D195">
        <v>423</v>
      </c>
      <c r="E195">
        <v>2180</v>
      </c>
      <c r="F195">
        <v>54644</v>
      </c>
      <c r="G195">
        <v>215</v>
      </c>
    </row>
    <row r="196" spans="1:7" x14ac:dyDescent="0.25">
      <c r="A196" t="s">
        <v>215</v>
      </c>
      <c r="B196">
        <v>412</v>
      </c>
      <c r="C196" t="s">
        <v>216</v>
      </c>
      <c r="D196">
        <v>428</v>
      </c>
      <c r="E196">
        <v>2307</v>
      </c>
      <c r="F196">
        <v>55915</v>
      </c>
      <c r="G196">
        <v>227</v>
      </c>
    </row>
    <row r="197" spans="1:7" x14ac:dyDescent="0.25">
      <c r="A197" t="s">
        <v>217</v>
      </c>
      <c r="B197">
        <v>454</v>
      </c>
      <c r="C197" t="s">
        <v>216</v>
      </c>
      <c r="D197">
        <v>397</v>
      </c>
      <c r="E197">
        <v>2157</v>
      </c>
      <c r="F197">
        <v>52850</v>
      </c>
      <c r="G197">
        <v>190</v>
      </c>
    </row>
    <row r="198" spans="1:7" x14ac:dyDescent="0.25">
      <c r="A198" t="s">
        <v>218</v>
      </c>
      <c r="B198">
        <v>416</v>
      </c>
      <c r="C198" t="s">
        <v>216</v>
      </c>
      <c r="D198">
        <v>355</v>
      </c>
      <c r="E198">
        <v>1980</v>
      </c>
      <c r="F198">
        <v>55035</v>
      </c>
      <c r="G198">
        <v>170</v>
      </c>
    </row>
    <row r="199" spans="1:7" x14ac:dyDescent="0.25">
      <c r="A199" t="s">
        <v>219</v>
      </c>
      <c r="B199">
        <v>403</v>
      </c>
      <c r="C199" t="s">
        <v>216</v>
      </c>
      <c r="D199">
        <v>435</v>
      </c>
      <c r="E199">
        <v>2481</v>
      </c>
      <c r="F199">
        <v>55117</v>
      </c>
      <c r="G199">
        <v>206</v>
      </c>
    </row>
    <row r="200" spans="1:7" x14ac:dyDescent="0.25">
      <c r="A200" t="s">
        <v>220</v>
      </c>
      <c r="B200">
        <v>408</v>
      </c>
      <c r="C200" t="s">
        <v>216</v>
      </c>
      <c r="D200" t="s">
        <v>216</v>
      </c>
      <c r="E200">
        <v>2340</v>
      </c>
      <c r="F200">
        <v>56043</v>
      </c>
      <c r="G200">
        <v>221</v>
      </c>
    </row>
    <row r="201" spans="1:7" x14ac:dyDescent="0.25">
      <c r="A201" t="s">
        <v>221</v>
      </c>
      <c r="B201">
        <v>482</v>
      </c>
      <c r="C201" t="s">
        <v>216</v>
      </c>
      <c r="D201" t="s">
        <v>216</v>
      </c>
      <c r="E201">
        <v>2265</v>
      </c>
      <c r="F201">
        <v>54992</v>
      </c>
      <c r="G201">
        <v>180</v>
      </c>
    </row>
    <row r="202" spans="1:7" x14ac:dyDescent="0.25">
      <c r="A202" t="s">
        <v>222</v>
      </c>
      <c r="B202">
        <v>438</v>
      </c>
      <c r="C202" t="s">
        <v>216</v>
      </c>
      <c r="D202" t="s">
        <v>216</v>
      </c>
      <c r="E202">
        <v>2027</v>
      </c>
      <c r="F202">
        <v>57112</v>
      </c>
      <c r="G202">
        <v>171</v>
      </c>
    </row>
    <row r="203" spans="1:7" x14ac:dyDescent="0.25">
      <c r="A203" t="s">
        <v>223</v>
      </c>
      <c r="B203">
        <v>386</v>
      </c>
      <c r="C203" t="s">
        <v>216</v>
      </c>
      <c r="D203" t="s">
        <v>216</v>
      </c>
      <c r="E203">
        <v>2278</v>
      </c>
      <c r="F203">
        <v>57157</v>
      </c>
      <c r="G203">
        <v>224</v>
      </c>
    </row>
    <row r="204" spans="1:7" x14ac:dyDescent="0.25">
      <c r="A204" t="s">
        <v>224</v>
      </c>
      <c r="B204">
        <v>405</v>
      </c>
      <c r="C204" t="s">
        <v>216</v>
      </c>
      <c r="D204" t="s">
        <v>216</v>
      </c>
      <c r="E204">
        <v>2427</v>
      </c>
      <c r="F204">
        <v>58400</v>
      </c>
      <c r="G204">
        <v>233</v>
      </c>
    </row>
    <row r="205" spans="1:7" x14ac:dyDescent="0.25">
      <c r="A205" t="s">
        <v>225</v>
      </c>
      <c r="B205">
        <v>491</v>
      </c>
      <c r="C205" t="s">
        <v>216</v>
      </c>
      <c r="D205" t="s">
        <v>216</v>
      </c>
      <c r="E205">
        <v>2451</v>
      </c>
      <c r="F205">
        <v>56249</v>
      </c>
      <c r="G205">
        <v>192</v>
      </c>
    </row>
    <row r="206" spans="1:7" x14ac:dyDescent="0.25">
      <c r="A206" t="s">
        <v>226</v>
      </c>
      <c r="B206">
        <v>427</v>
      </c>
      <c r="C206" t="s">
        <v>216</v>
      </c>
      <c r="D206" t="s">
        <v>216</v>
      </c>
      <c r="E206">
        <v>2140</v>
      </c>
      <c r="F206">
        <v>56244</v>
      </c>
      <c r="G206">
        <v>187</v>
      </c>
    </row>
    <row r="207" spans="1:7" x14ac:dyDescent="0.25">
      <c r="A207" t="s">
        <v>227</v>
      </c>
      <c r="B207">
        <v>383</v>
      </c>
      <c r="C207" t="s">
        <v>216</v>
      </c>
      <c r="D207" t="s">
        <v>216</v>
      </c>
      <c r="E207">
        <v>2362</v>
      </c>
      <c r="F207">
        <v>55036</v>
      </c>
      <c r="G207">
        <v>234</v>
      </c>
    </row>
    <row r="208" spans="1:7" x14ac:dyDescent="0.25">
      <c r="A208" t="s">
        <v>228</v>
      </c>
      <c r="B208">
        <v>394</v>
      </c>
      <c r="C208" t="s">
        <v>216</v>
      </c>
      <c r="D208" t="s">
        <v>216</v>
      </c>
      <c r="E208">
        <v>2536</v>
      </c>
      <c r="F208">
        <v>59806</v>
      </c>
      <c r="G208">
        <v>245</v>
      </c>
    </row>
    <row r="209" spans="1:7" x14ac:dyDescent="0.25">
      <c r="A209" t="s">
        <v>229</v>
      </c>
      <c r="B209">
        <v>473</v>
      </c>
      <c r="C209" t="s">
        <v>216</v>
      </c>
      <c r="D209" t="s">
        <v>216</v>
      </c>
      <c r="E209">
        <v>2562</v>
      </c>
      <c r="F209">
        <v>56411</v>
      </c>
      <c r="G209">
        <v>205</v>
      </c>
    </row>
    <row r="210" spans="1:7" x14ac:dyDescent="0.25">
      <c r="A210" t="s">
        <v>230</v>
      </c>
      <c r="B210">
        <v>420</v>
      </c>
      <c r="C210" t="s">
        <v>216</v>
      </c>
      <c r="D210" t="s">
        <v>216</v>
      </c>
      <c r="E210">
        <v>2183</v>
      </c>
      <c r="F210">
        <v>59118</v>
      </c>
      <c r="G210">
        <v>194</v>
      </c>
    </row>
    <row r="211" spans="1:7" x14ac:dyDescent="0.25">
      <c r="A211" t="s">
        <v>231</v>
      </c>
      <c r="B211">
        <v>390</v>
      </c>
      <c r="C211" t="s">
        <v>216</v>
      </c>
      <c r="D211" t="s">
        <v>216</v>
      </c>
      <c r="E211">
        <v>2558</v>
      </c>
      <c r="F211">
        <v>56660</v>
      </c>
      <c r="G211">
        <v>229</v>
      </c>
    </row>
    <row r="212" spans="1:7" x14ac:dyDescent="0.25">
      <c r="A212" t="s">
        <v>232</v>
      </c>
      <c r="B212">
        <v>410</v>
      </c>
      <c r="C212" t="s">
        <v>216</v>
      </c>
      <c r="D212" t="s">
        <v>216</v>
      </c>
      <c r="E212">
        <v>2612</v>
      </c>
      <c r="F212">
        <v>64067</v>
      </c>
      <c r="G212">
        <v>249</v>
      </c>
    </row>
    <row r="213" spans="1:7" x14ac:dyDescent="0.25">
      <c r="A213" t="s">
        <v>233</v>
      </c>
      <c r="B213">
        <v>488</v>
      </c>
      <c r="C213" t="s">
        <v>216</v>
      </c>
      <c r="D213" t="s">
        <v>216</v>
      </c>
      <c r="E213">
        <v>2373</v>
      </c>
      <c r="F213">
        <v>59045</v>
      </c>
      <c r="G213">
        <v>203</v>
      </c>
    </row>
    <row r="214" spans="1:7" x14ac:dyDescent="0.25">
      <c r="A214" t="s">
        <v>234</v>
      </c>
      <c r="B214">
        <v>415</v>
      </c>
      <c r="C214" t="s">
        <v>216</v>
      </c>
      <c r="D214" t="s">
        <v>216</v>
      </c>
      <c r="E214">
        <v>1963</v>
      </c>
      <c r="F214">
        <v>58368</v>
      </c>
      <c r="G214">
        <v>196</v>
      </c>
    </row>
    <row r="215" spans="1:7" x14ac:dyDescent="0.25">
      <c r="A215" t="s">
        <v>235</v>
      </c>
      <c r="B215">
        <v>398</v>
      </c>
      <c r="C215" t="s">
        <v>216</v>
      </c>
      <c r="D215" t="s">
        <v>216</v>
      </c>
      <c r="E215">
        <v>2160</v>
      </c>
      <c r="F215">
        <v>57471</v>
      </c>
      <c r="G215">
        <v>238</v>
      </c>
    </row>
    <row r="216" spans="1:7" x14ac:dyDescent="0.25">
      <c r="A216" t="s">
        <v>236</v>
      </c>
      <c r="B216">
        <v>419</v>
      </c>
      <c r="C216" t="s">
        <v>216</v>
      </c>
      <c r="D216" t="s">
        <v>216</v>
      </c>
      <c r="E216">
        <v>2325</v>
      </c>
      <c r="F216">
        <v>58394</v>
      </c>
      <c r="G216">
        <v>252</v>
      </c>
    </row>
    <row r="217" spans="1:7" x14ac:dyDescent="0.25">
      <c r="A217" t="s">
        <v>237</v>
      </c>
      <c r="B217">
        <v>488</v>
      </c>
      <c r="C217" t="s">
        <v>216</v>
      </c>
      <c r="D217" t="s">
        <v>216</v>
      </c>
      <c r="E217">
        <v>2273</v>
      </c>
      <c r="F217">
        <v>57336</v>
      </c>
      <c r="G217">
        <v>210</v>
      </c>
    </row>
    <row r="218" spans="1:7" x14ac:dyDescent="0.25">
      <c r="A218" t="s">
        <v>238</v>
      </c>
      <c r="B218">
        <v>414</v>
      </c>
      <c r="C218" t="s">
        <v>216</v>
      </c>
      <c r="D218" t="s">
        <v>216</v>
      </c>
      <c r="E218">
        <v>1904</v>
      </c>
      <c r="F218">
        <v>58309</v>
      </c>
      <c r="G218">
        <v>205</v>
      </c>
    </row>
    <row r="219" spans="1:7" x14ac:dyDescent="0.25">
      <c r="A219" t="s">
        <v>239</v>
      </c>
      <c r="B219">
        <v>374</v>
      </c>
      <c r="C219" t="s">
        <v>216</v>
      </c>
      <c r="D219" t="s">
        <v>216</v>
      </c>
      <c r="E219">
        <v>2401</v>
      </c>
      <c r="F219">
        <v>58041</v>
      </c>
      <c r="G219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07BA-E53D-4668-B8BD-5A4DEA744F56}">
  <dimension ref="A1:AS29"/>
  <sheetViews>
    <sheetView tabSelected="1" workbookViewId="0">
      <selection activeCell="M8" sqref="M8"/>
    </sheetView>
  </sheetViews>
  <sheetFormatPr defaultRowHeight="15" x14ac:dyDescent="0.25"/>
  <cols>
    <col min="3" max="3" width="13.42578125" bestFit="1" customWidth="1"/>
    <col min="5" max="5" width="10.140625" bestFit="1" customWidth="1"/>
    <col min="9" max="9" width="12.28515625" bestFit="1" customWidth="1"/>
    <col min="10" max="10" width="12.85546875" bestFit="1" customWidth="1"/>
    <col min="11" max="11" width="7.28515625" bestFit="1" customWidth="1"/>
    <col min="12" max="12" width="7.42578125" bestFit="1" customWidth="1"/>
    <col min="13" max="14" width="14.85546875" bestFit="1" customWidth="1"/>
    <col min="19" max="19" width="10.140625" bestFit="1" customWidth="1"/>
    <col min="25" max="25" width="12.5703125" bestFit="1" customWidth="1"/>
    <col min="26" max="26" width="12.28515625" bestFit="1" customWidth="1"/>
    <col min="27" max="27" width="19.7109375" bestFit="1" customWidth="1"/>
    <col min="29" max="29" width="12.85546875" bestFit="1" customWidth="1"/>
    <col min="30" max="30" width="11.85546875" bestFit="1" customWidth="1"/>
    <col min="32" max="45" width="0" hidden="1" customWidth="1"/>
  </cols>
  <sheetData>
    <row r="1" spans="1:45" ht="20.25" thickBot="1" x14ac:dyDescent="0.35">
      <c r="A1" s="4" t="s">
        <v>246</v>
      </c>
      <c r="O1" s="4" t="s">
        <v>263</v>
      </c>
    </row>
    <row r="2" spans="1:45" ht="15.75" thickTop="1" x14ac:dyDescent="0.25">
      <c r="C2" t="s">
        <v>244</v>
      </c>
      <c r="D2" s="5" cm="1">
        <f t="array" ref="D2">AVERAGE(ABS(F8:F11-G8:G11))</f>
        <v>45</v>
      </c>
    </row>
    <row r="3" spans="1:45" hidden="1" x14ac:dyDescent="0.25"/>
    <row r="4" spans="1:45" x14ac:dyDescent="0.25">
      <c r="C4" t="s">
        <v>251</v>
      </c>
      <c r="D4">
        <v>0.30220156510396212</v>
      </c>
      <c r="F4" s="9"/>
      <c r="G4" s="9"/>
      <c r="H4" s="9"/>
    </row>
    <row r="5" spans="1:45" x14ac:dyDescent="0.25">
      <c r="C5" t="s">
        <v>246</v>
      </c>
      <c r="D5" s="5">
        <f>AVERAGE(M8:M11)</f>
        <v>31.325290449499118</v>
      </c>
      <c r="Q5" t="s">
        <v>261</v>
      </c>
      <c r="R5" s="6">
        <f>AVERAGE(AA8:AA11)</f>
        <v>41.949116298105743</v>
      </c>
      <c r="AF5" t="s">
        <v>261</v>
      </c>
      <c r="AG5" s="6">
        <f>AVERAGE(AS8:AS11)</f>
        <v>41.949116298105743</v>
      </c>
    </row>
    <row r="6" spans="1:45" hidden="1" x14ac:dyDescent="0.25">
      <c r="D6" s="5"/>
    </row>
    <row r="7" spans="1:45" x14ac:dyDescent="0.25">
      <c r="C7" t="s">
        <v>0</v>
      </c>
      <c r="D7" s="3" t="s">
        <v>1</v>
      </c>
      <c r="E7" t="s">
        <v>2</v>
      </c>
      <c r="F7" t="s">
        <v>253</v>
      </c>
      <c r="G7" t="s">
        <v>243</v>
      </c>
      <c r="H7" t="s">
        <v>250</v>
      </c>
      <c r="I7" t="s">
        <v>252</v>
      </c>
      <c r="J7" t="s">
        <v>247</v>
      </c>
      <c r="K7" t="s">
        <v>245</v>
      </c>
      <c r="L7" t="s">
        <v>248</v>
      </c>
      <c r="M7" t="s">
        <v>249</v>
      </c>
      <c r="Q7" t="s">
        <v>0</v>
      </c>
      <c r="R7" s="3" t="s">
        <v>1</v>
      </c>
      <c r="S7" t="s">
        <v>2</v>
      </c>
      <c r="T7" t="s">
        <v>253</v>
      </c>
      <c r="U7" t="s">
        <v>243</v>
      </c>
      <c r="V7" t="s">
        <v>250</v>
      </c>
      <c r="W7" t="s">
        <v>256</v>
      </c>
      <c r="X7" t="s">
        <v>254</v>
      </c>
      <c r="Y7" t="s">
        <v>264</v>
      </c>
      <c r="Z7" t="s">
        <v>265</v>
      </c>
      <c r="AA7" t="s">
        <v>266</v>
      </c>
      <c r="AF7" t="s">
        <v>0</v>
      </c>
      <c r="AG7" s="3" t="s">
        <v>1</v>
      </c>
      <c r="AH7" t="s">
        <v>2</v>
      </c>
      <c r="AI7" t="s">
        <v>253</v>
      </c>
      <c r="AJ7" t="s">
        <v>243</v>
      </c>
      <c r="AK7" t="s">
        <v>250</v>
      </c>
      <c r="AL7" t="s">
        <v>256</v>
      </c>
      <c r="AM7" t="s">
        <v>254</v>
      </c>
      <c r="AN7" t="s">
        <v>255</v>
      </c>
      <c r="AO7" t="s">
        <v>259</v>
      </c>
      <c r="AP7" t="s">
        <v>258</v>
      </c>
      <c r="AQ7" t="s">
        <v>257</v>
      </c>
      <c r="AR7" t="s">
        <v>260</v>
      </c>
      <c r="AS7" t="s">
        <v>262</v>
      </c>
    </row>
    <row r="8" spans="1:45" x14ac:dyDescent="0.25">
      <c r="C8" t="s">
        <v>4</v>
      </c>
      <c r="D8" s="3">
        <v>9</v>
      </c>
      <c r="E8" s="1">
        <v>37622</v>
      </c>
      <c r="F8">
        <v>730</v>
      </c>
      <c r="G8">
        <v>690</v>
      </c>
      <c r="H8">
        <v>9314</v>
      </c>
      <c r="I8" s="6">
        <f>_xlfn.NORM.INV($D$4,G8,SQRT(H8))</f>
        <v>640.00067617371781</v>
      </c>
      <c r="J8" s="6">
        <f>ABS(F8-I8)</f>
        <v>89.999323826282193</v>
      </c>
      <c r="K8">
        <f>IF(F8&gt;=I8,$D$4,1-$D$4)</f>
        <v>0.30220156510396212</v>
      </c>
      <c r="L8">
        <f t="shared" ref="L8:L11" si="0">2*K8</f>
        <v>0.60440313020792424</v>
      </c>
      <c r="M8" s="6">
        <f>L8*J8</f>
        <v>54.395873037201575</v>
      </c>
      <c r="Q8" t="s">
        <v>4</v>
      </c>
      <c r="R8" s="3">
        <v>9</v>
      </c>
      <c r="S8" s="1">
        <v>37622</v>
      </c>
      <c r="T8">
        <v>730</v>
      </c>
      <c r="U8">
        <v>690</v>
      </c>
      <c r="V8">
        <v>9314</v>
      </c>
      <c r="W8" s="6">
        <f>SQRT(V8)</f>
        <v>96.509066931558294</v>
      </c>
      <c r="X8">
        <f>T8-U8</f>
        <v>40</v>
      </c>
      <c r="Y8">
        <f>X8/W8</f>
        <v>0.41446882942477264</v>
      </c>
      <c r="Z8">
        <f>Y8*(2*_xlfn.NORM.S.DIST(Y8,TRUE)-1)+2*_xlfn.NORM.S.DIST(Y8,FALSE)-1/SQRT(PI())</f>
        <v>0.30126257808421364</v>
      </c>
      <c r="AA8" s="6">
        <f>W8*Z8</f>
        <v>29.07457031230318</v>
      </c>
      <c r="AD8" s="6"/>
      <c r="AF8" t="s">
        <v>4</v>
      </c>
      <c r="AG8" s="3">
        <v>9</v>
      </c>
      <c r="AH8" s="1">
        <v>37622</v>
      </c>
      <c r="AI8">
        <v>730</v>
      </c>
      <c r="AJ8">
        <v>690</v>
      </c>
      <c r="AK8">
        <v>9314</v>
      </c>
      <c r="AL8" s="6">
        <f>SQRT(AK8)</f>
        <v>96.509066931558294</v>
      </c>
      <c r="AM8">
        <f>AI8-AJ8</f>
        <v>40</v>
      </c>
      <c r="AN8">
        <f>AM8/AL8</f>
        <v>0.41446882942477264</v>
      </c>
      <c r="AO8">
        <f>AN8/SQRT(2)</f>
        <v>0.29307371987670716</v>
      </c>
      <c r="AP8">
        <f>AO8^2</f>
        <v>8.5892205282370612E-2</v>
      </c>
      <c r="AQ8">
        <f>ERF(AO8)</f>
        <v>0.32146920959988995</v>
      </c>
      <c r="AR8">
        <f>AN8*AQ8+SQRT(2/PI())*EXP(-AP8)-1/SQRT(PI())</f>
        <v>0.30126257808421364</v>
      </c>
      <c r="AS8" s="6">
        <f>AR8*AL8</f>
        <v>29.07457031230318</v>
      </c>
    </row>
    <row r="9" spans="1:45" x14ac:dyDescent="0.25">
      <c r="C9" t="s">
        <v>4</v>
      </c>
      <c r="D9" s="3">
        <v>10</v>
      </c>
      <c r="E9" s="1">
        <v>37712</v>
      </c>
      <c r="F9">
        <v>680</v>
      </c>
      <c r="G9">
        <v>690</v>
      </c>
      <c r="H9">
        <v>18629</v>
      </c>
      <c r="I9" s="6">
        <f t="shared" ref="I9:I11" si="1">_xlfn.NORM.INV($D$4,G9,SQRT(H9))</f>
        <v>619.28838021900037</v>
      </c>
      <c r="J9" s="6">
        <f t="shared" ref="J9:J11" si="2">ABS(F9-I9)</f>
        <v>60.711619780999627</v>
      </c>
      <c r="K9">
        <f>IF(F9&gt;=I9,$D$4,1-$D$4)</f>
        <v>0.30220156510396212</v>
      </c>
      <c r="L9">
        <f t="shared" si="0"/>
        <v>0.60440313020792424</v>
      </c>
      <c r="M9" s="6">
        <f t="shared" ref="M9:M10" si="3">L9*J9</f>
        <v>36.694293035629507</v>
      </c>
      <c r="Q9" t="s">
        <v>4</v>
      </c>
      <c r="R9" s="3">
        <v>10</v>
      </c>
      <c r="S9" s="1">
        <v>37712</v>
      </c>
      <c r="T9">
        <v>680</v>
      </c>
      <c r="U9">
        <v>690</v>
      </c>
      <c r="V9">
        <v>18629</v>
      </c>
      <c r="W9" s="6">
        <f t="shared" ref="W9:W11" si="4">SQRT(V9)</f>
        <v>136.48809471891678</v>
      </c>
      <c r="X9">
        <f>T9-U9</f>
        <v>-10</v>
      </c>
      <c r="Y9">
        <f t="shared" ref="Y9:Y11" si="5">X9/W9</f>
        <v>-7.3266463427407155E-2</v>
      </c>
      <c r="Z9">
        <f t="shared" ref="Z9:Z11" si="6">Y9*(2*_xlfn.NORM.S.DIST(Y9,TRUE)-1)+2*_xlfn.NORM.S.DIST(Y9,FALSE)-1/SQRT(PI())</f>
        <v>0.23583553185715045</v>
      </c>
      <c r="AA9" s="6">
        <f t="shared" ref="AA9:AA11" si="7">W9*Z9</f>
        <v>32.188742410204867</v>
      </c>
      <c r="AD9" s="6"/>
      <c r="AF9" t="s">
        <v>4</v>
      </c>
      <c r="AG9" s="3">
        <v>10</v>
      </c>
      <c r="AH9" s="1">
        <v>37712</v>
      </c>
      <c r="AI9">
        <v>680</v>
      </c>
      <c r="AJ9">
        <v>690</v>
      </c>
      <c r="AK9">
        <v>18629</v>
      </c>
      <c r="AL9" s="6">
        <f t="shared" ref="AL9:AL11" si="8">SQRT(AK9)</f>
        <v>136.48809471891678</v>
      </c>
      <c r="AM9">
        <f>AI9-AJ9</f>
        <v>-10</v>
      </c>
      <c r="AN9">
        <f t="shared" ref="AN9:AN11" si="9">AM9/AL9</f>
        <v>-7.3266463427407155E-2</v>
      </c>
      <c r="AO9">
        <f t="shared" ref="AO9:AO11" si="10">AN9/SQRT(2)</f>
        <v>-5.1807213123075777E-2</v>
      </c>
      <c r="AP9">
        <f t="shared" ref="AP9:AP11" si="11">AO9^2</f>
        <v>2.683987331579795E-3</v>
      </c>
      <c r="AQ9">
        <f t="shared" ref="AQ9:AQ11" si="12">ERF(AO9)</f>
        <v>-5.8405921740315607E-2</v>
      </c>
      <c r="AR9">
        <f t="shared" ref="AR9:AR11" si="13">AN9*AQ9+SQRT(2/PI())*EXP(-AP9)-1/SQRT(PI())</f>
        <v>0.23583553185715045</v>
      </c>
      <c r="AS9" s="6">
        <f t="shared" ref="AS9:AS11" si="14">AR9*AL9</f>
        <v>32.188742410204867</v>
      </c>
    </row>
    <row r="10" spans="1:45" x14ac:dyDescent="0.25">
      <c r="C10" t="s">
        <v>4</v>
      </c>
      <c r="D10" s="3">
        <v>11</v>
      </c>
      <c r="E10" s="1">
        <v>37803</v>
      </c>
      <c r="F10">
        <v>660</v>
      </c>
      <c r="G10">
        <v>690</v>
      </c>
      <c r="H10">
        <v>27943</v>
      </c>
      <c r="I10" s="6">
        <f t="shared" si="1"/>
        <v>603.39708113961694</v>
      </c>
      <c r="J10" s="6">
        <f t="shared" si="2"/>
        <v>56.602918860383056</v>
      </c>
      <c r="K10">
        <f t="shared" ref="K10:K11" si="15">IF(F10&gt;=I10,$D$4,1-$D$4)</f>
        <v>0.30220156510396212</v>
      </c>
      <c r="L10">
        <f t="shared" si="0"/>
        <v>0.60440313020792424</v>
      </c>
      <c r="M10" s="6">
        <f t="shared" si="3"/>
        <v>34.210981338120668</v>
      </c>
      <c r="Q10" t="s">
        <v>4</v>
      </c>
      <c r="R10" s="3">
        <v>11</v>
      </c>
      <c r="S10" s="1">
        <v>37803</v>
      </c>
      <c r="T10">
        <v>660</v>
      </c>
      <c r="U10">
        <v>690</v>
      </c>
      <c r="V10">
        <v>27943</v>
      </c>
      <c r="W10" s="6">
        <f t="shared" si="4"/>
        <v>167.16159846089053</v>
      </c>
      <c r="X10">
        <f>T10-U10</f>
        <v>-30</v>
      </c>
      <c r="Y10">
        <f t="shared" si="5"/>
        <v>-0.17946705628696691</v>
      </c>
      <c r="Z10">
        <f t="shared" si="6"/>
        <v>0.24650990227061176</v>
      </c>
      <c r="AA10" s="6">
        <f t="shared" si="7"/>
        <v>41.206989299993367</v>
      </c>
      <c r="AD10" s="6"/>
      <c r="AF10" t="s">
        <v>4</v>
      </c>
      <c r="AG10" s="3">
        <v>11</v>
      </c>
      <c r="AH10" s="1">
        <v>37803</v>
      </c>
      <c r="AI10">
        <v>660</v>
      </c>
      <c r="AJ10">
        <v>690</v>
      </c>
      <c r="AK10">
        <v>27943</v>
      </c>
      <c r="AL10" s="6">
        <f t="shared" si="8"/>
        <v>167.16159846089053</v>
      </c>
      <c r="AM10">
        <f>AI10-AJ10</f>
        <v>-30</v>
      </c>
      <c r="AN10">
        <f t="shared" si="9"/>
        <v>-0.17946705628696691</v>
      </c>
      <c r="AO10">
        <f t="shared" si="10"/>
        <v>-0.12690237250010211</v>
      </c>
      <c r="AP10">
        <f t="shared" si="11"/>
        <v>1.6104212146154671E-2</v>
      </c>
      <c r="AQ10">
        <f t="shared" si="12"/>
        <v>-0.14242901738051544</v>
      </c>
      <c r="AR10">
        <f t="shared" si="13"/>
        <v>0.24650990227061176</v>
      </c>
      <c r="AS10" s="6">
        <f t="shared" si="14"/>
        <v>41.206989299993367</v>
      </c>
    </row>
    <row r="11" spans="1:45" x14ac:dyDescent="0.25">
      <c r="C11" t="s">
        <v>4</v>
      </c>
      <c r="D11" s="3">
        <v>12</v>
      </c>
      <c r="E11" s="1">
        <v>37895</v>
      </c>
      <c r="F11">
        <v>590</v>
      </c>
      <c r="G11">
        <v>690</v>
      </c>
      <c r="H11">
        <v>37257</v>
      </c>
      <c r="I11" s="6">
        <f t="shared" si="1"/>
        <v>590.00001030888291</v>
      </c>
      <c r="J11" s="6">
        <f t="shared" si="2"/>
        <v>1.0308882906429062E-5</v>
      </c>
      <c r="K11">
        <f t="shared" si="15"/>
        <v>0.69779843489603788</v>
      </c>
      <c r="L11">
        <f t="shared" si="0"/>
        <v>1.3955968697920758</v>
      </c>
      <c r="M11" s="6">
        <f>L11*J11</f>
        <v>1.4387044715265436E-5</v>
      </c>
      <c r="Q11" t="s">
        <v>4</v>
      </c>
      <c r="R11" s="3">
        <v>12</v>
      </c>
      <c r="S11" s="1">
        <v>37895</v>
      </c>
      <c r="T11">
        <v>590</v>
      </c>
      <c r="U11">
        <v>690</v>
      </c>
      <c r="V11">
        <v>37257</v>
      </c>
      <c r="W11" s="6">
        <f t="shared" si="4"/>
        <v>193.0207242759181</v>
      </c>
      <c r="X11">
        <f>T11-U11</f>
        <v>-100</v>
      </c>
      <c r="Y11">
        <f t="shared" si="5"/>
        <v>-0.51807908386589929</v>
      </c>
      <c r="Z11">
        <f t="shared" si="6"/>
        <v>0.33844118767547215</v>
      </c>
      <c r="AA11" s="6">
        <f t="shared" si="7"/>
        <v>65.326163169921557</v>
      </c>
      <c r="AD11" s="6"/>
      <c r="AF11" t="s">
        <v>4</v>
      </c>
      <c r="AG11" s="3">
        <v>12</v>
      </c>
      <c r="AH11" s="1">
        <v>37895</v>
      </c>
      <c r="AI11">
        <v>590</v>
      </c>
      <c r="AJ11">
        <v>690</v>
      </c>
      <c r="AK11">
        <v>37257</v>
      </c>
      <c r="AL11" s="6">
        <f t="shared" si="8"/>
        <v>193.0207242759181</v>
      </c>
      <c r="AM11">
        <f>AI11-AJ11</f>
        <v>-100</v>
      </c>
      <c r="AN11">
        <f t="shared" si="9"/>
        <v>-0.51807908386589929</v>
      </c>
      <c r="AO11">
        <f t="shared" si="10"/>
        <v>-0.36633723339249141</v>
      </c>
      <c r="AP11">
        <f t="shared" si="11"/>
        <v>0.13420296856966474</v>
      </c>
      <c r="AQ11">
        <f t="shared" si="12"/>
        <v>-0.39559690705390094</v>
      </c>
      <c r="AR11">
        <f t="shared" si="13"/>
        <v>0.33844118767547215</v>
      </c>
      <c r="AS11" s="6">
        <f t="shared" si="14"/>
        <v>65.326163169921557</v>
      </c>
    </row>
    <row r="20" spans="3:14" x14ac:dyDescent="0.25">
      <c r="C20" t="s">
        <v>244</v>
      </c>
      <c r="D20" s="5">
        <v>45</v>
      </c>
    </row>
    <row r="22" spans="3:14" x14ac:dyDescent="0.25">
      <c r="C22" t="s">
        <v>251</v>
      </c>
      <c r="D22">
        <v>0.9</v>
      </c>
    </row>
    <row r="23" spans="3:14" x14ac:dyDescent="0.25">
      <c r="C23" t="s">
        <v>246</v>
      </c>
      <c r="D23" s="5">
        <f>AVERAGE(N26:N29)</f>
        <v>43.009504843273113</v>
      </c>
    </row>
    <row r="24" spans="3:14" x14ac:dyDescent="0.25">
      <c r="D24" s="5"/>
    </row>
    <row r="25" spans="3:14" x14ac:dyDescent="0.25">
      <c r="C25" t="s">
        <v>0</v>
      </c>
      <c r="D25" s="7" t="s">
        <v>1</v>
      </c>
      <c r="E25" t="s">
        <v>2</v>
      </c>
      <c r="F25" t="s">
        <v>253</v>
      </c>
      <c r="G25" t="s">
        <v>243</v>
      </c>
      <c r="H25" t="s">
        <v>250</v>
      </c>
      <c r="I25" t="s">
        <v>272</v>
      </c>
      <c r="J25" t="s">
        <v>252</v>
      </c>
      <c r="K25" t="s">
        <v>247</v>
      </c>
      <c r="L25" t="s">
        <v>245</v>
      </c>
      <c r="M25" t="s">
        <v>248</v>
      </c>
      <c r="N25" t="s">
        <v>249</v>
      </c>
    </row>
    <row r="26" spans="3:14" x14ac:dyDescent="0.25">
      <c r="C26" t="s">
        <v>4</v>
      </c>
      <c r="D26" s="7">
        <v>9</v>
      </c>
      <c r="E26" s="1">
        <v>37622</v>
      </c>
      <c r="F26">
        <v>730</v>
      </c>
      <c r="G26">
        <v>690</v>
      </c>
      <c r="H26">
        <v>9314</v>
      </c>
      <c r="I26" s="6">
        <f>H26^0.5</f>
        <v>96.509066931558294</v>
      </c>
      <c r="J26" s="6">
        <f>_xlfn.NORM.INV($D$22,G26,I26)</f>
        <v>813.6813458153872</v>
      </c>
      <c r="K26">
        <f>ABS(J26-F26)</f>
        <v>83.681345815387203</v>
      </c>
      <c r="L26">
        <f>IF(J26&lt;=F26, $D$22,1-$D$22)</f>
        <v>9.9999999999999978E-2</v>
      </c>
      <c r="M26" s="6">
        <f>L26*2</f>
        <v>0.19999999999999996</v>
      </c>
      <c r="N26">
        <f>M26*K26</f>
        <v>16.736269163077438</v>
      </c>
    </row>
    <row r="27" spans="3:14" x14ac:dyDescent="0.25">
      <c r="C27" t="s">
        <v>4</v>
      </c>
      <c r="D27" s="7">
        <v>10</v>
      </c>
      <c r="E27" s="1">
        <v>37712</v>
      </c>
      <c r="F27">
        <v>680</v>
      </c>
      <c r="G27">
        <v>690</v>
      </c>
      <c r="H27">
        <v>18629</v>
      </c>
      <c r="I27" s="6">
        <f t="shared" ref="I27:I29" si="16">H27^0.5</f>
        <v>136.48809471891678</v>
      </c>
      <c r="J27" s="6">
        <f t="shared" ref="J27:J29" si="17">_xlfn.NORM.INV($D$22,G27,I27)</f>
        <v>864.91653146522754</v>
      </c>
      <c r="K27">
        <f t="shared" ref="K27:K29" si="18">ABS(J27-F27)</f>
        <v>184.91653146522754</v>
      </c>
      <c r="L27">
        <f t="shared" ref="L27:L29" si="19">IF(J27&lt;=F27, $D$22,1-$D$22)</f>
        <v>9.9999999999999978E-2</v>
      </c>
      <c r="M27" s="6">
        <f t="shared" ref="M27:M29" si="20">L27*2</f>
        <v>0.19999999999999996</v>
      </c>
      <c r="N27">
        <f t="shared" ref="N27:N29" si="21">M27*K27</f>
        <v>36.983306293045501</v>
      </c>
    </row>
    <row r="28" spans="3:14" x14ac:dyDescent="0.25">
      <c r="C28" t="s">
        <v>4</v>
      </c>
      <c r="D28" s="7">
        <v>11</v>
      </c>
      <c r="E28" s="1">
        <v>37803</v>
      </c>
      <c r="F28">
        <v>660</v>
      </c>
      <c r="G28">
        <v>690</v>
      </c>
      <c r="H28">
        <v>27943</v>
      </c>
      <c r="I28" s="6">
        <f t="shared" si="16"/>
        <v>167.16159846089053</v>
      </c>
      <c r="J28" s="6">
        <f t="shared" si="17"/>
        <v>904.22620820649217</v>
      </c>
      <c r="K28">
        <f t="shared" si="18"/>
        <v>244.22620820649217</v>
      </c>
      <c r="L28">
        <f t="shared" si="19"/>
        <v>9.9999999999999978E-2</v>
      </c>
      <c r="M28" s="6">
        <f t="shared" si="20"/>
        <v>0.19999999999999996</v>
      </c>
      <c r="N28">
        <f t="shared" si="21"/>
        <v>48.845241641298422</v>
      </c>
    </row>
    <row r="29" spans="3:14" x14ac:dyDescent="0.25">
      <c r="C29" t="s">
        <v>4</v>
      </c>
      <c r="D29" s="7">
        <v>12</v>
      </c>
      <c r="E29" s="1">
        <v>37895</v>
      </c>
      <c r="F29">
        <v>590</v>
      </c>
      <c r="G29">
        <v>690</v>
      </c>
      <c r="H29">
        <v>37257</v>
      </c>
      <c r="I29" s="6">
        <f t="shared" si="16"/>
        <v>193.0207242759181</v>
      </c>
      <c r="J29" s="6">
        <f t="shared" si="17"/>
        <v>937.36601137835555</v>
      </c>
      <c r="K29">
        <f t="shared" si="18"/>
        <v>347.36601137835555</v>
      </c>
      <c r="L29">
        <f t="shared" si="19"/>
        <v>9.9999999999999978E-2</v>
      </c>
      <c r="M29" s="6">
        <f t="shared" si="20"/>
        <v>0.19999999999999996</v>
      </c>
      <c r="N29">
        <f t="shared" si="21"/>
        <v>69.473202275671099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02AA9-E336-4E96-8AF8-5C86301C2A5E}">
  <dimension ref="A1"/>
  <sheetViews>
    <sheetView topLeftCell="B1" workbookViewId="0">
      <selection activeCell="M7" sqref="M7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B5E9-E86C-4012-9A8C-1AE606D58F9C}">
  <dimension ref="A1:D13"/>
  <sheetViews>
    <sheetView workbookViewId="0">
      <selection activeCell="E36" sqref="E36"/>
    </sheetView>
  </sheetViews>
  <sheetFormatPr defaultRowHeight="15" x14ac:dyDescent="0.25"/>
  <cols>
    <col min="2" max="2" width="3.5703125" bestFit="1" customWidth="1"/>
    <col min="4" max="4" width="13.5703125" bestFit="1" customWidth="1"/>
  </cols>
  <sheetData>
    <row r="1" spans="1:4" x14ac:dyDescent="0.25">
      <c r="A1" t="s">
        <v>7</v>
      </c>
      <c r="B1" t="s">
        <v>8</v>
      </c>
      <c r="C1" t="s">
        <v>6</v>
      </c>
      <c r="D1" t="s">
        <v>13</v>
      </c>
    </row>
    <row r="2" spans="1:4" x14ac:dyDescent="0.25">
      <c r="A2">
        <v>2001</v>
      </c>
      <c r="B2" t="s">
        <v>9</v>
      </c>
      <c r="C2">
        <v>190</v>
      </c>
      <c r="D2">
        <v>0</v>
      </c>
    </row>
    <row r="3" spans="1:4" x14ac:dyDescent="0.25">
      <c r="A3">
        <v>2001</v>
      </c>
      <c r="B3" t="s">
        <v>10</v>
      </c>
      <c r="C3">
        <v>260</v>
      </c>
      <c r="D3">
        <v>0</v>
      </c>
    </row>
    <row r="4" spans="1:4" x14ac:dyDescent="0.25">
      <c r="A4">
        <v>2001</v>
      </c>
      <c r="B4" t="s">
        <v>11</v>
      </c>
      <c r="C4">
        <v>330</v>
      </c>
      <c r="D4">
        <v>1</v>
      </c>
    </row>
    <row r="5" spans="1:4" x14ac:dyDescent="0.25">
      <c r="A5">
        <v>2001</v>
      </c>
      <c r="B5" t="s">
        <v>12</v>
      </c>
      <c r="C5">
        <v>480</v>
      </c>
      <c r="D5">
        <v>1</v>
      </c>
    </row>
    <row r="6" spans="1:4" x14ac:dyDescent="0.25">
      <c r="A6">
        <v>2002</v>
      </c>
      <c r="B6" t="s">
        <v>9</v>
      </c>
      <c r="C6">
        <v>570</v>
      </c>
      <c r="D6">
        <v>0</v>
      </c>
    </row>
    <row r="7" spans="1:4" x14ac:dyDescent="0.25">
      <c r="A7">
        <v>2002</v>
      </c>
      <c r="B7" t="s">
        <v>10</v>
      </c>
      <c r="C7">
        <v>710</v>
      </c>
      <c r="D7">
        <v>1</v>
      </c>
    </row>
    <row r="8" spans="1:4" x14ac:dyDescent="0.25">
      <c r="A8">
        <v>2002</v>
      </c>
      <c r="B8" t="s">
        <v>11</v>
      </c>
      <c r="C8">
        <v>650</v>
      </c>
      <c r="D8">
        <v>2</v>
      </c>
    </row>
    <row r="9" spans="1:4" x14ac:dyDescent="0.25">
      <c r="A9">
        <v>2002</v>
      </c>
      <c r="B9" t="s">
        <v>12</v>
      </c>
      <c r="C9">
        <v>690</v>
      </c>
      <c r="D9">
        <v>2</v>
      </c>
    </row>
    <row r="10" spans="1:4" x14ac:dyDescent="0.25">
      <c r="A10">
        <v>2003</v>
      </c>
      <c r="B10" t="s">
        <v>9</v>
      </c>
      <c r="C10">
        <v>730</v>
      </c>
      <c r="D10">
        <v>0</v>
      </c>
    </row>
    <row r="11" spans="1:4" x14ac:dyDescent="0.25">
      <c r="A11">
        <v>2003</v>
      </c>
      <c r="B11" t="s">
        <v>10</v>
      </c>
      <c r="C11">
        <v>680</v>
      </c>
      <c r="D11">
        <v>0</v>
      </c>
    </row>
    <row r="12" spans="1:4" x14ac:dyDescent="0.25">
      <c r="A12">
        <v>2003</v>
      </c>
      <c r="B12" t="s">
        <v>11</v>
      </c>
      <c r="C12">
        <v>660</v>
      </c>
      <c r="D12">
        <v>0</v>
      </c>
    </row>
    <row r="13" spans="1:4" x14ac:dyDescent="0.25">
      <c r="A13">
        <v>2003</v>
      </c>
      <c r="B13" t="s">
        <v>12</v>
      </c>
      <c r="C13">
        <v>590</v>
      </c>
      <c r="D1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F846F99B6B8D428F9F7C242A6AB43C" ma:contentTypeVersion="3" ma:contentTypeDescription="Create a new document." ma:contentTypeScope="" ma:versionID="b73aa369982c0e65af77f8cfa86d2807">
  <xsd:schema xmlns:xsd="http://www.w3.org/2001/XMLSchema" xmlns:xs="http://www.w3.org/2001/XMLSchema" xmlns:p="http://schemas.microsoft.com/office/2006/metadata/properties" xmlns:ns2="b943f129-a7cc-4119-8885-bafc764d2a65" targetNamespace="http://schemas.microsoft.com/office/2006/metadata/properties" ma:root="true" ma:fieldsID="4651074ac392566ed8a2bce3b6e12e1d" ns2:_="">
    <xsd:import namespace="b943f129-a7cc-4119-8885-bafc764d2a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43f129-a7cc-4119-8885-bafc764d2a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54A2B7-00EC-4D14-887A-4AA532A425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90A64B7-319D-4A67-8D54-85E0542EF5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8AE1A8-9684-4FCB-90B7-21F65B0619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43f129-a7cc-4119-8885-bafc764d2a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2A</vt:lpstr>
      <vt:lpstr>aus_production</vt:lpstr>
      <vt:lpstr>probFCEval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Pannatorn Janpitak</cp:lastModifiedBy>
  <dcterms:created xsi:type="dcterms:W3CDTF">2023-01-11T02:09:18Z</dcterms:created>
  <dcterms:modified xsi:type="dcterms:W3CDTF">2026-07-01T04:23:41Z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0x010100C4F846F99B6B8D428F9F7C242A6AB43C</vt:lpwstr>
  </property>
</Properties>
</file>