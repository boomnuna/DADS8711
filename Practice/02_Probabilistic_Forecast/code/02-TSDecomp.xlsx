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13_ncr:1_{04F12917-60E1-40BD-8263-E9968F6F4789}" xr6:coauthVersionLast="36" xr6:coauthVersionMax="36" xr10:uidLastSave="{00000000-0000-0000-0000-000000000000}"/>
  <bookViews>
    <workbookView xWindow="28680" yWindow="-120" windowWidth="29040" windowHeight="15840" tabRatio="799" activeTab="9" xr2:uid="{00000000-000D-0000-FFFF-FFFF00000000}"/>
  </bookViews>
  <sheets>
    <sheet name="seasonalSeries" sheetId="12" r:id="rId1"/>
    <sheet name="seasonComp" sheetId="10" r:id="rId2"/>
    <sheet name="MA" sheetId="11" r:id="rId3"/>
    <sheet name="AdditiveCMA_Drift" sheetId="9" r:id="rId4"/>
    <sheet name="AdditiveCMA_Holt" sheetId="6" r:id="rId5"/>
    <sheet name="AdditiveCMA_Naive" sheetId="14" r:id="rId6"/>
    <sheet name="STL_Naive" sheetId="15" r:id="rId7"/>
    <sheet name="c6t2PHS" sheetId="3" r:id="rId8"/>
    <sheet name="c6p14" sheetId="4" r:id="rId9"/>
    <sheet name="Lag" sheetId="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" i="7" l="1"/>
  <c r="T12" i="7"/>
  <c r="T11" i="7" l="1"/>
  <c r="V6" i="7" s="1"/>
  <c r="U5" i="7"/>
  <c r="U6" i="7"/>
  <c r="U7" i="7"/>
  <c r="U8" i="7"/>
  <c r="U9" i="7"/>
  <c r="U4" i="7"/>
  <c r="Y6" i="7" l="1"/>
  <c r="W6" i="7"/>
  <c r="X6" i="7" s="1"/>
  <c r="V3" i="7"/>
  <c r="Y3" i="7" s="1"/>
  <c r="W4" i="7"/>
  <c r="V9" i="7"/>
  <c r="V8" i="7"/>
  <c r="V5" i="7"/>
  <c r="V4" i="7"/>
  <c r="W8" i="7"/>
  <c r="V7" i="7"/>
  <c r="W5" i="7"/>
  <c r="W9" i="7"/>
  <c r="W7" i="7"/>
  <c r="K19" i="14"/>
  <c r="K20" i="14"/>
  <c r="K21" i="14"/>
  <c r="K18" i="14"/>
  <c r="J20" i="14"/>
  <c r="J21" i="14" s="1"/>
  <c r="J19" i="14"/>
  <c r="J18" i="14"/>
  <c r="E15" i="14"/>
  <c r="F15" i="14" s="1"/>
  <c r="G15" i="14" s="1"/>
  <c r="F14" i="14"/>
  <c r="G14" i="14" s="1"/>
  <c r="E14" i="14"/>
  <c r="E13" i="14"/>
  <c r="E12" i="14"/>
  <c r="F13" i="14" s="1"/>
  <c r="G13" i="14" s="1"/>
  <c r="E11" i="14"/>
  <c r="F11" i="14" s="1"/>
  <c r="G11" i="14" s="1"/>
  <c r="F10" i="14"/>
  <c r="G10" i="14" s="1"/>
  <c r="E10" i="14"/>
  <c r="G9" i="14"/>
  <c r="F9" i="14"/>
  <c r="E9" i="14"/>
  <c r="E8" i="14"/>
  <c r="E7" i="14"/>
  <c r="F8" i="14" s="1"/>
  <c r="G8" i="14" s="1"/>
  <c r="F6" i="14"/>
  <c r="G6" i="14" s="1"/>
  <c r="B25" i="14" s="1"/>
  <c r="E6" i="14"/>
  <c r="E5" i="14"/>
  <c r="E4" i="14"/>
  <c r="F5" i="14" s="1"/>
  <c r="G5" i="14" s="1"/>
  <c r="B28" i="14" s="1"/>
  <c r="E3" i="14"/>
  <c r="F4" i="14" s="1"/>
  <c r="G4" i="14" s="1"/>
  <c r="Y5" i="7" l="1"/>
  <c r="X5" i="7"/>
  <c r="Y7" i="7"/>
  <c r="X7" i="7"/>
  <c r="X8" i="7"/>
  <c r="Y8" i="7"/>
  <c r="Y9" i="7"/>
  <c r="X9" i="7"/>
  <c r="X4" i="7"/>
  <c r="Y4" i="7"/>
  <c r="F7" i="14"/>
  <c r="G7" i="14" s="1"/>
  <c r="B26" i="14" s="1"/>
  <c r="F12" i="14"/>
  <c r="G12" i="14" s="1"/>
  <c r="B27" i="14" s="1"/>
  <c r="X10" i="7" l="1"/>
  <c r="G3" i="15"/>
  <c r="G15" i="15"/>
  <c r="G7" i="15"/>
  <c r="G11" i="15"/>
  <c r="C23" i="14"/>
  <c r="B29" i="14"/>
  <c r="G9" i="15" l="1"/>
  <c r="G5" i="15"/>
  <c r="G17" i="15"/>
  <c r="H18" i="15" s="1"/>
  <c r="G13" i="15"/>
  <c r="G16" i="15"/>
  <c r="G12" i="15"/>
  <c r="G4" i="15"/>
  <c r="G8" i="15"/>
  <c r="G2" i="15"/>
  <c r="G6" i="15"/>
  <c r="G10" i="15"/>
  <c r="G14" i="15"/>
  <c r="C25" i="14"/>
  <c r="C28" i="14"/>
  <c r="C26" i="14"/>
  <c r="C27" i="14"/>
  <c r="H19" i="15" l="1"/>
  <c r="I18" i="15"/>
  <c r="H4" i="14"/>
  <c r="I4" i="14" s="1"/>
  <c r="H16" i="14"/>
  <c r="I16" i="14" s="1"/>
  <c r="H12" i="14"/>
  <c r="I12" i="14" s="1"/>
  <c r="H20" i="14"/>
  <c r="H8" i="14"/>
  <c r="I8" i="14" s="1"/>
  <c r="H11" i="14"/>
  <c r="I11" i="14" s="1"/>
  <c r="H3" i="14"/>
  <c r="I3" i="14" s="1"/>
  <c r="H15" i="14"/>
  <c r="I15" i="14" s="1"/>
  <c r="H7" i="14"/>
  <c r="I7" i="14" s="1"/>
  <c r="H19" i="14"/>
  <c r="H17" i="14"/>
  <c r="I17" i="14" s="1"/>
  <c r="H9" i="14"/>
  <c r="I9" i="14" s="1"/>
  <c r="H21" i="14"/>
  <c r="H5" i="14"/>
  <c r="I5" i="14" s="1"/>
  <c r="H13" i="14"/>
  <c r="I13" i="14" s="1"/>
  <c r="C29" i="14"/>
  <c r="H6" i="14"/>
  <c r="I6" i="14" s="1"/>
  <c r="H14" i="14"/>
  <c r="I14" i="14" s="1"/>
  <c r="H2" i="14"/>
  <c r="I2" i="14" s="1"/>
  <c r="H10" i="14"/>
  <c r="I10" i="14" s="1"/>
  <c r="H18" i="14"/>
  <c r="I19" i="15" l="1"/>
  <c r="H20" i="15"/>
  <c r="H21" i="15" l="1"/>
  <c r="I21" i="15" s="1"/>
  <c r="I20" i="15"/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" i="12"/>
  <c r="G26" i="10" l="1"/>
  <c r="H26" i="10" s="1"/>
  <c r="E26" i="10"/>
  <c r="D26" i="10"/>
  <c r="F26" i="10" s="1"/>
  <c r="C26" i="10"/>
  <c r="B26" i="10"/>
  <c r="G25" i="10"/>
  <c r="H25" i="10" s="1"/>
  <c r="E25" i="10"/>
  <c r="D25" i="10"/>
  <c r="C25" i="10"/>
  <c r="F25" i="10" s="1"/>
  <c r="B25" i="10"/>
  <c r="H24" i="10"/>
  <c r="G24" i="10"/>
  <c r="E24" i="10"/>
  <c r="D24" i="10"/>
  <c r="C24" i="10"/>
  <c r="B24" i="10"/>
  <c r="F24" i="10" s="1"/>
  <c r="G23" i="10"/>
  <c r="H23" i="10" s="1"/>
  <c r="E23" i="10"/>
  <c r="D23" i="10"/>
  <c r="C23" i="10"/>
  <c r="B23" i="10"/>
  <c r="F23" i="10" s="1"/>
  <c r="H22" i="10"/>
  <c r="G22" i="10"/>
  <c r="E22" i="10"/>
  <c r="D22" i="10"/>
  <c r="C22" i="10"/>
  <c r="B22" i="10"/>
  <c r="F22" i="10" s="1"/>
  <c r="G16" i="10"/>
  <c r="H16" i="10" s="1"/>
  <c r="E16" i="10"/>
  <c r="D16" i="10"/>
  <c r="C16" i="10"/>
  <c r="B16" i="10"/>
  <c r="F16" i="10" s="1"/>
  <c r="H15" i="10"/>
  <c r="G15" i="10"/>
  <c r="E15" i="10"/>
  <c r="D15" i="10"/>
  <c r="C15" i="10"/>
  <c r="B15" i="10"/>
  <c r="F15" i="10" s="1"/>
  <c r="G14" i="10"/>
  <c r="H14" i="10" s="1"/>
  <c r="E14" i="10"/>
  <c r="D14" i="10"/>
  <c r="C14" i="10"/>
  <c r="B14" i="10"/>
  <c r="F14" i="10" s="1"/>
  <c r="G13" i="10"/>
  <c r="H13" i="10" s="1"/>
  <c r="F13" i="10"/>
  <c r="E13" i="10"/>
  <c r="D13" i="10"/>
  <c r="C13" i="10"/>
  <c r="B13" i="10"/>
  <c r="G12" i="10"/>
  <c r="H12" i="10" s="1"/>
  <c r="H17" i="10" s="1"/>
  <c r="E12" i="10"/>
  <c r="F12" i="10" s="1"/>
  <c r="D12" i="10"/>
  <c r="C12" i="10"/>
  <c r="B12" i="10"/>
  <c r="H27" i="10" l="1"/>
  <c r="F17" i="10"/>
  <c r="F27" i="10"/>
  <c r="C5" i="11"/>
  <c r="C6" i="11"/>
  <c r="C7" i="11"/>
  <c r="C4" i="11"/>
  <c r="F7" i="10" l="1"/>
  <c r="E15" i="9" l="1"/>
  <c r="E14" i="9"/>
  <c r="F15" i="9" s="1"/>
  <c r="G15" i="9" s="1"/>
  <c r="E13" i="9"/>
  <c r="F14" i="9" s="1"/>
  <c r="G14" i="9" s="1"/>
  <c r="E12" i="9"/>
  <c r="F13" i="9" s="1"/>
  <c r="G13" i="9" s="1"/>
  <c r="E11" i="9"/>
  <c r="F12" i="9" s="1"/>
  <c r="G12" i="9" s="1"/>
  <c r="E10" i="9"/>
  <c r="F11" i="9" s="1"/>
  <c r="G11" i="9" s="1"/>
  <c r="F9" i="9"/>
  <c r="G9" i="9" s="1"/>
  <c r="E9" i="9"/>
  <c r="F10" i="9" s="1"/>
  <c r="G10" i="9" s="1"/>
  <c r="E8" i="9"/>
  <c r="F7" i="9"/>
  <c r="G7" i="9" s="1"/>
  <c r="B26" i="9" s="1"/>
  <c r="E7" i="9"/>
  <c r="F8" i="9" s="1"/>
  <c r="G8" i="9" s="1"/>
  <c r="E6" i="9"/>
  <c r="E5" i="9"/>
  <c r="F6" i="9" s="1"/>
  <c r="G6" i="9" s="1"/>
  <c r="E4" i="9"/>
  <c r="F5" i="9" s="1"/>
  <c r="G5" i="9" s="1"/>
  <c r="B28" i="9" s="1"/>
  <c r="E3" i="9"/>
  <c r="F4" i="9" s="1"/>
  <c r="G4" i="9" s="1"/>
  <c r="B25" i="9" l="1"/>
  <c r="C23" i="9"/>
  <c r="B27" i="9"/>
  <c r="C27" i="9" s="1"/>
  <c r="C28" i="9"/>
  <c r="C26" i="9"/>
  <c r="C29" i="6"/>
  <c r="B29" i="6"/>
  <c r="H13" i="9" l="1"/>
  <c r="I13" i="9" s="1"/>
  <c r="H21" i="9"/>
  <c r="H17" i="9"/>
  <c r="I17" i="9" s="1"/>
  <c r="H9" i="9"/>
  <c r="I9" i="9" s="1"/>
  <c r="H5" i="9"/>
  <c r="I5" i="9" s="1"/>
  <c r="H8" i="9"/>
  <c r="I8" i="9" s="1"/>
  <c r="H20" i="9"/>
  <c r="H16" i="9"/>
  <c r="I16" i="9" s="1"/>
  <c r="H12" i="9"/>
  <c r="I12" i="9" s="1"/>
  <c r="H4" i="9"/>
  <c r="I4" i="9" s="1"/>
  <c r="H19" i="9"/>
  <c r="H15" i="9"/>
  <c r="I15" i="9" s="1"/>
  <c r="H11" i="9"/>
  <c r="I11" i="9" s="1"/>
  <c r="H3" i="9"/>
  <c r="I3" i="9" s="1"/>
  <c r="H7" i="9"/>
  <c r="I7" i="9" s="1"/>
  <c r="C25" i="9"/>
  <c r="B29" i="9"/>
  <c r="E4" i="6"/>
  <c r="E5" i="6"/>
  <c r="E6" i="6"/>
  <c r="E7" i="6"/>
  <c r="E8" i="6"/>
  <c r="E9" i="6"/>
  <c r="E10" i="6"/>
  <c r="F11" i="6" s="1"/>
  <c r="G11" i="6" s="1"/>
  <c r="E11" i="6"/>
  <c r="E12" i="6"/>
  <c r="E13" i="6"/>
  <c r="E14" i="6"/>
  <c r="E15" i="6"/>
  <c r="E3" i="6"/>
  <c r="C29" i="9" l="1"/>
  <c r="H10" i="9"/>
  <c r="I10" i="9" s="1"/>
  <c r="H18" i="9"/>
  <c r="H14" i="9"/>
  <c r="I14" i="9" s="1"/>
  <c r="H6" i="9"/>
  <c r="I6" i="9" s="1"/>
  <c r="H2" i="9"/>
  <c r="I2" i="9" s="1"/>
  <c r="F15" i="6"/>
  <c r="G15" i="6" s="1"/>
  <c r="F4" i="6"/>
  <c r="G4" i="6" s="1"/>
  <c r="F10" i="6"/>
  <c r="G10" i="6" s="1"/>
  <c r="F8" i="6"/>
  <c r="G8" i="6" s="1"/>
  <c r="F7" i="6"/>
  <c r="G7" i="6" s="1"/>
  <c r="B26" i="6" s="1"/>
  <c r="F6" i="6"/>
  <c r="G6" i="6" s="1"/>
  <c r="B25" i="6" s="1"/>
  <c r="F5" i="6"/>
  <c r="G5" i="6" s="1"/>
  <c r="F9" i="6"/>
  <c r="G9" i="6" s="1"/>
  <c r="F14" i="6"/>
  <c r="G14" i="6" s="1"/>
  <c r="F13" i="6"/>
  <c r="G13" i="6" s="1"/>
  <c r="F12" i="6"/>
  <c r="G12" i="6" s="1"/>
  <c r="B27" i="6" l="1"/>
  <c r="C27" i="6" s="1"/>
  <c r="B28" i="6"/>
  <c r="C23" i="6"/>
  <c r="C26" i="6" s="1"/>
  <c r="C25" i="6"/>
  <c r="H18" i="6" s="1"/>
  <c r="K18" i="6" s="1"/>
  <c r="H16" i="6" l="1"/>
  <c r="H20" i="6"/>
  <c r="K20" i="6" s="1"/>
  <c r="H15" i="6"/>
  <c r="H19" i="6"/>
  <c r="K19" i="6" s="1"/>
  <c r="H7" i="6"/>
  <c r="H3" i="6"/>
  <c r="C28" i="6"/>
  <c r="H21" i="6" s="1"/>
  <c r="K21" i="6" s="1"/>
  <c r="H12" i="6"/>
  <c r="H4" i="6"/>
  <c r="H8" i="6"/>
  <c r="H11" i="6"/>
  <c r="H6" i="6"/>
  <c r="H2" i="6"/>
  <c r="H10" i="6"/>
  <c r="H14" i="6"/>
  <c r="H5" i="6" l="1"/>
  <c r="I5" i="6" s="1"/>
  <c r="H17" i="6"/>
  <c r="H9" i="6"/>
  <c r="H13" i="6"/>
  <c r="I2" i="6"/>
  <c r="I4" i="6"/>
  <c r="I3" i="6"/>
  <c r="I9" i="6" l="1"/>
  <c r="I6" i="6"/>
  <c r="I11" i="6"/>
  <c r="I17" i="6"/>
  <c r="I14" i="6"/>
  <c r="I13" i="6"/>
  <c r="I15" i="6"/>
  <c r="I7" i="6"/>
  <c r="I10" i="6"/>
  <c r="I12" i="6"/>
  <c r="I8" i="6"/>
  <c r="I1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Holt</author>
  </authors>
  <commentList>
    <comment ref="B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 Structures With 1 Unit: New Privately Owned Housing Units Started; Thousands; NSA. 
Source: economagic.com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<sst xmlns="http://schemas.openxmlformats.org/spreadsheetml/2006/main" count="161" uniqueCount="82">
  <si>
    <t>Wk1</t>
  </si>
  <si>
    <t>Wk2</t>
  </si>
  <si>
    <t>Wk3</t>
  </si>
  <si>
    <t>Wk4</t>
  </si>
  <si>
    <t>Monday</t>
  </si>
  <si>
    <t>Tuesday</t>
  </si>
  <si>
    <t>Wednesday</t>
  </si>
  <si>
    <t>Thursday</t>
  </si>
  <si>
    <t>Friday</t>
  </si>
  <si>
    <t>Wk</t>
  </si>
  <si>
    <t>Day</t>
  </si>
  <si>
    <t>Wed</t>
  </si>
  <si>
    <t>Mon</t>
  </si>
  <si>
    <t>Tue</t>
  </si>
  <si>
    <t>Thu</t>
  </si>
  <si>
    <t>Fri</t>
  </si>
  <si>
    <t>DayNo</t>
  </si>
  <si>
    <t>Observation</t>
  </si>
  <si>
    <t>Period</t>
  </si>
  <si>
    <t>Year</t>
  </si>
  <si>
    <t>Quarter</t>
  </si>
  <si>
    <t>Qtr</t>
  </si>
  <si>
    <t>Overall average</t>
  </si>
  <si>
    <t>Date</t>
  </si>
  <si>
    <t>PHS</t>
  </si>
  <si>
    <t>CS</t>
  </si>
  <si>
    <t>Chapter 6 Problem 14</t>
  </si>
  <si>
    <t>Quaterly data on car sales (CS) in the upper mid-west</t>
  </si>
  <si>
    <t>for 1987Q1 through 2007Q4</t>
  </si>
  <si>
    <t>No</t>
  </si>
  <si>
    <t>Series
yt</t>
  </si>
  <si>
    <t>Detrended 
Series
yt-Tt</t>
  </si>
  <si>
    <t>Seasonal Means</t>
  </si>
  <si>
    <t>Adjusted Means</t>
  </si>
  <si>
    <t>Overall mean</t>
  </si>
  <si>
    <t>Seasonal 
St</t>
  </si>
  <si>
    <t>4-MA</t>
  </si>
  <si>
    <t>Deseasonalized Series
(season_adj)
At = yt-St</t>
  </si>
  <si>
    <t>Series FC
At.FC + St</t>
  </si>
  <si>
    <t>CMA (2x4-MA)
Trend
Tt</t>
  </si>
  <si>
    <t>SUM</t>
  </si>
  <si>
    <t>t</t>
  </si>
  <si>
    <t>Yr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</si>
  <si>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</si>
  <si>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</si>
  <si>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</si>
  <si>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</si>
  <si>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</si>
  <si>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</si>
  <si>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</si>
  <si>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</si>
  <si>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</si>
  <si>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</si>
  <si>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</si>
  <si>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</si>
  <si>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</si>
  <si>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</si>
  <si>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</si>
  <si>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</si>
  <si>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Week</t>
  </si>
  <si>
    <t>Sales</t>
  </si>
  <si>
    <r>
      <t>y</t>
    </r>
    <r>
      <rPr>
        <vertAlign val="subscript"/>
        <sz val="11"/>
        <color theme="1"/>
        <rFont val="Calibri"/>
        <family val="2"/>
        <scheme val="minor"/>
      </rPr>
      <t>t</t>
    </r>
  </si>
  <si>
    <t>Lag plot</t>
  </si>
  <si>
    <t>Lag variables</t>
  </si>
  <si>
    <t>Multiplicative</t>
  </si>
  <si>
    <t>Additive</t>
  </si>
  <si>
    <t>Exports</t>
  </si>
  <si>
    <t>5-MA</t>
  </si>
  <si>
    <r>
      <t xml:space="preserve">Deseasonalized FC
(based on </t>
    </r>
    <r>
      <rPr>
        <b/>
        <sz val="11"/>
        <color theme="1"/>
        <rFont val="Calibri"/>
        <family val="2"/>
        <scheme val="minor"/>
      </rPr>
      <t>Holt</t>
    </r>
    <r>
      <rPr>
        <sz val="11"/>
        <color theme="1"/>
        <rFont val="Calibri"/>
        <family val="2"/>
        <scheme val="minor"/>
      </rPr>
      <t>)
At.FC</t>
    </r>
  </si>
  <si>
    <r>
      <t xml:space="preserve">Deseasonalized FC
(based on </t>
    </r>
    <r>
      <rPr>
        <b/>
        <sz val="11"/>
        <color theme="1"/>
        <rFont val="Calibri"/>
        <family val="2"/>
        <scheme val="minor"/>
      </rPr>
      <t>Drift</t>
    </r>
    <r>
      <rPr>
        <sz val="11"/>
        <color theme="1"/>
        <rFont val="Calibri"/>
        <family val="2"/>
        <scheme val="minor"/>
      </rPr>
      <t>)
At.FC</t>
    </r>
  </si>
  <si>
    <t>Seasonal Components</t>
  </si>
  <si>
    <t>Seasonal factors (Ratios)</t>
  </si>
  <si>
    <t>Differences</t>
  </si>
  <si>
    <t>Detrended Series
yt-Tt</t>
  </si>
  <si>
    <t>Seasonal component</t>
  </si>
  <si>
    <t>Seasonally adjusted series</t>
  </si>
  <si>
    <r>
      <t xml:space="preserve">Deseasonalized FC
(based on </t>
    </r>
    <r>
      <rPr>
        <b/>
        <sz val="11"/>
        <color theme="1"/>
        <rFont val="Calibri"/>
        <family val="2"/>
        <scheme val="minor"/>
      </rPr>
      <t>Naive</t>
    </r>
    <r>
      <rPr>
        <sz val="11"/>
        <color theme="1"/>
        <rFont val="Calibri"/>
        <family val="2"/>
        <scheme val="minor"/>
      </rPr>
      <t>)
At.FC</t>
    </r>
  </si>
  <si>
    <t>Trend
Tt</t>
  </si>
  <si>
    <t>in-class exercise</t>
  </si>
  <si>
    <t>Lag1</t>
  </si>
  <si>
    <r>
      <t>y</t>
    </r>
    <r>
      <rPr>
        <vertAlign val="subscript"/>
        <sz val="11"/>
        <color theme="1"/>
        <rFont val="Calibri"/>
        <family val="2"/>
        <scheme val="minor"/>
      </rPr>
      <t>t-1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</si>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</sst>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2" applyNumberFormat="0" applyFill="0" applyAlignment="0" applyProtection="0"/>
  </cellStyleXfs>
  <cellXfs count="70">
    <xf numFmtId="0" fontId="0" fillId="0" borderId="0" xfId="0"/>
    <xf numFmtId="0" fontId="2" fillId="0" borderId="0" xfId="0" applyFont="1" applyFill="1" applyBorder="1" applyAlignment="1">
      <alignment horizontal="right" wrapText="1" readingOrder="1"/>
    </xf>
    <xf numFmtId="0" fontId="0" fillId="0" borderId="0" xfId="0" applyBorder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5" fillId="3" borderId="0" xfId="0" applyNumberFormat="1" applyFont="1" applyFill="1" applyAlignment="1">
      <alignment horizontal="center"/>
    </xf>
    <xf numFmtId="0" fontId="5" fillId="3" borderId="0" xfId="0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17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2" fontId="0" fillId="0" borderId="0" xfId="0" applyNumberFormat="1"/>
    <xf numFmtId="0" fontId="0" fillId="0" borderId="0" xfId="0" applyAlignment="1"/>
    <xf numFmtId="0" fontId="8" fillId="0" borderId="2" xfId="2"/>
    <xf numFmtId="0" fontId="0" fillId="0" borderId="0" xfId="0"/>
    <xf numFmtId="0" fontId="0" fillId="0" borderId="5" xfId="0" applyBorder="1"/>
    <xf numFmtId="2" fontId="0" fillId="0" borderId="0" xfId="1" applyNumberFormat="1" applyFont="1" applyBorder="1"/>
    <xf numFmtId="2" fontId="0" fillId="0" borderId="6" xfId="1" applyNumberFormat="1" applyFont="1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43" fontId="0" fillId="0" borderId="8" xfId="0" applyNumberFormat="1" applyBorder="1"/>
    <xf numFmtId="2" fontId="0" fillId="0" borderId="3" xfId="0" applyNumberFormat="1" applyBorder="1"/>
    <xf numFmtId="2" fontId="0" fillId="0" borderId="8" xfId="0" applyNumberFormat="1" applyBorder="1"/>
    <xf numFmtId="0" fontId="9" fillId="0" borderId="3" xfId="0" applyFont="1" applyBorder="1"/>
    <xf numFmtId="2" fontId="9" fillId="0" borderId="4" xfId="0" applyNumberFormat="1" applyFont="1" applyBorder="1"/>
    <xf numFmtId="0" fontId="9" fillId="0" borderId="3" xfId="0" applyFont="1" applyBorder="1" applyAlignment="1">
      <alignment wrapText="1"/>
    </xf>
    <xf numFmtId="0" fontId="2" fillId="0" borderId="10" xfId="0" applyFont="1" applyBorder="1" applyAlignment="1">
      <alignment horizontal="right" wrapText="1" readingOrder="1"/>
    </xf>
    <xf numFmtId="0" fontId="2" fillId="0" borderId="11" xfId="0" applyFont="1" applyBorder="1" applyAlignment="1">
      <alignment horizontal="right" wrapText="1" readingOrder="1"/>
    </xf>
    <xf numFmtId="0" fontId="2" fillId="0" borderId="12" xfId="0" applyFont="1" applyBorder="1" applyAlignment="1">
      <alignment horizontal="right" wrapText="1" readingOrder="1"/>
    </xf>
    <xf numFmtId="0" fontId="2" fillId="0" borderId="13" xfId="0" applyFont="1" applyBorder="1" applyAlignment="1">
      <alignment horizontal="right" wrapText="1" readingOrder="1"/>
    </xf>
    <xf numFmtId="0" fontId="2" fillId="0" borderId="14" xfId="0" applyFont="1" applyBorder="1" applyAlignment="1">
      <alignment horizontal="right" wrapText="1" readingOrder="1"/>
    </xf>
    <xf numFmtId="0" fontId="2" fillId="0" borderId="15" xfId="0" applyFont="1" applyBorder="1" applyAlignment="1">
      <alignment horizontal="right" wrapText="1" readingOrder="1"/>
    </xf>
    <xf numFmtId="0" fontId="2" fillId="0" borderId="16" xfId="0" applyFont="1" applyBorder="1" applyAlignment="1">
      <alignment horizontal="right" wrapText="1" readingOrder="1"/>
    </xf>
    <xf numFmtId="0" fontId="2" fillId="0" borderId="0" xfId="0" applyFont="1" applyAlignment="1">
      <alignment horizontal="right" wrapText="1" readingOrder="1"/>
    </xf>
    <xf numFmtId="0" fontId="2" fillId="0" borderId="17" xfId="0" applyFont="1" applyBorder="1" applyAlignment="1">
      <alignment horizontal="right" wrapText="1" readingOrder="1"/>
    </xf>
    <xf numFmtId="0" fontId="2" fillId="0" borderId="18" xfId="0" applyFont="1" applyBorder="1" applyAlignment="1">
      <alignment horizontal="right" wrapText="1" readingOrder="1"/>
    </xf>
    <xf numFmtId="0" fontId="2" fillId="0" borderId="19" xfId="0" applyFont="1" applyBorder="1" applyAlignment="1">
      <alignment horizontal="right" wrapText="1" readingOrder="1"/>
    </xf>
    <xf numFmtId="0" fontId="2" fillId="0" borderId="20" xfId="0" applyFont="1" applyBorder="1" applyAlignment="1">
      <alignment horizontal="right" wrapText="1" readingOrder="1"/>
    </xf>
    <xf numFmtId="0" fontId="0" fillId="0" borderId="21" xfId="0" applyBorder="1"/>
    <xf numFmtId="43" fontId="0" fillId="0" borderId="22" xfId="1" applyNumberFormat="1" applyFont="1" applyBorder="1"/>
    <xf numFmtId="43" fontId="0" fillId="0" borderId="23" xfId="1" applyNumberFormat="1" applyFont="1" applyBorder="1"/>
    <xf numFmtId="43" fontId="0" fillId="0" borderId="21" xfId="0" applyNumberFormat="1" applyBorder="1"/>
    <xf numFmtId="43" fontId="0" fillId="0" borderId="24" xfId="0" applyNumberFormat="1" applyBorder="1"/>
    <xf numFmtId="43" fontId="0" fillId="0" borderId="23" xfId="0" applyNumberFormat="1" applyBorder="1"/>
    <xf numFmtId="43" fontId="0" fillId="0" borderId="0" xfId="1" applyNumberFormat="1" applyFont="1" applyBorder="1"/>
    <xf numFmtId="43" fontId="0" fillId="0" borderId="6" xfId="1" applyNumberFormat="1" applyFont="1" applyBorder="1"/>
    <xf numFmtId="43" fontId="0" fillId="0" borderId="5" xfId="0" applyNumberFormat="1" applyBorder="1"/>
    <xf numFmtId="43" fontId="0" fillId="0" borderId="4" xfId="0" applyNumberFormat="1" applyBorder="1"/>
    <xf numFmtId="43" fontId="0" fillId="0" borderId="6" xfId="0" applyNumberFormat="1" applyBorder="1"/>
    <xf numFmtId="0" fontId="0" fillId="0" borderId="25" xfId="0" applyBorder="1"/>
    <xf numFmtId="43" fontId="0" fillId="0" borderId="26" xfId="1" applyNumberFormat="1" applyFont="1" applyBorder="1"/>
    <xf numFmtId="43" fontId="0" fillId="0" borderId="27" xfId="1" applyNumberFormat="1" applyFont="1" applyBorder="1"/>
    <xf numFmtId="43" fontId="0" fillId="0" borderId="25" xfId="0" applyNumberFormat="1" applyBorder="1"/>
    <xf numFmtId="43" fontId="0" fillId="0" borderId="28" xfId="0" applyNumberFormat="1" applyBorder="1"/>
    <xf numFmtId="43" fontId="0" fillId="0" borderId="27" xfId="0" applyNumberFormat="1" applyBorder="1"/>
    <xf numFmtId="43" fontId="0" fillId="0" borderId="9" xfId="0" applyNumberFormat="1" applyBorder="1"/>
    <xf numFmtId="0" fontId="0" fillId="0" borderId="0" xfId="0"/>
    <xf numFmtId="0" fontId="0" fillId="0" borderId="0" xfId="0"/>
    <xf numFmtId="0" fontId="0" fillId="0" borderId="0" xfId="0" applyBorder="1" applyAlignment="1">
      <alignment wrapText="1"/>
    </xf>
    <xf numFmtId="1" fontId="0" fillId="0" borderId="0" xfId="0" applyNumberFormat="1" applyAlignment="1"/>
    <xf numFmtId="0" fontId="0" fillId="0" borderId="0" xfId="0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166" fontId="0" fillId="0" borderId="0" xfId="1" applyNumberFormat="1" applyFont="1"/>
  </cellXfs>
  <cellStyles count="3"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seasonalSeries!$E$1</c:f>
              <c:strCache>
                <c:ptCount val="1"/>
                <c:pt idx="0">
                  <c:v>Observation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seasonalSeries!$A$2:$A$21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seasonalSeries!$E$2:$E$21</c:f>
              <c:numCache>
                <c:formatCode>General</c:formatCode>
                <c:ptCount val="20"/>
                <c:pt idx="0">
                  <c:v>16.2</c:v>
                </c:pt>
                <c:pt idx="1">
                  <c:v>12.2</c:v>
                </c:pt>
                <c:pt idx="2">
                  <c:v>14.2</c:v>
                </c:pt>
                <c:pt idx="3">
                  <c:v>17.3</c:v>
                </c:pt>
                <c:pt idx="4">
                  <c:v>22.5</c:v>
                </c:pt>
                <c:pt idx="5">
                  <c:v>17.3</c:v>
                </c:pt>
                <c:pt idx="6">
                  <c:v>11.5</c:v>
                </c:pt>
                <c:pt idx="7">
                  <c:v>15</c:v>
                </c:pt>
                <c:pt idx="8">
                  <c:v>17.600000000000001</c:v>
                </c:pt>
                <c:pt idx="9">
                  <c:v>23.5</c:v>
                </c:pt>
                <c:pt idx="10">
                  <c:v>14.6</c:v>
                </c:pt>
                <c:pt idx="11">
                  <c:v>13.1</c:v>
                </c:pt>
                <c:pt idx="12">
                  <c:v>13</c:v>
                </c:pt>
                <c:pt idx="13">
                  <c:v>16.899999999999999</c:v>
                </c:pt>
                <c:pt idx="14">
                  <c:v>21.9</c:v>
                </c:pt>
                <c:pt idx="15">
                  <c:v>16.100000000000001</c:v>
                </c:pt>
                <c:pt idx="16">
                  <c:v>11.8</c:v>
                </c:pt>
                <c:pt idx="17">
                  <c:v>12.9</c:v>
                </c:pt>
                <c:pt idx="18">
                  <c:v>16.600000000000001</c:v>
                </c:pt>
                <c:pt idx="19">
                  <c:v>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18-4778-8897-64B44588BA1D}"/>
            </c:ext>
          </c:extLst>
        </c:ser>
        <c:ser>
          <c:idx val="2"/>
          <c:order val="1"/>
          <c:tx>
            <c:strRef>
              <c:f>seasonalSeries!$G$1</c:f>
              <c:strCache>
                <c:ptCount val="1"/>
                <c:pt idx="0">
                  <c:v>Seasonally adjusted series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seasonalSeries!$A$2:$A$21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seasonalSeries!$G$2:$G$21</c:f>
              <c:numCache>
                <c:formatCode>General</c:formatCode>
                <c:ptCount val="20"/>
                <c:pt idx="0">
                  <c:v>16.574999999999999</c:v>
                </c:pt>
                <c:pt idx="1">
                  <c:v>16.475000000000001</c:v>
                </c:pt>
                <c:pt idx="2">
                  <c:v>16.850000000000001</c:v>
                </c:pt>
                <c:pt idx="3">
                  <c:v>16.625</c:v>
                </c:pt>
                <c:pt idx="4">
                  <c:v>15.875</c:v>
                </c:pt>
                <c:pt idx="5">
                  <c:v>17.675000000000001</c:v>
                </c:pt>
                <c:pt idx="6">
                  <c:v>15.775000000000002</c:v>
                </c:pt>
                <c:pt idx="7">
                  <c:v>17.649999999999999</c:v>
                </c:pt>
                <c:pt idx="8">
                  <c:v>16.925000000000001</c:v>
                </c:pt>
                <c:pt idx="9">
                  <c:v>16.875</c:v>
                </c:pt>
                <c:pt idx="10">
                  <c:v>14.975</c:v>
                </c:pt>
                <c:pt idx="11">
                  <c:v>17.375</c:v>
                </c:pt>
                <c:pt idx="12">
                  <c:v>15.65</c:v>
                </c:pt>
                <c:pt idx="13">
                  <c:v>16.224999999999998</c:v>
                </c:pt>
                <c:pt idx="14">
                  <c:v>15.274999999999999</c:v>
                </c:pt>
                <c:pt idx="15">
                  <c:v>16.475000000000001</c:v>
                </c:pt>
                <c:pt idx="16">
                  <c:v>16.075000000000003</c:v>
                </c:pt>
                <c:pt idx="17">
                  <c:v>15.55</c:v>
                </c:pt>
                <c:pt idx="18">
                  <c:v>15.925000000000001</c:v>
                </c:pt>
                <c:pt idx="19">
                  <c:v>17.675000000000001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18-4778-8897-64B44588B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515135"/>
        <c:axId val="1639412671"/>
      </c:scatterChart>
      <c:valAx>
        <c:axId val="163751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12671"/>
        <c:crosses val="autoZero"/>
        <c:crossBetween val="midCat"/>
      </c:valAx>
      <c:valAx>
        <c:axId val="163941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15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3</xdr:row>
      <xdr:rowOff>30480</xdr:rowOff>
    </xdr:from>
    <xdr:to>
      <xdr:col>15</xdr:col>
      <xdr:colOff>396240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354FC-1333-4EFD-AA3B-9DCB80280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221456</xdr:colOff>
      <xdr:row>1</xdr:row>
      <xdr:rowOff>7937</xdr:rowOff>
    </xdr:from>
    <xdr:ext cx="44095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A82299D-41AB-4603-AF23-3918B3B564B8}"/>
                </a:ext>
              </a:extLst>
            </xdr:cNvPr>
            <xdr:cNvSpPr txBox="1"/>
          </xdr:nvSpPr>
          <xdr:spPr>
            <a:xfrm>
              <a:off x="13572331" y="261937"/>
              <a:ext cx="4409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A82299D-41AB-4603-AF23-3918B3B564B8}"/>
                </a:ext>
              </a:extLst>
            </xdr:cNvPr>
            <xdr:cNvSpPr txBox="1"/>
          </xdr:nvSpPr>
          <xdr:spPr>
            <a:xfrm>
              <a:off x="13572331" y="261937"/>
              <a:ext cx="4409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𝑦_𝑡− 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40481</xdr:colOff>
      <xdr:row>1</xdr:row>
      <xdr:rowOff>9524</xdr:rowOff>
    </xdr:from>
    <xdr:ext cx="57541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E6C2403-36BC-45DB-B004-C6AB021E2144}"/>
                </a:ext>
              </a:extLst>
            </xdr:cNvPr>
            <xdr:cNvSpPr txBox="1"/>
          </xdr:nvSpPr>
          <xdr:spPr>
            <a:xfrm>
              <a:off x="14320044" y="263524"/>
              <a:ext cx="5754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E6C2403-36BC-45DB-B004-C6AB021E2144}"/>
                </a:ext>
              </a:extLst>
            </xdr:cNvPr>
            <xdr:cNvSpPr txBox="1"/>
          </xdr:nvSpPr>
          <xdr:spPr>
            <a:xfrm>
              <a:off x="14320044" y="263524"/>
              <a:ext cx="5754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𝑦_(𝑡−1)− 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277018</xdr:colOff>
      <xdr:row>10</xdr:row>
      <xdr:rowOff>46831</xdr:rowOff>
    </xdr:from>
    <xdr:ext cx="1132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BC6592-72E2-45A3-B0E2-E1733BD3D724}"/>
                </a:ext>
              </a:extLst>
            </xdr:cNvPr>
            <xdr:cNvSpPr txBox="1"/>
          </xdr:nvSpPr>
          <xdr:spPr>
            <a:xfrm>
              <a:off x="11794331" y="1975644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BC6592-72E2-45A3-B0E2-E1733BD3D724}"/>
                </a:ext>
              </a:extLst>
            </xdr:cNvPr>
            <xdr:cNvSpPr txBox="1"/>
          </xdr:nvSpPr>
          <xdr:spPr>
            <a:xfrm>
              <a:off x="11794331" y="1975644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62706</xdr:colOff>
      <xdr:row>0</xdr:row>
      <xdr:rowOff>237331</xdr:rowOff>
    </xdr:from>
    <xdr:ext cx="121866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4C252AA-7BC5-468D-AB6C-AAE1142E02A0}"/>
                </a:ext>
              </a:extLst>
            </xdr:cNvPr>
            <xdr:cNvSpPr txBox="1"/>
          </xdr:nvSpPr>
          <xdr:spPr>
            <a:xfrm>
              <a:off x="14953456" y="237331"/>
              <a:ext cx="12186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4C252AA-7BC5-468D-AB6C-AAE1142E02A0}"/>
                </a:ext>
              </a:extLst>
            </xdr:cNvPr>
            <xdr:cNvSpPr txBox="1"/>
          </xdr:nvSpPr>
          <xdr:spPr>
            <a:xfrm>
              <a:off x="14953456" y="237331"/>
              <a:ext cx="12186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(𝑦_𝑡− 𝑦 ̅)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(𝑦_(𝑡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)− 𝑦 ̅)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111128</xdr:colOff>
      <xdr:row>1</xdr:row>
      <xdr:rowOff>0</xdr:rowOff>
    </xdr:from>
    <xdr:ext cx="62344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F0F68E5-4D1D-474D-8295-CAF915840BBC}"/>
                </a:ext>
              </a:extLst>
            </xdr:cNvPr>
            <xdr:cNvSpPr txBox="1"/>
          </xdr:nvSpPr>
          <xdr:spPr>
            <a:xfrm>
              <a:off x="16406816" y="254000"/>
              <a:ext cx="623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F0F68E5-4D1D-474D-8295-CAF915840BBC}"/>
                </a:ext>
              </a:extLst>
            </xdr:cNvPr>
            <xdr:cNvSpPr txBox="1"/>
          </xdr:nvSpPr>
          <xdr:spPr>
            <a:xfrm>
              <a:off x="16406816" y="254000"/>
              <a:ext cx="623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(𝑦_𝑡−𝑦 ̅  )^2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CA9A-3860-4A5C-9B9E-E3CA01DC6818}">
  <dimension ref="A1:G21"/>
  <sheetViews>
    <sheetView workbookViewId="0">
      <selection activeCell="E25" sqref="E25"/>
    </sheetView>
  </sheetViews>
  <sheetFormatPr defaultRowHeight="14.5" x14ac:dyDescent="0.35"/>
  <cols>
    <col min="5" max="5" width="16.90625" customWidth="1"/>
    <col min="6" max="6" width="25.54296875" customWidth="1"/>
    <col min="7" max="7" width="24.08984375" customWidth="1"/>
  </cols>
  <sheetData>
    <row r="1" spans="1:7" ht="15" thickBot="1" x14ac:dyDescent="0.4">
      <c r="A1" s="30" t="s">
        <v>18</v>
      </c>
      <c r="B1" s="31" t="s">
        <v>9</v>
      </c>
      <c r="C1" s="31" t="s">
        <v>16</v>
      </c>
      <c r="D1" s="31" t="s">
        <v>10</v>
      </c>
      <c r="E1" s="32" t="s">
        <v>17</v>
      </c>
      <c r="F1" s="1" t="s">
        <v>74</v>
      </c>
      <c r="G1" s="1" t="s">
        <v>75</v>
      </c>
    </row>
    <row r="2" spans="1:7" x14ac:dyDescent="0.35">
      <c r="A2" s="33">
        <v>1</v>
      </c>
      <c r="B2" s="34">
        <v>1</v>
      </c>
      <c r="C2" s="34">
        <v>1</v>
      </c>
      <c r="D2" s="34" t="s">
        <v>12</v>
      </c>
      <c r="E2" s="35">
        <v>16.2</v>
      </c>
      <c r="F2">
        <v>-0.375</v>
      </c>
      <c r="G2">
        <f>E2-F2</f>
        <v>16.574999999999999</v>
      </c>
    </row>
    <row r="3" spans="1:7" x14ac:dyDescent="0.35">
      <c r="A3" s="36">
        <v>2</v>
      </c>
      <c r="B3" s="37">
        <v>1</v>
      </c>
      <c r="C3" s="37">
        <v>2</v>
      </c>
      <c r="D3" s="37" t="s">
        <v>13</v>
      </c>
      <c r="E3" s="38">
        <v>12.2</v>
      </c>
      <c r="F3">
        <v>-4.2750000000000021</v>
      </c>
      <c r="G3" s="60">
        <f t="shared" ref="G3:G21" si="0">E3-F3</f>
        <v>16.475000000000001</v>
      </c>
    </row>
    <row r="4" spans="1:7" x14ac:dyDescent="0.35">
      <c r="A4" s="36">
        <v>3</v>
      </c>
      <c r="B4" s="37">
        <v>1</v>
      </c>
      <c r="C4" s="37">
        <v>3</v>
      </c>
      <c r="D4" s="37" t="s">
        <v>11</v>
      </c>
      <c r="E4" s="38">
        <v>14.2</v>
      </c>
      <c r="F4">
        <v>-2.6500000000000004</v>
      </c>
      <c r="G4" s="60">
        <f t="shared" si="0"/>
        <v>16.850000000000001</v>
      </c>
    </row>
    <row r="5" spans="1:7" x14ac:dyDescent="0.35">
      <c r="A5" s="36">
        <v>4</v>
      </c>
      <c r="B5" s="37">
        <v>1</v>
      </c>
      <c r="C5" s="37">
        <v>4</v>
      </c>
      <c r="D5" s="37" t="s">
        <v>14</v>
      </c>
      <c r="E5" s="38">
        <v>17.3</v>
      </c>
      <c r="F5">
        <v>0.67500000000000071</v>
      </c>
      <c r="G5" s="60">
        <f t="shared" si="0"/>
        <v>16.625</v>
      </c>
    </row>
    <row r="6" spans="1:7" ht="15" thickBot="1" x14ac:dyDescent="0.4">
      <c r="A6" s="39">
        <v>5</v>
      </c>
      <c r="B6" s="40">
        <v>1</v>
      </c>
      <c r="C6" s="40">
        <v>5</v>
      </c>
      <c r="D6" s="40" t="s">
        <v>15</v>
      </c>
      <c r="E6" s="41">
        <v>22.5</v>
      </c>
      <c r="F6">
        <v>6.625</v>
      </c>
      <c r="G6" s="60">
        <f t="shared" si="0"/>
        <v>15.875</v>
      </c>
    </row>
    <row r="7" spans="1:7" x14ac:dyDescent="0.35">
      <c r="A7" s="33">
        <v>6</v>
      </c>
      <c r="B7" s="34">
        <v>2</v>
      </c>
      <c r="C7" s="34">
        <v>1</v>
      </c>
      <c r="D7" s="34" t="s">
        <v>12</v>
      </c>
      <c r="E7" s="35">
        <v>17.3</v>
      </c>
      <c r="F7" s="60">
        <v>-0.375</v>
      </c>
      <c r="G7" s="60">
        <f t="shared" si="0"/>
        <v>17.675000000000001</v>
      </c>
    </row>
    <row r="8" spans="1:7" x14ac:dyDescent="0.35">
      <c r="A8" s="36">
        <v>7</v>
      </c>
      <c r="B8" s="37">
        <v>2</v>
      </c>
      <c r="C8" s="37">
        <v>2</v>
      </c>
      <c r="D8" s="37" t="s">
        <v>13</v>
      </c>
      <c r="E8" s="38">
        <v>11.5</v>
      </c>
      <c r="F8" s="60">
        <v>-4.2750000000000021</v>
      </c>
      <c r="G8" s="60">
        <f t="shared" si="0"/>
        <v>15.775000000000002</v>
      </c>
    </row>
    <row r="9" spans="1:7" x14ac:dyDescent="0.35">
      <c r="A9" s="36">
        <v>8</v>
      </c>
      <c r="B9" s="37">
        <v>2</v>
      </c>
      <c r="C9" s="37">
        <v>3</v>
      </c>
      <c r="D9" s="37" t="s">
        <v>11</v>
      </c>
      <c r="E9" s="38">
        <v>15</v>
      </c>
      <c r="F9" s="60">
        <v>-2.6500000000000004</v>
      </c>
      <c r="G9" s="60">
        <f t="shared" si="0"/>
        <v>17.649999999999999</v>
      </c>
    </row>
    <row r="10" spans="1:7" x14ac:dyDescent="0.35">
      <c r="A10" s="36">
        <v>9</v>
      </c>
      <c r="B10" s="37">
        <v>2</v>
      </c>
      <c r="C10" s="37">
        <v>4</v>
      </c>
      <c r="D10" s="37" t="s">
        <v>14</v>
      </c>
      <c r="E10" s="38">
        <v>17.600000000000001</v>
      </c>
      <c r="F10" s="60">
        <v>0.67500000000000071</v>
      </c>
      <c r="G10" s="60">
        <f t="shared" si="0"/>
        <v>16.925000000000001</v>
      </c>
    </row>
    <row r="11" spans="1:7" ht="15" thickBot="1" x14ac:dyDescent="0.4">
      <c r="A11" s="39">
        <v>10</v>
      </c>
      <c r="B11" s="40">
        <v>2</v>
      </c>
      <c r="C11" s="40">
        <v>5</v>
      </c>
      <c r="D11" s="40" t="s">
        <v>15</v>
      </c>
      <c r="E11" s="41">
        <v>23.5</v>
      </c>
      <c r="F11" s="60">
        <v>6.625</v>
      </c>
      <c r="G11" s="60">
        <f t="shared" si="0"/>
        <v>16.875</v>
      </c>
    </row>
    <row r="12" spans="1:7" x14ac:dyDescent="0.35">
      <c r="A12" s="33">
        <v>11</v>
      </c>
      <c r="B12" s="34">
        <v>3</v>
      </c>
      <c r="C12" s="34">
        <v>1</v>
      </c>
      <c r="D12" s="34" t="s">
        <v>12</v>
      </c>
      <c r="E12" s="35">
        <v>14.6</v>
      </c>
      <c r="F12" s="60">
        <v>-0.375</v>
      </c>
      <c r="G12" s="60">
        <f t="shared" si="0"/>
        <v>14.975</v>
      </c>
    </row>
    <row r="13" spans="1:7" x14ac:dyDescent="0.35">
      <c r="A13" s="36">
        <v>12</v>
      </c>
      <c r="B13" s="37">
        <v>3</v>
      </c>
      <c r="C13" s="37">
        <v>2</v>
      </c>
      <c r="D13" s="37" t="s">
        <v>13</v>
      </c>
      <c r="E13" s="38">
        <v>13.1</v>
      </c>
      <c r="F13" s="60">
        <v>-4.2750000000000021</v>
      </c>
      <c r="G13" s="60">
        <f t="shared" si="0"/>
        <v>17.375</v>
      </c>
    </row>
    <row r="14" spans="1:7" x14ac:dyDescent="0.35">
      <c r="A14" s="36">
        <v>13</v>
      </c>
      <c r="B14" s="37">
        <v>3</v>
      </c>
      <c r="C14" s="37">
        <v>3</v>
      </c>
      <c r="D14" s="37" t="s">
        <v>11</v>
      </c>
      <c r="E14" s="38">
        <v>13</v>
      </c>
      <c r="F14" s="60">
        <v>-2.6500000000000004</v>
      </c>
      <c r="G14" s="60">
        <f t="shared" si="0"/>
        <v>15.65</v>
      </c>
    </row>
    <row r="15" spans="1:7" x14ac:dyDescent="0.35">
      <c r="A15" s="36">
        <v>14</v>
      </c>
      <c r="B15" s="37">
        <v>3</v>
      </c>
      <c r="C15" s="37">
        <v>4</v>
      </c>
      <c r="D15" s="37" t="s">
        <v>14</v>
      </c>
      <c r="E15" s="38">
        <v>16.899999999999999</v>
      </c>
      <c r="F15" s="60">
        <v>0.67500000000000071</v>
      </c>
      <c r="G15" s="60">
        <f t="shared" si="0"/>
        <v>16.224999999999998</v>
      </c>
    </row>
    <row r="16" spans="1:7" ht="15" thickBot="1" x14ac:dyDescent="0.4">
      <c r="A16" s="39">
        <v>15</v>
      </c>
      <c r="B16" s="40">
        <v>3</v>
      </c>
      <c r="C16" s="40">
        <v>5</v>
      </c>
      <c r="D16" s="40" t="s">
        <v>15</v>
      </c>
      <c r="E16" s="41">
        <v>21.9</v>
      </c>
      <c r="F16" s="60">
        <v>6.625</v>
      </c>
      <c r="G16" s="60">
        <f t="shared" si="0"/>
        <v>15.274999999999999</v>
      </c>
    </row>
    <row r="17" spans="1:7" x14ac:dyDescent="0.35">
      <c r="A17" s="33">
        <v>16</v>
      </c>
      <c r="B17" s="34">
        <v>4</v>
      </c>
      <c r="C17" s="34">
        <v>1</v>
      </c>
      <c r="D17" s="34" t="s">
        <v>12</v>
      </c>
      <c r="E17" s="35">
        <v>16.100000000000001</v>
      </c>
      <c r="F17" s="60">
        <v>-0.375</v>
      </c>
      <c r="G17" s="60">
        <f t="shared" si="0"/>
        <v>16.475000000000001</v>
      </c>
    </row>
    <row r="18" spans="1:7" x14ac:dyDescent="0.35">
      <c r="A18" s="36">
        <v>17</v>
      </c>
      <c r="B18" s="37">
        <v>4</v>
      </c>
      <c r="C18" s="37">
        <v>2</v>
      </c>
      <c r="D18" s="37" t="s">
        <v>13</v>
      </c>
      <c r="E18" s="38">
        <v>11.8</v>
      </c>
      <c r="F18" s="60">
        <v>-4.2750000000000021</v>
      </c>
      <c r="G18" s="60">
        <f t="shared" si="0"/>
        <v>16.075000000000003</v>
      </c>
    </row>
    <row r="19" spans="1:7" x14ac:dyDescent="0.35">
      <c r="A19" s="36">
        <v>18</v>
      </c>
      <c r="B19" s="37">
        <v>4</v>
      </c>
      <c r="C19" s="37">
        <v>3</v>
      </c>
      <c r="D19" s="37" t="s">
        <v>11</v>
      </c>
      <c r="E19" s="38">
        <v>12.9</v>
      </c>
      <c r="F19" s="60">
        <v>-2.6500000000000004</v>
      </c>
      <c r="G19" s="60">
        <f t="shared" si="0"/>
        <v>15.55</v>
      </c>
    </row>
    <row r="20" spans="1:7" x14ac:dyDescent="0.35">
      <c r="A20" s="36">
        <v>19</v>
      </c>
      <c r="B20" s="37">
        <v>4</v>
      </c>
      <c r="C20" s="37">
        <v>4</v>
      </c>
      <c r="D20" s="37" t="s">
        <v>14</v>
      </c>
      <c r="E20" s="38">
        <v>16.600000000000001</v>
      </c>
      <c r="F20" s="60">
        <v>0.67500000000000071</v>
      </c>
      <c r="G20" s="60">
        <f t="shared" si="0"/>
        <v>15.925000000000001</v>
      </c>
    </row>
    <row r="21" spans="1:7" ht="15" thickBot="1" x14ac:dyDescent="0.4">
      <c r="A21" s="39">
        <v>20</v>
      </c>
      <c r="B21" s="40">
        <v>4</v>
      </c>
      <c r="C21" s="40">
        <v>5</v>
      </c>
      <c r="D21" s="40" t="s">
        <v>15</v>
      </c>
      <c r="E21" s="41">
        <v>24.3</v>
      </c>
      <c r="F21" s="60">
        <v>6.625</v>
      </c>
      <c r="G21" s="60">
        <f t="shared" si="0"/>
        <v>17.675000000000001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DDB3-65C2-4EDA-9B63-C618A450A038}">
  <dimension ref="A1:N27"/>
  <sheetViews>
    <sheetView workbookViewId="0">
      <selection activeCell="J4" sqref="J4"/>
    </sheetView>
  </sheetViews>
  <sheetFormatPr defaultRowHeight="14.5" x14ac:dyDescent="0.35"/>
  <cols>
    <col min="6" max="6" width="19.1796875" bestFit="1" customWidth="1"/>
    <col min="7" max="7" width="14.1796875" bestFit="1" customWidth="1"/>
    <col min="8" max="8" width="23.453125" customWidth="1"/>
    <col min="10" max="10" width="19.36328125" bestFit="1" customWidth="1"/>
  </cols>
  <sheetData>
    <row r="1" spans="1:14" ht="20" thickBot="1" x14ac:dyDescent="0.5">
      <c r="B1" t="s">
        <v>0</v>
      </c>
      <c r="C1" t="s">
        <v>1</v>
      </c>
      <c r="D1" t="s">
        <v>2</v>
      </c>
      <c r="E1" t="s">
        <v>3</v>
      </c>
      <c r="J1" s="16" t="s">
        <v>78</v>
      </c>
      <c r="L1" s="61" t="s">
        <v>19</v>
      </c>
      <c r="M1" s="61" t="s">
        <v>20</v>
      </c>
      <c r="N1" s="61" t="s">
        <v>17</v>
      </c>
    </row>
    <row r="2" spans="1:14" ht="15" thickTop="1" x14ac:dyDescent="0.35">
      <c r="A2" t="s">
        <v>4</v>
      </c>
      <c r="B2">
        <v>16.2</v>
      </c>
      <c r="C2">
        <v>17.3</v>
      </c>
      <c r="D2">
        <v>14.6</v>
      </c>
      <c r="E2">
        <v>16.100000000000001</v>
      </c>
      <c r="L2" s="61">
        <v>1</v>
      </c>
      <c r="M2" s="61">
        <v>1</v>
      </c>
      <c r="N2" s="61">
        <v>6809</v>
      </c>
    </row>
    <row r="3" spans="1:14" x14ac:dyDescent="0.35">
      <c r="A3" t="s">
        <v>5</v>
      </c>
      <c r="B3">
        <v>12.2</v>
      </c>
      <c r="C3">
        <v>11.5</v>
      </c>
      <c r="D3">
        <v>13.1</v>
      </c>
      <c r="E3">
        <v>11.8</v>
      </c>
      <c r="L3" s="61">
        <v>1</v>
      </c>
      <c r="M3" s="61">
        <v>2</v>
      </c>
      <c r="N3" s="61">
        <v>6465</v>
      </c>
    </row>
    <row r="4" spans="1:14" x14ac:dyDescent="0.35">
      <c r="A4" t="s">
        <v>6</v>
      </c>
      <c r="B4">
        <v>14.2</v>
      </c>
      <c r="C4">
        <v>15</v>
      </c>
      <c r="D4">
        <v>13</v>
      </c>
      <c r="E4">
        <v>12.9</v>
      </c>
      <c r="L4" s="61">
        <v>1</v>
      </c>
      <c r="M4" s="61">
        <v>3</v>
      </c>
      <c r="N4" s="61">
        <v>6569</v>
      </c>
    </row>
    <row r="5" spans="1:14" x14ac:dyDescent="0.35">
      <c r="A5" t="s">
        <v>7</v>
      </c>
      <c r="B5">
        <v>17.3</v>
      </c>
      <c r="C5">
        <v>17.600000000000001</v>
      </c>
      <c r="D5">
        <v>16.899999999999999</v>
      </c>
      <c r="E5">
        <v>16.600000000000001</v>
      </c>
      <c r="L5" s="61">
        <v>1</v>
      </c>
      <c r="M5" s="61">
        <v>4</v>
      </c>
      <c r="N5" s="61">
        <v>8266</v>
      </c>
    </row>
    <row r="6" spans="1:14" x14ac:dyDescent="0.35">
      <c r="A6" t="s">
        <v>8</v>
      </c>
      <c r="B6">
        <v>22.5</v>
      </c>
      <c r="C6">
        <v>23.5</v>
      </c>
      <c r="D6">
        <v>21.9</v>
      </c>
      <c r="E6">
        <v>24.3</v>
      </c>
      <c r="L6" s="61">
        <v>2</v>
      </c>
      <c r="M6" s="61">
        <v>1</v>
      </c>
      <c r="N6" s="61">
        <v>7257</v>
      </c>
    </row>
    <row r="7" spans="1:14" x14ac:dyDescent="0.35">
      <c r="A7" t="s">
        <v>22</v>
      </c>
      <c r="F7">
        <f>AVERAGE(B2:E6)</f>
        <v>16.425000000000001</v>
      </c>
      <c r="L7" s="61">
        <v>2</v>
      </c>
      <c r="M7" s="61">
        <v>2</v>
      </c>
      <c r="N7" s="61">
        <v>7064</v>
      </c>
    </row>
    <row r="8" spans="1:14" x14ac:dyDescent="0.35">
      <c r="A8" s="65"/>
      <c r="B8" s="65"/>
      <c r="C8" s="65"/>
      <c r="D8" s="65"/>
      <c r="E8" s="65"/>
      <c r="F8" s="65"/>
      <c r="L8" s="61">
        <v>2</v>
      </c>
      <c r="M8" s="61">
        <v>3</v>
      </c>
      <c r="N8" s="61">
        <v>7784</v>
      </c>
    </row>
    <row r="9" spans="1:14" ht="20" thickBot="1" x14ac:dyDescent="0.5">
      <c r="A9" s="16" t="s">
        <v>64</v>
      </c>
      <c r="B9" s="17"/>
      <c r="C9" s="17"/>
      <c r="D9" s="17"/>
      <c r="E9" s="17"/>
      <c r="F9" s="17"/>
      <c r="G9" s="17"/>
      <c r="H9" s="17"/>
      <c r="L9" s="61">
        <v>2</v>
      </c>
      <c r="M9" s="61">
        <v>4</v>
      </c>
      <c r="N9" s="61">
        <v>8724</v>
      </c>
    </row>
    <row r="10" spans="1:14" ht="15" thickTop="1" x14ac:dyDescent="0.35">
      <c r="A10" s="17"/>
      <c r="B10" s="17"/>
      <c r="C10" s="17"/>
      <c r="D10" s="17"/>
      <c r="E10" s="17"/>
      <c r="F10" s="17"/>
      <c r="G10" s="17"/>
      <c r="H10" s="17"/>
      <c r="L10" s="61">
        <v>3</v>
      </c>
      <c r="M10" s="61">
        <v>1</v>
      </c>
      <c r="N10" s="61">
        <v>6992</v>
      </c>
    </row>
    <row r="11" spans="1:14" x14ac:dyDescent="0.35">
      <c r="A11" s="21"/>
      <c r="B11" s="23" t="s">
        <v>71</v>
      </c>
      <c r="C11" s="23"/>
      <c r="D11" s="23"/>
      <c r="E11" s="22"/>
      <c r="F11" s="27" t="s">
        <v>70</v>
      </c>
      <c r="G11" s="23" t="s">
        <v>32</v>
      </c>
      <c r="H11" s="29" t="s">
        <v>70</v>
      </c>
      <c r="L11" s="61">
        <v>3</v>
      </c>
      <c r="M11" s="61">
        <v>2</v>
      </c>
      <c r="N11" s="61">
        <v>6822</v>
      </c>
    </row>
    <row r="12" spans="1:14" x14ac:dyDescent="0.35">
      <c r="A12" s="42" t="s">
        <v>4</v>
      </c>
      <c r="B12" s="43">
        <f>B2/$F$7</f>
        <v>0.98630136986301364</v>
      </c>
      <c r="C12" s="43">
        <f t="shared" ref="C12:E12" si="0">C2/$F$7</f>
        <v>1.0532724505327244</v>
      </c>
      <c r="D12" s="43">
        <f t="shared" si="0"/>
        <v>0.88888888888888884</v>
      </c>
      <c r="E12" s="44">
        <f t="shared" si="0"/>
        <v>0.98021308980213095</v>
      </c>
      <c r="F12" s="45">
        <f>AVERAGE(B12:E12)</f>
        <v>0.97716894977168944</v>
      </c>
      <c r="G12" s="46">
        <f>AVERAGE(B2:E2)</f>
        <v>16.05</v>
      </c>
      <c r="H12" s="47">
        <f>G12/$F$7</f>
        <v>0.97716894977168944</v>
      </c>
      <c r="L12" s="61">
        <v>3</v>
      </c>
      <c r="M12" s="61">
        <v>3</v>
      </c>
      <c r="N12" s="61">
        <v>7949</v>
      </c>
    </row>
    <row r="13" spans="1:14" x14ac:dyDescent="0.35">
      <c r="A13" s="18" t="s">
        <v>5</v>
      </c>
      <c r="B13" s="48">
        <f t="shared" ref="B13:E16" si="1">B3/$F$7</f>
        <v>0.74277016742770163</v>
      </c>
      <c r="C13" s="48">
        <f t="shared" si="1"/>
        <v>0.70015220700152203</v>
      </c>
      <c r="D13" s="48">
        <f t="shared" si="1"/>
        <v>0.79756468797564684</v>
      </c>
      <c r="E13" s="49">
        <f t="shared" si="1"/>
        <v>0.71841704718417043</v>
      </c>
      <c r="F13" s="50">
        <f t="shared" ref="F13:F16" si="2">AVERAGE(B13:E13)</f>
        <v>0.73972602739726023</v>
      </c>
      <c r="G13" s="51">
        <f t="shared" ref="G13:G16" si="3">AVERAGE(B3:E3)</f>
        <v>12.149999999999999</v>
      </c>
      <c r="H13" s="52">
        <f t="shared" ref="H13:H16" si="4">G13/$F$7</f>
        <v>0.73972602739726012</v>
      </c>
      <c r="L13" s="61">
        <v>3</v>
      </c>
      <c r="M13" s="61">
        <v>4</v>
      </c>
      <c r="N13" s="61">
        <v>9650</v>
      </c>
    </row>
    <row r="14" spans="1:14" x14ac:dyDescent="0.35">
      <c r="A14" s="18" t="s">
        <v>6</v>
      </c>
      <c r="B14" s="48">
        <f t="shared" si="1"/>
        <v>0.86453576864535764</v>
      </c>
      <c r="C14" s="48">
        <f t="shared" si="1"/>
        <v>0.91324200913242004</v>
      </c>
      <c r="D14" s="48">
        <f t="shared" si="1"/>
        <v>0.79147640791476404</v>
      </c>
      <c r="E14" s="49">
        <f t="shared" si="1"/>
        <v>0.78538812785388123</v>
      </c>
      <c r="F14" s="50">
        <f t="shared" si="2"/>
        <v>0.83866057838660568</v>
      </c>
      <c r="G14" s="51">
        <f t="shared" si="3"/>
        <v>13.775</v>
      </c>
      <c r="H14" s="52">
        <f t="shared" si="4"/>
        <v>0.83866057838660579</v>
      </c>
    </row>
    <row r="15" spans="1:14" x14ac:dyDescent="0.35">
      <c r="A15" s="18" t="s">
        <v>7</v>
      </c>
      <c r="B15" s="48">
        <f t="shared" si="1"/>
        <v>1.0532724505327244</v>
      </c>
      <c r="C15" s="48">
        <f t="shared" si="1"/>
        <v>1.0715372907153728</v>
      </c>
      <c r="D15" s="48">
        <f t="shared" si="1"/>
        <v>1.0289193302891932</v>
      </c>
      <c r="E15" s="49">
        <f t="shared" si="1"/>
        <v>1.0106544901065448</v>
      </c>
      <c r="F15" s="50">
        <f t="shared" si="2"/>
        <v>1.0410958904109591</v>
      </c>
      <c r="G15" s="51">
        <f t="shared" si="3"/>
        <v>17.100000000000001</v>
      </c>
      <c r="H15" s="52">
        <f t="shared" si="4"/>
        <v>1.0410958904109588</v>
      </c>
    </row>
    <row r="16" spans="1:14" x14ac:dyDescent="0.35">
      <c r="A16" s="53" t="s">
        <v>8</v>
      </c>
      <c r="B16" s="54">
        <f t="shared" si="1"/>
        <v>1.3698630136986301</v>
      </c>
      <c r="C16" s="54">
        <f t="shared" si="1"/>
        <v>1.4307458143074581</v>
      </c>
      <c r="D16" s="54">
        <f t="shared" si="1"/>
        <v>1.3333333333333333</v>
      </c>
      <c r="E16" s="55">
        <f t="shared" si="1"/>
        <v>1.4794520547945205</v>
      </c>
      <c r="F16" s="56">
        <f t="shared" si="2"/>
        <v>1.4033485540334854</v>
      </c>
      <c r="G16" s="57">
        <f t="shared" si="3"/>
        <v>23.05</v>
      </c>
      <c r="H16" s="58">
        <f t="shared" si="4"/>
        <v>1.4033485540334856</v>
      </c>
    </row>
    <row r="17" spans="1:8" x14ac:dyDescent="0.35">
      <c r="A17" s="21" t="s">
        <v>40</v>
      </c>
      <c r="B17" s="24"/>
      <c r="C17" s="24"/>
      <c r="D17" s="24"/>
      <c r="E17" s="24"/>
      <c r="F17" s="24">
        <f>SUM(F12:F16)</f>
        <v>5</v>
      </c>
      <c r="G17" s="23"/>
      <c r="H17" s="59">
        <f>SUM(H12:H16)</f>
        <v>5</v>
      </c>
    </row>
    <row r="18" spans="1:8" x14ac:dyDescent="0.35">
      <c r="A18" s="17"/>
      <c r="B18" s="17"/>
      <c r="C18" s="17"/>
      <c r="D18" s="17"/>
      <c r="E18" s="17"/>
      <c r="F18" s="17"/>
      <c r="G18" s="17"/>
      <c r="H18" s="17"/>
    </row>
    <row r="19" spans="1:8" ht="20" thickBot="1" x14ac:dyDescent="0.5">
      <c r="A19" s="16" t="s">
        <v>65</v>
      </c>
      <c r="B19" s="17"/>
      <c r="C19" s="17"/>
      <c r="D19" s="17"/>
      <c r="E19" s="17"/>
      <c r="F19" s="17"/>
      <c r="G19" s="17"/>
      <c r="H19" s="17"/>
    </row>
    <row r="20" spans="1:8" ht="15" thickTop="1" x14ac:dyDescent="0.35">
      <c r="A20" s="17"/>
      <c r="B20" s="17"/>
      <c r="C20" s="17"/>
      <c r="D20" s="17"/>
      <c r="E20" s="17"/>
      <c r="F20" s="17"/>
      <c r="G20" s="17"/>
      <c r="H20" s="17"/>
    </row>
    <row r="21" spans="1:8" ht="32.4" customHeight="1" x14ac:dyDescent="0.35">
      <c r="A21" s="21"/>
      <c r="B21" s="66" t="s">
        <v>72</v>
      </c>
      <c r="C21" s="66"/>
      <c r="D21" s="66"/>
      <c r="E21" s="67"/>
      <c r="F21" s="27" t="s">
        <v>70</v>
      </c>
      <c r="G21" s="23" t="s">
        <v>32</v>
      </c>
      <c r="H21" s="29" t="s">
        <v>70</v>
      </c>
    </row>
    <row r="22" spans="1:8" x14ac:dyDescent="0.35">
      <c r="A22" s="18" t="s">
        <v>4</v>
      </c>
      <c r="B22" s="19">
        <f>B2-$F$7</f>
        <v>-0.22500000000000142</v>
      </c>
      <c r="C22" s="19">
        <f t="shared" ref="C22:E22" si="5">C2-$F$7</f>
        <v>0.875</v>
      </c>
      <c r="D22" s="19">
        <f t="shared" si="5"/>
        <v>-1.8250000000000011</v>
      </c>
      <c r="E22" s="20">
        <f t="shared" si="5"/>
        <v>-0.32499999999999929</v>
      </c>
      <c r="F22" s="28">
        <f>AVERAGE(B22:E22)</f>
        <v>-0.37500000000000044</v>
      </c>
      <c r="G22" s="14">
        <f>AVERAGE(B2:E2)</f>
        <v>16.05</v>
      </c>
      <c r="H22" s="28">
        <f>G22-$F$7</f>
        <v>-0.375</v>
      </c>
    </row>
    <row r="23" spans="1:8" x14ac:dyDescent="0.35">
      <c r="A23" s="18" t="s">
        <v>5</v>
      </c>
      <c r="B23" s="19">
        <f t="shared" ref="B23:E26" si="6">B3-$F$7</f>
        <v>-4.2250000000000014</v>
      </c>
      <c r="C23" s="19">
        <f t="shared" si="6"/>
        <v>-4.9250000000000007</v>
      </c>
      <c r="D23" s="19">
        <f t="shared" si="6"/>
        <v>-3.3250000000000011</v>
      </c>
      <c r="E23" s="20">
        <f t="shared" si="6"/>
        <v>-4.625</v>
      </c>
      <c r="F23" s="28">
        <f t="shared" ref="F23:F26" si="7">AVERAGE(B23:E23)</f>
        <v>-4.2750000000000004</v>
      </c>
      <c r="G23" s="14">
        <f t="shared" ref="G23:G26" si="8">AVERAGE(B3:E3)</f>
        <v>12.149999999999999</v>
      </c>
      <c r="H23" s="28">
        <f t="shared" ref="H23:H26" si="9">G23-$F$7</f>
        <v>-4.2750000000000021</v>
      </c>
    </row>
    <row r="24" spans="1:8" x14ac:dyDescent="0.35">
      <c r="A24" s="18" t="s">
        <v>6</v>
      </c>
      <c r="B24" s="19">
        <f t="shared" si="6"/>
        <v>-2.2250000000000014</v>
      </c>
      <c r="C24" s="19">
        <f t="shared" si="6"/>
        <v>-1.4250000000000007</v>
      </c>
      <c r="D24" s="19">
        <f t="shared" si="6"/>
        <v>-3.4250000000000007</v>
      </c>
      <c r="E24" s="20">
        <f t="shared" si="6"/>
        <v>-3.5250000000000004</v>
      </c>
      <c r="F24" s="28">
        <f t="shared" si="7"/>
        <v>-2.6500000000000008</v>
      </c>
      <c r="G24" s="14">
        <f t="shared" si="8"/>
        <v>13.775</v>
      </c>
      <c r="H24" s="28">
        <f t="shared" si="9"/>
        <v>-2.6500000000000004</v>
      </c>
    </row>
    <row r="25" spans="1:8" x14ac:dyDescent="0.35">
      <c r="A25" s="18" t="s">
        <v>7</v>
      </c>
      <c r="B25" s="19">
        <f t="shared" si="6"/>
        <v>0.875</v>
      </c>
      <c r="C25" s="19">
        <f t="shared" si="6"/>
        <v>1.1750000000000007</v>
      </c>
      <c r="D25" s="19">
        <f t="shared" si="6"/>
        <v>0.47499999999999787</v>
      </c>
      <c r="E25" s="20">
        <f t="shared" si="6"/>
        <v>0.17500000000000071</v>
      </c>
      <c r="F25" s="28">
        <f t="shared" si="7"/>
        <v>0.67499999999999982</v>
      </c>
      <c r="G25" s="14">
        <f t="shared" si="8"/>
        <v>17.100000000000001</v>
      </c>
      <c r="H25" s="28">
        <f t="shared" si="9"/>
        <v>0.67500000000000071</v>
      </c>
    </row>
    <row r="26" spans="1:8" x14ac:dyDescent="0.35">
      <c r="A26" s="18" t="s">
        <v>8</v>
      </c>
      <c r="B26" s="19">
        <f t="shared" si="6"/>
        <v>6.0749999999999993</v>
      </c>
      <c r="C26" s="19">
        <f t="shared" si="6"/>
        <v>7.0749999999999993</v>
      </c>
      <c r="D26" s="19">
        <f t="shared" si="6"/>
        <v>5.4749999999999979</v>
      </c>
      <c r="E26" s="20">
        <f t="shared" si="6"/>
        <v>7.875</v>
      </c>
      <c r="F26" s="28">
        <f t="shared" si="7"/>
        <v>6.6249999999999991</v>
      </c>
      <c r="G26" s="14">
        <f t="shared" si="8"/>
        <v>23.05</v>
      </c>
      <c r="H26" s="28">
        <f t="shared" si="9"/>
        <v>6.625</v>
      </c>
    </row>
    <row r="27" spans="1:8" x14ac:dyDescent="0.35">
      <c r="A27" s="21" t="s">
        <v>40</v>
      </c>
      <c r="B27" s="24"/>
      <c r="C27" s="24"/>
      <c r="D27" s="24"/>
      <c r="E27" s="24"/>
      <c r="F27" s="25">
        <f>SUM(F22:F26)</f>
        <v>0</v>
      </c>
      <c r="G27" s="26"/>
      <c r="H27" s="25">
        <f t="shared" ref="H27" si="10">SUM(H22:H26)</f>
        <v>0</v>
      </c>
    </row>
  </sheetData>
  <mergeCells count="2">
    <mergeCell ref="A8:F8"/>
    <mergeCell ref="B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E7FB-9355-4F9B-A5E4-5650E0C6C4F8}">
  <dimension ref="A1:C9"/>
  <sheetViews>
    <sheetView zoomScale="110" zoomScaleNormal="110" workbookViewId="0">
      <selection activeCell="H13" sqref="H13"/>
    </sheetView>
  </sheetViews>
  <sheetFormatPr defaultRowHeight="14.5" x14ac:dyDescent="0.35"/>
  <sheetData>
    <row r="1" spans="1:3" x14ac:dyDescent="0.35">
      <c r="A1" t="s">
        <v>19</v>
      </c>
      <c r="B1" t="s">
        <v>66</v>
      </c>
      <c r="C1" t="s">
        <v>67</v>
      </c>
    </row>
    <row r="2" spans="1:3" x14ac:dyDescent="0.35">
      <c r="A2">
        <v>1960</v>
      </c>
      <c r="B2">
        <v>12.99</v>
      </c>
    </row>
    <row r="3" spans="1:3" x14ac:dyDescent="0.35">
      <c r="A3">
        <v>1961</v>
      </c>
      <c r="B3">
        <v>12.4</v>
      </c>
    </row>
    <row r="4" spans="1:3" x14ac:dyDescent="0.35">
      <c r="A4">
        <v>1962</v>
      </c>
      <c r="B4">
        <v>13.94</v>
      </c>
      <c r="C4">
        <f>AVERAGE(B2:B6)</f>
        <v>13.456</v>
      </c>
    </row>
    <row r="5" spans="1:3" x14ac:dyDescent="0.35">
      <c r="A5">
        <v>1963</v>
      </c>
      <c r="B5">
        <v>13.01</v>
      </c>
      <c r="C5">
        <f t="shared" ref="C5:C7" si="0">AVERAGE(B3:B7)</f>
        <v>13.502000000000001</v>
      </c>
    </row>
    <row r="6" spans="1:3" x14ac:dyDescent="0.35">
      <c r="A6">
        <v>1964</v>
      </c>
      <c r="B6">
        <v>14.94</v>
      </c>
      <c r="C6">
        <f t="shared" si="0"/>
        <v>13.607999999999999</v>
      </c>
    </row>
    <row r="7" spans="1:3" x14ac:dyDescent="0.35">
      <c r="A7">
        <v>1965</v>
      </c>
      <c r="B7">
        <v>13.22</v>
      </c>
      <c r="C7">
        <f t="shared" si="0"/>
        <v>13.396000000000001</v>
      </c>
    </row>
    <row r="8" spans="1:3" x14ac:dyDescent="0.35">
      <c r="A8">
        <v>1966</v>
      </c>
      <c r="B8">
        <v>12.93</v>
      </c>
    </row>
    <row r="9" spans="1:3" x14ac:dyDescent="0.35">
      <c r="A9">
        <v>1967</v>
      </c>
      <c r="B9">
        <v>12.88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7A8D-64C1-41C6-B981-50AEF363268E}">
  <dimension ref="A1:K29"/>
  <sheetViews>
    <sheetView zoomScale="90" zoomScaleNormal="90" workbookViewId="0">
      <selection activeCell="E1" sqref="E1:H17"/>
    </sheetView>
  </sheetViews>
  <sheetFormatPr defaultRowHeight="14.5" x14ac:dyDescent="0.35"/>
  <cols>
    <col min="2" max="2" width="15.36328125" bestFit="1" customWidth="1"/>
    <col min="3" max="3" width="14" bestFit="1" customWidth="1"/>
    <col min="6" max="6" width="13.6328125" bestFit="1" customWidth="1"/>
    <col min="7" max="7" width="15" bestFit="1" customWidth="1"/>
    <col min="8" max="8" width="19" customWidth="1"/>
    <col min="9" max="9" width="23.36328125" customWidth="1"/>
    <col min="10" max="10" width="17.6328125" customWidth="1"/>
  </cols>
  <sheetData>
    <row r="1" spans="1:11" ht="43.5" x14ac:dyDescent="0.35">
      <c r="A1" t="s">
        <v>41</v>
      </c>
      <c r="B1" t="s">
        <v>19</v>
      </c>
      <c r="C1" t="s">
        <v>21</v>
      </c>
      <c r="D1" s="3" t="s">
        <v>30</v>
      </c>
      <c r="E1" t="s">
        <v>36</v>
      </c>
      <c r="F1" s="3" t="s">
        <v>39</v>
      </c>
      <c r="G1" s="3" t="s">
        <v>73</v>
      </c>
      <c r="H1" s="3" t="s">
        <v>35</v>
      </c>
      <c r="I1" s="3" t="s">
        <v>37</v>
      </c>
      <c r="J1" s="3" t="s">
        <v>69</v>
      </c>
      <c r="K1" s="3" t="s">
        <v>38</v>
      </c>
    </row>
    <row r="2" spans="1:11" x14ac:dyDescent="0.35">
      <c r="A2">
        <v>1</v>
      </c>
      <c r="B2">
        <v>1</v>
      </c>
      <c r="C2">
        <v>1</v>
      </c>
      <c r="D2">
        <v>115</v>
      </c>
      <c r="H2" s="14">
        <f t="shared" ref="H2:H21" si="0">VLOOKUP(C2,$A$25:$C$28,3,FALSE)</f>
        <v>20.364583333333336</v>
      </c>
      <c r="I2" s="14">
        <f t="shared" ref="I2:I17" si="1">D2-H2</f>
        <v>94.635416666666657</v>
      </c>
    </row>
    <row r="3" spans="1:11" x14ac:dyDescent="0.35">
      <c r="A3">
        <v>2</v>
      </c>
      <c r="B3">
        <v>1</v>
      </c>
      <c r="C3">
        <v>2</v>
      </c>
      <c r="D3">
        <v>90</v>
      </c>
      <c r="E3">
        <f>AVERAGE(D2:D5)</f>
        <v>101.25</v>
      </c>
      <c r="H3" s="14">
        <f t="shared" si="0"/>
        <v>-14.84375</v>
      </c>
      <c r="I3" s="14">
        <f t="shared" si="1"/>
        <v>104.84375</v>
      </c>
    </row>
    <row r="4" spans="1:11" x14ac:dyDescent="0.35">
      <c r="A4">
        <v>3</v>
      </c>
      <c r="B4">
        <v>1</v>
      </c>
      <c r="C4">
        <v>3</v>
      </c>
      <c r="D4">
        <v>65</v>
      </c>
      <c r="E4">
        <f t="shared" ref="E4:E15" si="2">AVERAGE(D3:D6)</f>
        <v>105</v>
      </c>
      <c r="F4" s="14">
        <f>AVERAGE(E3:E4)</f>
        <v>103.125</v>
      </c>
      <c r="G4" s="14">
        <f>D4-F4</f>
        <v>-38.125</v>
      </c>
      <c r="H4" s="14">
        <f t="shared" si="0"/>
        <v>-37.552083333333336</v>
      </c>
      <c r="I4" s="14">
        <f t="shared" si="1"/>
        <v>102.55208333333334</v>
      </c>
    </row>
    <row r="5" spans="1:11" x14ac:dyDescent="0.35">
      <c r="A5">
        <v>4</v>
      </c>
      <c r="B5">
        <v>1</v>
      </c>
      <c r="C5">
        <v>4</v>
      </c>
      <c r="D5">
        <v>135</v>
      </c>
      <c r="E5">
        <f t="shared" si="2"/>
        <v>106.25</v>
      </c>
      <c r="F5" s="14">
        <f t="shared" ref="F5:F15" si="3">AVERAGE(E4:E5)</f>
        <v>105.625</v>
      </c>
      <c r="G5" s="14">
        <f t="shared" ref="G5:G15" si="4">D5-F5</f>
        <v>29.375</v>
      </c>
      <c r="H5" s="14">
        <f t="shared" si="0"/>
        <v>32.03125</v>
      </c>
      <c r="I5" s="14">
        <f t="shared" si="1"/>
        <v>102.96875</v>
      </c>
    </row>
    <row r="6" spans="1:11" x14ac:dyDescent="0.35">
      <c r="A6">
        <v>5</v>
      </c>
      <c r="B6">
        <v>2</v>
      </c>
      <c r="C6">
        <v>1</v>
      </c>
      <c r="D6">
        <v>130</v>
      </c>
      <c r="E6">
        <f t="shared" si="2"/>
        <v>108.75</v>
      </c>
      <c r="F6" s="14">
        <f t="shared" si="3"/>
        <v>107.5</v>
      </c>
      <c r="G6" s="14">
        <f t="shared" si="4"/>
        <v>22.5</v>
      </c>
      <c r="H6" s="14">
        <f t="shared" si="0"/>
        <v>20.364583333333336</v>
      </c>
      <c r="I6" s="14">
        <f t="shared" si="1"/>
        <v>109.63541666666666</v>
      </c>
      <c r="K6" s="14"/>
    </row>
    <row r="7" spans="1:11" x14ac:dyDescent="0.35">
      <c r="A7">
        <v>6</v>
      </c>
      <c r="B7">
        <v>2</v>
      </c>
      <c r="C7">
        <v>2</v>
      </c>
      <c r="D7">
        <v>95</v>
      </c>
      <c r="E7">
        <f t="shared" si="2"/>
        <v>112.5</v>
      </c>
      <c r="F7" s="14">
        <f t="shared" si="3"/>
        <v>110.625</v>
      </c>
      <c r="G7" s="14">
        <f t="shared" si="4"/>
        <v>-15.625</v>
      </c>
      <c r="H7" s="14">
        <f t="shared" si="0"/>
        <v>-14.84375</v>
      </c>
      <c r="I7" s="14">
        <f t="shared" si="1"/>
        <v>109.84375</v>
      </c>
      <c r="K7" s="14"/>
    </row>
    <row r="8" spans="1:11" x14ac:dyDescent="0.35">
      <c r="A8">
        <v>7</v>
      </c>
      <c r="B8">
        <v>2</v>
      </c>
      <c r="C8">
        <v>3</v>
      </c>
      <c r="D8">
        <v>75</v>
      </c>
      <c r="E8">
        <f t="shared" si="2"/>
        <v>113.75</v>
      </c>
      <c r="F8" s="14">
        <f t="shared" si="3"/>
        <v>113.125</v>
      </c>
      <c r="G8" s="14">
        <f t="shared" si="4"/>
        <v>-38.125</v>
      </c>
      <c r="H8" s="14">
        <f t="shared" si="0"/>
        <v>-37.552083333333336</v>
      </c>
      <c r="I8" s="14">
        <f t="shared" si="1"/>
        <v>112.55208333333334</v>
      </c>
      <c r="K8" s="14"/>
    </row>
    <row r="9" spans="1:11" x14ac:dyDescent="0.35">
      <c r="A9">
        <v>8</v>
      </c>
      <c r="B9">
        <v>2</v>
      </c>
      <c r="C9">
        <v>4</v>
      </c>
      <c r="D9">
        <v>150</v>
      </c>
      <c r="E9">
        <f t="shared" si="2"/>
        <v>116.25</v>
      </c>
      <c r="F9" s="14">
        <f t="shared" si="3"/>
        <v>115</v>
      </c>
      <c r="G9" s="14">
        <f t="shared" si="4"/>
        <v>35</v>
      </c>
      <c r="H9" s="14">
        <f t="shared" si="0"/>
        <v>32.03125</v>
      </c>
      <c r="I9" s="14">
        <f t="shared" si="1"/>
        <v>117.96875</v>
      </c>
      <c r="K9" s="14"/>
    </row>
    <row r="10" spans="1:11" x14ac:dyDescent="0.35">
      <c r="A10">
        <v>9</v>
      </c>
      <c r="B10">
        <v>3</v>
      </c>
      <c r="C10">
        <v>1</v>
      </c>
      <c r="D10">
        <v>135</v>
      </c>
      <c r="E10">
        <f t="shared" si="2"/>
        <v>118.75</v>
      </c>
      <c r="F10" s="14">
        <f t="shared" si="3"/>
        <v>117.5</v>
      </c>
      <c r="G10" s="14">
        <f t="shared" si="4"/>
        <v>17.5</v>
      </c>
      <c r="H10" s="14">
        <f t="shared" si="0"/>
        <v>20.364583333333336</v>
      </c>
      <c r="I10" s="14">
        <f t="shared" si="1"/>
        <v>114.63541666666666</v>
      </c>
      <c r="K10" s="14"/>
    </row>
    <row r="11" spans="1:11" x14ac:dyDescent="0.35">
      <c r="A11">
        <v>10</v>
      </c>
      <c r="B11">
        <v>3</v>
      </c>
      <c r="C11">
        <v>2</v>
      </c>
      <c r="D11">
        <v>105</v>
      </c>
      <c r="E11">
        <f t="shared" si="2"/>
        <v>120</v>
      </c>
      <c r="F11" s="14">
        <f t="shared" si="3"/>
        <v>119.375</v>
      </c>
      <c r="G11" s="14">
        <f t="shared" si="4"/>
        <v>-14.375</v>
      </c>
      <c r="H11" s="14">
        <f t="shared" si="0"/>
        <v>-14.84375</v>
      </c>
      <c r="I11" s="14">
        <f t="shared" si="1"/>
        <v>119.84375</v>
      </c>
      <c r="K11" s="14"/>
    </row>
    <row r="12" spans="1:11" x14ac:dyDescent="0.35">
      <c r="A12">
        <v>11</v>
      </c>
      <c r="B12">
        <v>3</v>
      </c>
      <c r="C12">
        <v>3</v>
      </c>
      <c r="D12">
        <v>85</v>
      </c>
      <c r="E12">
        <f t="shared" si="2"/>
        <v>122.5</v>
      </c>
      <c r="F12" s="14">
        <f t="shared" si="3"/>
        <v>121.25</v>
      </c>
      <c r="G12" s="14">
        <f t="shared" si="4"/>
        <v>-36.25</v>
      </c>
      <c r="H12" s="14">
        <f t="shared" si="0"/>
        <v>-37.552083333333336</v>
      </c>
      <c r="I12" s="14">
        <f t="shared" si="1"/>
        <v>122.55208333333334</v>
      </c>
      <c r="K12" s="14"/>
    </row>
    <row r="13" spans="1:11" x14ac:dyDescent="0.35">
      <c r="A13">
        <v>12</v>
      </c>
      <c r="B13">
        <v>3</v>
      </c>
      <c r="C13">
        <v>4</v>
      </c>
      <c r="D13">
        <v>155</v>
      </c>
      <c r="E13">
        <f t="shared" si="2"/>
        <v>123.75</v>
      </c>
      <c r="F13" s="14">
        <f t="shared" si="3"/>
        <v>123.125</v>
      </c>
      <c r="G13" s="14">
        <f t="shared" si="4"/>
        <v>31.875</v>
      </c>
      <c r="H13" s="14">
        <f t="shared" si="0"/>
        <v>32.03125</v>
      </c>
      <c r="I13" s="14">
        <f t="shared" si="1"/>
        <v>122.96875</v>
      </c>
      <c r="K13" s="14"/>
    </row>
    <row r="14" spans="1:11" x14ac:dyDescent="0.35">
      <c r="A14">
        <v>13</v>
      </c>
      <c r="B14">
        <v>4</v>
      </c>
      <c r="C14">
        <v>1</v>
      </c>
      <c r="D14">
        <v>145</v>
      </c>
      <c r="E14">
        <f t="shared" si="2"/>
        <v>123.75</v>
      </c>
      <c r="F14" s="14">
        <f t="shared" si="3"/>
        <v>123.75</v>
      </c>
      <c r="G14" s="14">
        <f t="shared" si="4"/>
        <v>21.25</v>
      </c>
      <c r="H14" s="14">
        <f t="shared" si="0"/>
        <v>20.364583333333336</v>
      </c>
      <c r="I14" s="14">
        <f t="shared" si="1"/>
        <v>124.63541666666666</v>
      </c>
      <c r="K14" s="14"/>
    </row>
    <row r="15" spans="1:11" x14ac:dyDescent="0.35">
      <c r="A15">
        <v>14</v>
      </c>
      <c r="B15">
        <v>4</v>
      </c>
      <c r="C15">
        <v>2</v>
      </c>
      <c r="D15">
        <v>110</v>
      </c>
      <c r="E15">
        <f t="shared" si="2"/>
        <v>125</v>
      </c>
      <c r="F15" s="14">
        <f t="shared" si="3"/>
        <v>124.375</v>
      </c>
      <c r="G15" s="14">
        <f t="shared" si="4"/>
        <v>-14.375</v>
      </c>
      <c r="H15" s="14">
        <f t="shared" si="0"/>
        <v>-14.84375</v>
      </c>
      <c r="I15" s="14">
        <f t="shared" si="1"/>
        <v>124.84375</v>
      </c>
      <c r="K15" s="14"/>
    </row>
    <row r="16" spans="1:11" x14ac:dyDescent="0.35">
      <c r="A16">
        <v>15</v>
      </c>
      <c r="B16">
        <v>4</v>
      </c>
      <c r="C16">
        <v>3</v>
      </c>
      <c r="D16">
        <v>85</v>
      </c>
      <c r="G16" s="14"/>
      <c r="H16" s="14">
        <f t="shared" si="0"/>
        <v>-37.552083333333336</v>
      </c>
      <c r="I16" s="14">
        <f t="shared" si="1"/>
        <v>122.55208333333334</v>
      </c>
      <c r="K16" s="14"/>
    </row>
    <row r="17" spans="1:11" x14ac:dyDescent="0.35">
      <c r="A17">
        <v>16</v>
      </c>
      <c r="B17">
        <v>4</v>
      </c>
      <c r="C17">
        <v>4</v>
      </c>
      <c r="D17">
        <v>160</v>
      </c>
      <c r="G17" s="14"/>
      <c r="H17" s="14">
        <f t="shared" si="0"/>
        <v>32.03125</v>
      </c>
      <c r="I17" s="14">
        <f t="shared" si="1"/>
        <v>127.96875</v>
      </c>
      <c r="K17" s="14"/>
    </row>
    <row r="18" spans="1:11" x14ac:dyDescent="0.35">
      <c r="B18">
        <v>5</v>
      </c>
      <c r="C18">
        <v>1</v>
      </c>
      <c r="H18" s="14">
        <f t="shared" si="0"/>
        <v>20.364583333333336</v>
      </c>
      <c r="J18" s="14"/>
      <c r="K18" s="14"/>
    </row>
    <row r="19" spans="1:11" x14ac:dyDescent="0.35">
      <c r="B19">
        <v>5</v>
      </c>
      <c r="C19">
        <v>2</v>
      </c>
      <c r="H19" s="14">
        <f t="shared" si="0"/>
        <v>-14.84375</v>
      </c>
      <c r="J19" s="14"/>
      <c r="K19" s="14"/>
    </row>
    <row r="20" spans="1:11" x14ac:dyDescent="0.35">
      <c r="B20">
        <v>5</v>
      </c>
      <c r="C20">
        <v>3</v>
      </c>
      <c r="H20" s="14">
        <f t="shared" si="0"/>
        <v>-37.552083333333336</v>
      </c>
      <c r="J20" s="14"/>
      <c r="K20" s="14"/>
    </row>
    <row r="21" spans="1:11" x14ac:dyDescent="0.35">
      <c r="B21">
        <v>5</v>
      </c>
      <c r="C21">
        <v>4</v>
      </c>
      <c r="H21" s="14">
        <f t="shared" si="0"/>
        <v>32.03125</v>
      </c>
      <c r="J21" s="14"/>
      <c r="K21" s="14"/>
    </row>
    <row r="23" spans="1:11" x14ac:dyDescent="0.35">
      <c r="A23" t="s">
        <v>34</v>
      </c>
      <c r="C23" s="14">
        <f>AVERAGE(G4:G15)</f>
        <v>5.2083333333333336E-2</v>
      </c>
    </row>
    <row r="24" spans="1:11" x14ac:dyDescent="0.35">
      <c r="A24" t="s">
        <v>21</v>
      </c>
      <c r="B24" t="s">
        <v>32</v>
      </c>
      <c r="C24" t="s">
        <v>33</v>
      </c>
    </row>
    <row r="25" spans="1:11" x14ac:dyDescent="0.35">
      <c r="A25">
        <v>1</v>
      </c>
      <c r="B25" s="14">
        <f>AVERAGEIF($C$4:$C$15,A25,$G$4:$G$15)</f>
        <v>20.416666666666668</v>
      </c>
      <c r="C25" s="14">
        <f>B25-$C$23</f>
        <v>20.364583333333336</v>
      </c>
    </row>
    <row r="26" spans="1:11" x14ac:dyDescent="0.35">
      <c r="A26">
        <v>2</v>
      </c>
      <c r="B26" s="14">
        <f>AVERAGEIF($C$4:$C$15,A26,$G$4:$G$15)</f>
        <v>-14.791666666666666</v>
      </c>
      <c r="C26" s="14">
        <f>B26-$C$23</f>
        <v>-14.84375</v>
      </c>
    </row>
    <row r="27" spans="1:11" x14ac:dyDescent="0.35">
      <c r="A27">
        <v>3</v>
      </c>
      <c r="B27" s="14">
        <f>AVERAGEIF($C$4:$C$15,A27,$G$4:$G$15)</f>
        <v>-37.5</v>
      </c>
      <c r="C27" s="14">
        <f>B27-$C$23</f>
        <v>-37.552083333333336</v>
      </c>
    </row>
    <row r="28" spans="1:11" x14ac:dyDescent="0.35">
      <c r="A28">
        <v>4</v>
      </c>
      <c r="B28" s="14">
        <f>AVERAGEIF($C$4:$C$15,A28,$G$4:$G$15)</f>
        <v>32.083333333333336</v>
      </c>
      <c r="C28" s="14">
        <f>B28-$C$23</f>
        <v>32.03125</v>
      </c>
    </row>
    <row r="29" spans="1:11" x14ac:dyDescent="0.35">
      <c r="A29" t="s">
        <v>40</v>
      </c>
      <c r="B29" s="14">
        <f>SUM(B25:B28)</f>
        <v>0.2083333333333357</v>
      </c>
      <c r="C29" s="14">
        <f>SUM(C25:C28)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>
      <selection activeCell="K18" sqref="K18"/>
    </sheetView>
  </sheetViews>
  <sheetFormatPr defaultRowHeight="14.5" x14ac:dyDescent="0.35"/>
  <cols>
    <col min="2" max="2" width="15.36328125" bestFit="1" customWidth="1"/>
    <col min="3" max="3" width="14" bestFit="1" customWidth="1"/>
    <col min="6" max="6" width="13.6328125" bestFit="1" customWidth="1"/>
    <col min="7" max="7" width="15" bestFit="1" customWidth="1"/>
    <col min="8" max="8" width="19" customWidth="1"/>
    <col min="9" max="9" width="23.36328125" customWidth="1"/>
    <col min="10" max="10" width="17.6328125" customWidth="1"/>
  </cols>
  <sheetData>
    <row r="1" spans="1:11" ht="43.5" x14ac:dyDescent="0.35">
      <c r="A1" t="s">
        <v>29</v>
      </c>
      <c r="B1" t="s">
        <v>19</v>
      </c>
      <c r="C1" t="s">
        <v>21</v>
      </c>
      <c r="D1" s="3" t="s">
        <v>30</v>
      </c>
      <c r="E1" t="s">
        <v>36</v>
      </c>
      <c r="F1" s="3" t="s">
        <v>39</v>
      </c>
      <c r="G1" s="3" t="s">
        <v>31</v>
      </c>
      <c r="H1" s="3" t="s">
        <v>35</v>
      </c>
      <c r="I1" s="3" t="s">
        <v>37</v>
      </c>
      <c r="J1" s="3" t="s">
        <v>68</v>
      </c>
      <c r="K1" s="3" t="s">
        <v>38</v>
      </c>
    </row>
    <row r="2" spans="1:11" x14ac:dyDescent="0.35">
      <c r="A2">
        <v>1</v>
      </c>
      <c r="B2">
        <v>1</v>
      </c>
      <c r="C2">
        <v>1</v>
      </c>
      <c r="D2">
        <v>115</v>
      </c>
      <c r="H2" s="14">
        <f t="shared" ref="H2:H17" si="0">VLOOKUP(C2,$A$25:$C$28,3,FALSE)</f>
        <v>20.364583333333336</v>
      </c>
      <c r="I2" s="14">
        <f t="shared" ref="I2:I17" si="1">D2-H2</f>
        <v>94.635416666666657</v>
      </c>
    </row>
    <row r="3" spans="1:11" x14ac:dyDescent="0.35">
      <c r="A3">
        <v>2</v>
      </c>
      <c r="B3">
        <v>1</v>
      </c>
      <c r="C3">
        <v>2</v>
      </c>
      <c r="D3">
        <v>90</v>
      </c>
      <c r="E3">
        <f>AVERAGE(D2:D5)</f>
        <v>101.25</v>
      </c>
      <c r="H3" s="14">
        <f t="shared" si="0"/>
        <v>-14.84375</v>
      </c>
      <c r="I3" s="14">
        <f t="shared" si="1"/>
        <v>104.84375</v>
      </c>
    </row>
    <row r="4" spans="1:11" x14ac:dyDescent="0.35">
      <c r="A4">
        <v>3</v>
      </c>
      <c r="B4">
        <v>1</v>
      </c>
      <c r="C4">
        <v>3</v>
      </c>
      <c r="D4">
        <v>65</v>
      </c>
      <c r="E4">
        <f t="shared" ref="E4:E15" si="2">AVERAGE(D3:D6)</f>
        <v>105</v>
      </c>
      <c r="F4" s="14">
        <f>AVERAGE(E3:E4)</f>
        <v>103.125</v>
      </c>
      <c r="G4" s="14">
        <f>D4-F4</f>
        <v>-38.125</v>
      </c>
      <c r="H4" s="14">
        <f t="shared" si="0"/>
        <v>-37.552083333333336</v>
      </c>
      <c r="I4" s="14">
        <f t="shared" si="1"/>
        <v>102.55208333333334</v>
      </c>
    </row>
    <row r="5" spans="1:11" x14ac:dyDescent="0.35">
      <c r="A5">
        <v>4</v>
      </c>
      <c r="B5">
        <v>1</v>
      </c>
      <c r="C5">
        <v>4</v>
      </c>
      <c r="D5">
        <v>135</v>
      </c>
      <c r="E5">
        <f t="shared" si="2"/>
        <v>106.25</v>
      </c>
      <c r="F5" s="14">
        <f t="shared" ref="F5:F15" si="3">AVERAGE(E4:E5)</f>
        <v>105.625</v>
      </c>
      <c r="G5" s="14">
        <f t="shared" ref="G5:G15" si="4">D5-F5</f>
        <v>29.375</v>
      </c>
      <c r="H5" s="14">
        <f t="shared" si="0"/>
        <v>32.03125</v>
      </c>
      <c r="I5" s="14">
        <f t="shared" si="1"/>
        <v>102.96875</v>
      </c>
    </row>
    <row r="6" spans="1:11" x14ac:dyDescent="0.35">
      <c r="A6">
        <v>5</v>
      </c>
      <c r="B6">
        <v>2</v>
      </c>
      <c r="C6">
        <v>1</v>
      </c>
      <c r="D6">
        <v>130</v>
      </c>
      <c r="E6">
        <f t="shared" si="2"/>
        <v>108.75</v>
      </c>
      <c r="F6" s="14">
        <f t="shared" si="3"/>
        <v>107.5</v>
      </c>
      <c r="G6" s="14">
        <f t="shared" si="4"/>
        <v>22.5</v>
      </c>
      <c r="H6" s="14">
        <f t="shared" si="0"/>
        <v>20.364583333333336</v>
      </c>
      <c r="I6" s="14">
        <f t="shared" si="1"/>
        <v>109.63541666666666</v>
      </c>
      <c r="K6" s="14"/>
    </row>
    <row r="7" spans="1:11" x14ac:dyDescent="0.35">
      <c r="A7">
        <v>6</v>
      </c>
      <c r="B7">
        <v>2</v>
      </c>
      <c r="C7">
        <v>2</v>
      </c>
      <c r="D7">
        <v>95</v>
      </c>
      <c r="E7">
        <f t="shared" si="2"/>
        <v>112.5</v>
      </c>
      <c r="F7" s="14">
        <f t="shared" si="3"/>
        <v>110.625</v>
      </c>
      <c r="G7" s="14">
        <f t="shared" si="4"/>
        <v>-15.625</v>
      </c>
      <c r="H7" s="14">
        <f t="shared" si="0"/>
        <v>-14.84375</v>
      </c>
      <c r="I7" s="14">
        <f t="shared" si="1"/>
        <v>109.84375</v>
      </c>
      <c r="K7" s="14"/>
    </row>
    <row r="8" spans="1:11" x14ac:dyDescent="0.35">
      <c r="A8">
        <v>7</v>
      </c>
      <c r="B8">
        <v>2</v>
      </c>
      <c r="C8">
        <v>3</v>
      </c>
      <c r="D8">
        <v>75</v>
      </c>
      <c r="E8">
        <f t="shared" si="2"/>
        <v>113.75</v>
      </c>
      <c r="F8" s="14">
        <f t="shared" si="3"/>
        <v>113.125</v>
      </c>
      <c r="G8" s="14">
        <f t="shared" si="4"/>
        <v>-38.125</v>
      </c>
      <c r="H8" s="14">
        <f t="shared" si="0"/>
        <v>-37.552083333333336</v>
      </c>
      <c r="I8" s="14">
        <f t="shared" si="1"/>
        <v>112.55208333333334</v>
      </c>
      <c r="K8" s="14"/>
    </row>
    <row r="9" spans="1:11" x14ac:dyDescent="0.35">
      <c r="A9">
        <v>8</v>
      </c>
      <c r="B9">
        <v>2</v>
      </c>
      <c r="C9">
        <v>4</v>
      </c>
      <c r="D9">
        <v>150</v>
      </c>
      <c r="E9">
        <f t="shared" si="2"/>
        <v>116.25</v>
      </c>
      <c r="F9" s="14">
        <f t="shared" si="3"/>
        <v>115</v>
      </c>
      <c r="G9" s="14">
        <f t="shared" si="4"/>
        <v>35</v>
      </c>
      <c r="H9" s="14">
        <f t="shared" si="0"/>
        <v>32.03125</v>
      </c>
      <c r="I9" s="14">
        <f t="shared" si="1"/>
        <v>117.96875</v>
      </c>
      <c r="K9" s="14"/>
    </row>
    <row r="10" spans="1:11" x14ac:dyDescent="0.35">
      <c r="A10">
        <v>9</v>
      </c>
      <c r="B10">
        <v>3</v>
      </c>
      <c r="C10">
        <v>1</v>
      </c>
      <c r="D10">
        <v>135</v>
      </c>
      <c r="E10">
        <f t="shared" si="2"/>
        <v>118.75</v>
      </c>
      <c r="F10" s="14">
        <f t="shared" si="3"/>
        <v>117.5</v>
      </c>
      <c r="G10" s="14">
        <f t="shared" si="4"/>
        <v>17.5</v>
      </c>
      <c r="H10" s="14">
        <f t="shared" si="0"/>
        <v>20.364583333333336</v>
      </c>
      <c r="I10" s="14">
        <f t="shared" si="1"/>
        <v>114.63541666666666</v>
      </c>
      <c r="K10" s="14"/>
    </row>
    <row r="11" spans="1:11" x14ac:dyDescent="0.35">
      <c r="A11">
        <v>10</v>
      </c>
      <c r="B11">
        <v>3</v>
      </c>
      <c r="C11">
        <v>2</v>
      </c>
      <c r="D11">
        <v>105</v>
      </c>
      <c r="E11">
        <f t="shared" si="2"/>
        <v>120</v>
      </c>
      <c r="F11" s="14">
        <f t="shared" si="3"/>
        <v>119.375</v>
      </c>
      <c r="G11" s="14">
        <f t="shared" si="4"/>
        <v>-14.375</v>
      </c>
      <c r="H11" s="14">
        <f t="shared" si="0"/>
        <v>-14.84375</v>
      </c>
      <c r="I11" s="14">
        <f t="shared" si="1"/>
        <v>119.84375</v>
      </c>
      <c r="K11" s="14"/>
    </row>
    <row r="12" spans="1:11" x14ac:dyDescent="0.35">
      <c r="A12">
        <v>11</v>
      </c>
      <c r="B12">
        <v>3</v>
      </c>
      <c r="C12">
        <v>3</v>
      </c>
      <c r="D12">
        <v>85</v>
      </c>
      <c r="E12">
        <f t="shared" si="2"/>
        <v>122.5</v>
      </c>
      <c r="F12" s="14">
        <f t="shared" si="3"/>
        <v>121.25</v>
      </c>
      <c r="G12" s="14">
        <f t="shared" si="4"/>
        <v>-36.25</v>
      </c>
      <c r="H12" s="14">
        <f t="shared" si="0"/>
        <v>-37.552083333333336</v>
      </c>
      <c r="I12" s="14">
        <f t="shared" si="1"/>
        <v>122.55208333333334</v>
      </c>
      <c r="K12" s="14"/>
    </row>
    <row r="13" spans="1:11" x14ac:dyDescent="0.35">
      <c r="A13">
        <v>12</v>
      </c>
      <c r="B13">
        <v>3</v>
      </c>
      <c r="C13">
        <v>4</v>
      </c>
      <c r="D13">
        <v>155</v>
      </c>
      <c r="E13">
        <f t="shared" si="2"/>
        <v>123.75</v>
      </c>
      <c r="F13" s="14">
        <f t="shared" si="3"/>
        <v>123.125</v>
      </c>
      <c r="G13" s="14">
        <f t="shared" si="4"/>
        <v>31.875</v>
      </c>
      <c r="H13" s="14">
        <f t="shared" si="0"/>
        <v>32.03125</v>
      </c>
      <c r="I13" s="14">
        <f t="shared" si="1"/>
        <v>122.96875</v>
      </c>
      <c r="K13" s="14"/>
    </row>
    <row r="14" spans="1:11" x14ac:dyDescent="0.35">
      <c r="A14">
        <v>13</v>
      </c>
      <c r="B14">
        <v>4</v>
      </c>
      <c r="C14">
        <v>1</v>
      </c>
      <c r="D14">
        <v>145</v>
      </c>
      <c r="E14">
        <f t="shared" si="2"/>
        <v>123.75</v>
      </c>
      <c r="F14" s="14">
        <f t="shared" si="3"/>
        <v>123.75</v>
      </c>
      <c r="G14" s="14">
        <f t="shared" si="4"/>
        <v>21.25</v>
      </c>
      <c r="H14" s="14">
        <f t="shared" si="0"/>
        <v>20.364583333333336</v>
      </c>
      <c r="I14" s="14">
        <f t="shared" si="1"/>
        <v>124.63541666666666</v>
      </c>
      <c r="K14" s="14"/>
    </row>
    <row r="15" spans="1:11" x14ac:dyDescent="0.35">
      <c r="A15">
        <v>14</v>
      </c>
      <c r="B15">
        <v>4</v>
      </c>
      <c r="C15">
        <v>2</v>
      </c>
      <c r="D15">
        <v>110</v>
      </c>
      <c r="E15">
        <f t="shared" si="2"/>
        <v>125</v>
      </c>
      <c r="F15" s="14">
        <f t="shared" si="3"/>
        <v>124.375</v>
      </c>
      <c r="G15" s="14">
        <f t="shared" si="4"/>
        <v>-14.375</v>
      </c>
      <c r="H15" s="14">
        <f t="shared" si="0"/>
        <v>-14.84375</v>
      </c>
      <c r="I15" s="14">
        <f t="shared" si="1"/>
        <v>124.84375</v>
      </c>
      <c r="K15" s="14"/>
    </row>
    <row r="16" spans="1:11" x14ac:dyDescent="0.35">
      <c r="A16">
        <v>15</v>
      </c>
      <c r="B16">
        <v>4</v>
      </c>
      <c r="C16">
        <v>3</v>
      </c>
      <c r="D16">
        <v>85</v>
      </c>
      <c r="G16" s="14"/>
      <c r="H16" s="14">
        <f t="shared" si="0"/>
        <v>-37.552083333333336</v>
      </c>
      <c r="I16" s="14">
        <f t="shared" si="1"/>
        <v>122.55208333333334</v>
      </c>
      <c r="K16" s="14"/>
    </row>
    <row r="17" spans="1:11" x14ac:dyDescent="0.35">
      <c r="A17">
        <v>16</v>
      </c>
      <c r="B17">
        <v>4</v>
      </c>
      <c r="C17">
        <v>4</v>
      </c>
      <c r="D17">
        <v>160</v>
      </c>
      <c r="G17" s="14"/>
      <c r="H17" s="14">
        <f t="shared" si="0"/>
        <v>32.03125</v>
      </c>
      <c r="I17" s="14">
        <f t="shared" si="1"/>
        <v>127.96875</v>
      </c>
      <c r="K17" s="14"/>
    </row>
    <row r="18" spans="1:11" x14ac:dyDescent="0.35">
      <c r="B18">
        <v>5</v>
      </c>
      <c r="C18">
        <v>1</v>
      </c>
      <c r="H18" s="14">
        <f t="shared" ref="H18:H21" si="5">VLOOKUP(C18,$A$25:$C$28,3,FALSE)</f>
        <v>20.364583333333336</v>
      </c>
      <c r="J18" s="14">
        <v>128.04679999999999</v>
      </c>
      <c r="K18" s="14">
        <f>J18+H18</f>
        <v>148.41138333333333</v>
      </c>
    </row>
    <row r="19" spans="1:11" x14ac:dyDescent="0.35">
      <c r="B19">
        <v>5</v>
      </c>
      <c r="C19">
        <v>2</v>
      </c>
      <c r="H19" s="14">
        <f t="shared" si="5"/>
        <v>-14.84375</v>
      </c>
      <c r="J19" s="14">
        <v>128.49510000000001</v>
      </c>
      <c r="K19" s="14">
        <f t="shared" ref="K19:K21" si="6">J19+H19</f>
        <v>113.65135000000001</v>
      </c>
    </row>
    <row r="20" spans="1:11" x14ac:dyDescent="0.35">
      <c r="B20">
        <v>5</v>
      </c>
      <c r="C20">
        <v>3</v>
      </c>
      <c r="H20" s="14">
        <f t="shared" si="5"/>
        <v>-37.552083333333336</v>
      </c>
      <c r="J20" s="14">
        <v>128.9435</v>
      </c>
      <c r="K20" s="14">
        <f t="shared" si="6"/>
        <v>91.391416666666657</v>
      </c>
    </row>
    <row r="21" spans="1:11" x14ac:dyDescent="0.35">
      <c r="B21">
        <v>5</v>
      </c>
      <c r="C21">
        <v>4</v>
      </c>
      <c r="H21" s="14">
        <f t="shared" si="5"/>
        <v>32.03125</v>
      </c>
      <c r="J21" s="14">
        <v>129.39189999999999</v>
      </c>
      <c r="K21" s="14">
        <f t="shared" si="6"/>
        <v>161.42314999999999</v>
      </c>
    </row>
    <row r="23" spans="1:11" x14ac:dyDescent="0.35">
      <c r="A23" t="s">
        <v>34</v>
      </c>
      <c r="C23" s="14">
        <f>AVERAGE(G4:G15)</f>
        <v>5.2083333333333336E-2</v>
      </c>
    </row>
    <row r="24" spans="1:11" x14ac:dyDescent="0.35">
      <c r="A24" t="s">
        <v>21</v>
      </c>
      <c r="B24" t="s">
        <v>32</v>
      </c>
      <c r="C24" t="s">
        <v>33</v>
      </c>
    </row>
    <row r="25" spans="1:11" x14ac:dyDescent="0.35">
      <c r="A25">
        <v>1</v>
      </c>
      <c r="B25" s="14">
        <f>AVERAGEIF($C$4:$C$15,A25,$G$4:$G$15)</f>
        <v>20.416666666666668</v>
      </c>
      <c r="C25" s="14">
        <f>B25-$C$23</f>
        <v>20.364583333333336</v>
      </c>
    </row>
    <row r="26" spans="1:11" x14ac:dyDescent="0.35">
      <c r="A26">
        <v>2</v>
      </c>
      <c r="B26" s="14">
        <f>AVERAGEIF($C$4:$C$15,A26,$G$4:$G$15)</f>
        <v>-14.791666666666666</v>
      </c>
      <c r="C26" s="14">
        <f>B26-$C$23</f>
        <v>-14.84375</v>
      </c>
    </row>
    <row r="27" spans="1:11" x14ac:dyDescent="0.35">
      <c r="A27">
        <v>3</v>
      </c>
      <c r="B27" s="14">
        <f>AVERAGEIF($C$4:$C$15,A27,$G$4:$G$15)</f>
        <v>-37.5</v>
      </c>
      <c r="C27" s="14">
        <f>B27-$C$23</f>
        <v>-37.552083333333336</v>
      </c>
    </row>
    <row r="28" spans="1:11" x14ac:dyDescent="0.35">
      <c r="A28">
        <v>4</v>
      </c>
      <c r="B28" s="14">
        <f>AVERAGEIF($C$4:$C$15,A28,$G$4:$G$15)</f>
        <v>32.083333333333336</v>
      </c>
      <c r="C28" s="14">
        <f>B28-$C$23</f>
        <v>32.03125</v>
      </c>
    </row>
    <row r="29" spans="1:11" x14ac:dyDescent="0.35">
      <c r="A29" t="s">
        <v>40</v>
      </c>
      <c r="B29" s="14">
        <f>SUM(B25:B28)</f>
        <v>0.2083333333333357</v>
      </c>
      <c r="C29" s="14">
        <f>SUM(C25:C28)</f>
        <v>0</v>
      </c>
    </row>
  </sheetData>
  <pageMargins left="0.7" right="0.7" top="0.75" bottom="0.75" header="0.3" footer="0.3"/>
  <ignoredErrors>
    <ignoredError sqref="E3:E1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8DFD-DAAF-4805-8320-A6AEB9AD3D17}">
  <dimension ref="A1:K29"/>
  <sheetViews>
    <sheetView zoomScale="90" zoomScaleNormal="90" workbookViewId="0">
      <selection sqref="A1:XFD1048576"/>
    </sheetView>
  </sheetViews>
  <sheetFormatPr defaultColWidth="8.90625" defaultRowHeight="14.5" x14ac:dyDescent="0.35"/>
  <cols>
    <col min="1" max="1" width="3.1796875" style="60" customWidth="1"/>
    <col min="2" max="2" width="6.6328125" style="60" customWidth="1"/>
    <col min="3" max="3" width="15.1796875" style="60" bestFit="1" customWidth="1"/>
    <col min="4" max="5" width="8.90625" style="60"/>
    <col min="6" max="6" width="13.6328125" style="60" bestFit="1" customWidth="1"/>
    <col min="7" max="7" width="15" style="60" bestFit="1" customWidth="1"/>
    <col min="8" max="8" width="10.81640625" style="60" customWidth="1"/>
    <col min="9" max="9" width="19.36328125" style="60" customWidth="1"/>
    <col min="10" max="10" width="17.6328125" style="60" customWidth="1"/>
    <col min="11" max="16384" width="8.90625" style="60"/>
  </cols>
  <sheetData>
    <row r="1" spans="1:11" ht="43.5" x14ac:dyDescent="0.35">
      <c r="A1" s="60" t="s">
        <v>41</v>
      </c>
      <c r="B1" s="60" t="s">
        <v>19</v>
      </c>
      <c r="C1" s="60" t="s">
        <v>21</v>
      </c>
      <c r="D1" s="3" t="s">
        <v>30</v>
      </c>
      <c r="E1" s="60" t="s">
        <v>36</v>
      </c>
      <c r="F1" s="3" t="s">
        <v>39</v>
      </c>
      <c r="G1" s="3" t="s">
        <v>73</v>
      </c>
      <c r="H1" s="3" t="s">
        <v>35</v>
      </c>
      <c r="I1" s="3" t="s">
        <v>37</v>
      </c>
      <c r="J1" s="3" t="s">
        <v>76</v>
      </c>
      <c r="K1" s="3" t="s">
        <v>38</v>
      </c>
    </row>
    <row r="2" spans="1:11" x14ac:dyDescent="0.35">
      <c r="A2" s="60">
        <v>1</v>
      </c>
      <c r="B2" s="60">
        <v>1</v>
      </c>
      <c r="C2" s="60">
        <v>1</v>
      </c>
      <c r="D2" s="60">
        <v>115</v>
      </c>
      <c r="H2" s="14">
        <f t="shared" ref="H2:H21" si="0">VLOOKUP(C2,$A$25:$C$28,3,FALSE)</f>
        <v>20.364583333333336</v>
      </c>
      <c r="I2" s="14">
        <f t="shared" ref="I2:I17" si="1">D2-H2</f>
        <v>94.635416666666657</v>
      </c>
    </row>
    <row r="3" spans="1:11" x14ac:dyDescent="0.35">
      <c r="A3" s="60">
        <v>2</v>
      </c>
      <c r="B3" s="60">
        <v>1</v>
      </c>
      <c r="C3" s="60">
        <v>2</v>
      </c>
      <c r="D3" s="60">
        <v>90</v>
      </c>
      <c r="E3" s="60">
        <f>AVERAGE(D2:D5)</f>
        <v>101.25</v>
      </c>
      <c r="H3" s="14">
        <f t="shared" si="0"/>
        <v>-14.84375</v>
      </c>
      <c r="I3" s="14">
        <f t="shared" si="1"/>
        <v>104.84375</v>
      </c>
    </row>
    <row r="4" spans="1:11" x14ac:dyDescent="0.35">
      <c r="A4" s="60">
        <v>3</v>
      </c>
      <c r="B4" s="60">
        <v>1</v>
      </c>
      <c r="C4" s="60">
        <v>3</v>
      </c>
      <c r="D4" s="60">
        <v>65</v>
      </c>
      <c r="E4" s="60">
        <f t="shared" ref="E4:E15" si="2">AVERAGE(D3:D6)</f>
        <v>105</v>
      </c>
      <c r="F4" s="14">
        <f>AVERAGE(E3:E4)</f>
        <v>103.125</v>
      </c>
      <c r="G4" s="14">
        <f>D4-F4</f>
        <v>-38.125</v>
      </c>
      <c r="H4" s="14">
        <f t="shared" si="0"/>
        <v>-37.552083333333336</v>
      </c>
      <c r="I4" s="14">
        <f t="shared" si="1"/>
        <v>102.55208333333334</v>
      </c>
    </row>
    <row r="5" spans="1:11" x14ac:dyDescent="0.35">
      <c r="A5" s="60">
        <v>4</v>
      </c>
      <c r="B5" s="60">
        <v>1</v>
      </c>
      <c r="C5" s="60">
        <v>4</v>
      </c>
      <c r="D5" s="60">
        <v>135</v>
      </c>
      <c r="E5" s="60">
        <f t="shared" si="2"/>
        <v>106.25</v>
      </c>
      <c r="F5" s="14">
        <f t="shared" ref="F5:F15" si="3">AVERAGE(E4:E5)</f>
        <v>105.625</v>
      </c>
      <c r="G5" s="14">
        <f t="shared" ref="G5:G15" si="4">D5-F5</f>
        <v>29.375</v>
      </c>
      <c r="H5" s="14">
        <f t="shared" si="0"/>
        <v>32.03125</v>
      </c>
      <c r="I5" s="14">
        <f t="shared" si="1"/>
        <v>102.96875</v>
      </c>
    </row>
    <row r="6" spans="1:11" x14ac:dyDescent="0.35">
      <c r="A6" s="60">
        <v>5</v>
      </c>
      <c r="B6" s="60">
        <v>2</v>
      </c>
      <c r="C6" s="60">
        <v>1</v>
      </c>
      <c r="D6" s="60">
        <v>130</v>
      </c>
      <c r="E6" s="60">
        <f t="shared" si="2"/>
        <v>108.75</v>
      </c>
      <c r="F6" s="14">
        <f t="shared" si="3"/>
        <v>107.5</v>
      </c>
      <c r="G6" s="14">
        <f t="shared" si="4"/>
        <v>22.5</v>
      </c>
      <c r="H6" s="14">
        <f t="shared" si="0"/>
        <v>20.364583333333336</v>
      </c>
      <c r="I6" s="14">
        <f t="shared" si="1"/>
        <v>109.63541666666666</v>
      </c>
      <c r="K6" s="14"/>
    </row>
    <row r="7" spans="1:11" x14ac:dyDescent="0.35">
      <c r="A7" s="60">
        <v>6</v>
      </c>
      <c r="B7" s="60">
        <v>2</v>
      </c>
      <c r="C7" s="60">
        <v>2</v>
      </c>
      <c r="D7" s="60">
        <v>95</v>
      </c>
      <c r="E7" s="60">
        <f t="shared" si="2"/>
        <v>112.5</v>
      </c>
      <c r="F7" s="14">
        <f t="shared" si="3"/>
        <v>110.625</v>
      </c>
      <c r="G7" s="14">
        <f t="shared" si="4"/>
        <v>-15.625</v>
      </c>
      <c r="H7" s="14">
        <f t="shared" si="0"/>
        <v>-14.84375</v>
      </c>
      <c r="I7" s="14">
        <f t="shared" si="1"/>
        <v>109.84375</v>
      </c>
      <c r="K7" s="14"/>
    </row>
    <row r="8" spans="1:11" x14ac:dyDescent="0.35">
      <c r="A8" s="60">
        <v>7</v>
      </c>
      <c r="B8" s="60">
        <v>2</v>
      </c>
      <c r="C8" s="60">
        <v>3</v>
      </c>
      <c r="D8" s="60">
        <v>75</v>
      </c>
      <c r="E8" s="60">
        <f t="shared" si="2"/>
        <v>113.75</v>
      </c>
      <c r="F8" s="14">
        <f t="shared" si="3"/>
        <v>113.125</v>
      </c>
      <c r="G8" s="14">
        <f t="shared" si="4"/>
        <v>-38.125</v>
      </c>
      <c r="H8" s="14">
        <f t="shared" si="0"/>
        <v>-37.552083333333336</v>
      </c>
      <c r="I8" s="14">
        <f t="shared" si="1"/>
        <v>112.55208333333334</v>
      </c>
      <c r="K8" s="14"/>
    </row>
    <row r="9" spans="1:11" x14ac:dyDescent="0.35">
      <c r="A9" s="60">
        <v>8</v>
      </c>
      <c r="B9" s="60">
        <v>2</v>
      </c>
      <c r="C9" s="60">
        <v>4</v>
      </c>
      <c r="D9" s="60">
        <v>150</v>
      </c>
      <c r="E9" s="60">
        <f t="shared" si="2"/>
        <v>116.25</v>
      </c>
      <c r="F9" s="14">
        <f t="shared" si="3"/>
        <v>115</v>
      </c>
      <c r="G9" s="14">
        <f t="shared" si="4"/>
        <v>35</v>
      </c>
      <c r="H9" s="14">
        <f t="shared" si="0"/>
        <v>32.03125</v>
      </c>
      <c r="I9" s="14">
        <f t="shared" si="1"/>
        <v>117.96875</v>
      </c>
      <c r="K9" s="14"/>
    </row>
    <row r="10" spans="1:11" x14ac:dyDescent="0.35">
      <c r="A10" s="60">
        <v>9</v>
      </c>
      <c r="B10" s="60">
        <v>3</v>
      </c>
      <c r="C10" s="60">
        <v>1</v>
      </c>
      <c r="D10" s="60">
        <v>135</v>
      </c>
      <c r="E10" s="60">
        <f t="shared" si="2"/>
        <v>118.75</v>
      </c>
      <c r="F10" s="14">
        <f t="shared" si="3"/>
        <v>117.5</v>
      </c>
      <c r="G10" s="14">
        <f t="shared" si="4"/>
        <v>17.5</v>
      </c>
      <c r="H10" s="14">
        <f t="shared" si="0"/>
        <v>20.364583333333336</v>
      </c>
      <c r="I10" s="14">
        <f t="shared" si="1"/>
        <v>114.63541666666666</v>
      </c>
      <c r="K10" s="14"/>
    </row>
    <row r="11" spans="1:11" x14ac:dyDescent="0.35">
      <c r="A11" s="60">
        <v>10</v>
      </c>
      <c r="B11" s="60">
        <v>3</v>
      </c>
      <c r="C11" s="60">
        <v>2</v>
      </c>
      <c r="D11" s="60">
        <v>105</v>
      </c>
      <c r="E11" s="60">
        <f t="shared" si="2"/>
        <v>120</v>
      </c>
      <c r="F11" s="14">
        <f t="shared" si="3"/>
        <v>119.375</v>
      </c>
      <c r="G11" s="14">
        <f t="shared" si="4"/>
        <v>-14.375</v>
      </c>
      <c r="H11" s="14">
        <f t="shared" si="0"/>
        <v>-14.84375</v>
      </c>
      <c r="I11" s="14">
        <f t="shared" si="1"/>
        <v>119.84375</v>
      </c>
      <c r="K11" s="14"/>
    </row>
    <row r="12" spans="1:11" x14ac:dyDescent="0.35">
      <c r="A12" s="60">
        <v>11</v>
      </c>
      <c r="B12" s="60">
        <v>3</v>
      </c>
      <c r="C12" s="60">
        <v>3</v>
      </c>
      <c r="D12" s="60">
        <v>85</v>
      </c>
      <c r="E12" s="60">
        <f t="shared" si="2"/>
        <v>122.5</v>
      </c>
      <c r="F12" s="14">
        <f t="shared" si="3"/>
        <v>121.25</v>
      </c>
      <c r="G12" s="14">
        <f t="shared" si="4"/>
        <v>-36.25</v>
      </c>
      <c r="H12" s="14">
        <f t="shared" si="0"/>
        <v>-37.552083333333336</v>
      </c>
      <c r="I12" s="14">
        <f t="shared" si="1"/>
        <v>122.55208333333334</v>
      </c>
      <c r="K12" s="14"/>
    </row>
    <row r="13" spans="1:11" x14ac:dyDescent="0.35">
      <c r="A13" s="60">
        <v>12</v>
      </c>
      <c r="B13" s="60">
        <v>3</v>
      </c>
      <c r="C13" s="60">
        <v>4</v>
      </c>
      <c r="D13" s="60">
        <v>155</v>
      </c>
      <c r="E13" s="60">
        <f t="shared" si="2"/>
        <v>123.75</v>
      </c>
      <c r="F13" s="14">
        <f t="shared" si="3"/>
        <v>123.125</v>
      </c>
      <c r="G13" s="14">
        <f t="shared" si="4"/>
        <v>31.875</v>
      </c>
      <c r="H13" s="14">
        <f t="shared" si="0"/>
        <v>32.03125</v>
      </c>
      <c r="I13" s="14">
        <f t="shared" si="1"/>
        <v>122.96875</v>
      </c>
      <c r="K13" s="14"/>
    </row>
    <row r="14" spans="1:11" x14ac:dyDescent="0.35">
      <c r="A14" s="60">
        <v>13</v>
      </c>
      <c r="B14" s="60">
        <v>4</v>
      </c>
      <c r="C14" s="60">
        <v>1</v>
      </c>
      <c r="D14" s="60">
        <v>145</v>
      </c>
      <c r="E14" s="60">
        <f t="shared" si="2"/>
        <v>123.75</v>
      </c>
      <c r="F14" s="14">
        <f t="shared" si="3"/>
        <v>123.75</v>
      </c>
      <c r="G14" s="14">
        <f t="shared" si="4"/>
        <v>21.25</v>
      </c>
      <c r="H14" s="14">
        <f t="shared" si="0"/>
        <v>20.364583333333336</v>
      </c>
      <c r="I14" s="14">
        <f t="shared" si="1"/>
        <v>124.63541666666666</v>
      </c>
      <c r="K14" s="14"/>
    </row>
    <row r="15" spans="1:11" x14ac:dyDescent="0.35">
      <c r="A15" s="60">
        <v>14</v>
      </c>
      <c r="B15" s="60">
        <v>4</v>
      </c>
      <c r="C15" s="60">
        <v>2</v>
      </c>
      <c r="D15" s="60">
        <v>110</v>
      </c>
      <c r="E15" s="60">
        <f t="shared" si="2"/>
        <v>125</v>
      </c>
      <c r="F15" s="14">
        <f t="shared" si="3"/>
        <v>124.375</v>
      </c>
      <c r="G15" s="14">
        <f t="shared" si="4"/>
        <v>-14.375</v>
      </c>
      <c r="H15" s="14">
        <f t="shared" si="0"/>
        <v>-14.84375</v>
      </c>
      <c r="I15" s="14">
        <f t="shared" si="1"/>
        <v>124.84375</v>
      </c>
      <c r="K15" s="14"/>
    </row>
    <row r="16" spans="1:11" x14ac:dyDescent="0.35">
      <c r="A16" s="60">
        <v>15</v>
      </c>
      <c r="B16" s="60">
        <v>4</v>
      </c>
      <c r="C16" s="60">
        <v>3</v>
      </c>
      <c r="D16" s="60">
        <v>85</v>
      </c>
      <c r="G16" s="14"/>
      <c r="H16" s="14">
        <f t="shared" si="0"/>
        <v>-37.552083333333336</v>
      </c>
      <c r="I16" s="14">
        <f t="shared" si="1"/>
        <v>122.55208333333334</v>
      </c>
      <c r="K16" s="14"/>
    </row>
    <row r="17" spans="1:11" x14ac:dyDescent="0.35">
      <c r="A17" s="60">
        <v>16</v>
      </c>
      <c r="B17" s="60">
        <v>4</v>
      </c>
      <c r="C17" s="60">
        <v>4</v>
      </c>
      <c r="D17" s="60">
        <v>160</v>
      </c>
      <c r="G17" s="14"/>
      <c r="H17" s="14">
        <f t="shared" si="0"/>
        <v>32.03125</v>
      </c>
      <c r="I17" s="14">
        <f t="shared" si="1"/>
        <v>127.96875</v>
      </c>
      <c r="K17" s="14"/>
    </row>
    <row r="18" spans="1:11" x14ac:dyDescent="0.35">
      <c r="B18" s="60">
        <v>5</v>
      </c>
      <c r="C18" s="60">
        <v>1</v>
      </c>
      <c r="H18" s="14">
        <f t="shared" si="0"/>
        <v>20.364583333333336</v>
      </c>
      <c r="J18" s="14">
        <f>I17</f>
        <v>127.96875</v>
      </c>
      <c r="K18" s="14">
        <f>J18+H18</f>
        <v>148.33333333333334</v>
      </c>
    </row>
    <row r="19" spans="1:11" x14ac:dyDescent="0.35">
      <c r="B19" s="60">
        <v>5</v>
      </c>
      <c r="C19" s="60">
        <v>2</v>
      </c>
      <c r="H19" s="14">
        <f t="shared" si="0"/>
        <v>-14.84375</v>
      </c>
      <c r="J19" s="14">
        <f>J18</f>
        <v>127.96875</v>
      </c>
      <c r="K19" s="14">
        <f t="shared" ref="K19:K21" si="5">J19+H19</f>
        <v>113.125</v>
      </c>
    </row>
    <row r="20" spans="1:11" x14ac:dyDescent="0.35">
      <c r="B20" s="60">
        <v>5</v>
      </c>
      <c r="C20" s="60">
        <v>3</v>
      </c>
      <c r="H20" s="14">
        <f t="shared" si="0"/>
        <v>-37.552083333333336</v>
      </c>
      <c r="J20" s="14">
        <f t="shared" ref="J20:J21" si="6">J19</f>
        <v>127.96875</v>
      </c>
      <c r="K20" s="14">
        <f t="shared" si="5"/>
        <v>90.416666666666657</v>
      </c>
    </row>
    <row r="21" spans="1:11" x14ac:dyDescent="0.35">
      <c r="B21" s="60">
        <v>5</v>
      </c>
      <c r="C21" s="60">
        <v>4</v>
      </c>
      <c r="H21" s="14">
        <f t="shared" si="0"/>
        <v>32.03125</v>
      </c>
      <c r="J21" s="14">
        <f t="shared" si="6"/>
        <v>127.96875</v>
      </c>
      <c r="K21" s="14">
        <f t="shared" si="5"/>
        <v>160</v>
      </c>
    </row>
    <row r="23" spans="1:11" x14ac:dyDescent="0.35">
      <c r="A23" s="60" t="s">
        <v>34</v>
      </c>
      <c r="C23" s="14">
        <f>AVERAGE(G4:G15)</f>
        <v>5.2083333333333336E-2</v>
      </c>
    </row>
    <row r="24" spans="1:11" x14ac:dyDescent="0.35">
      <c r="A24" s="60" t="s">
        <v>21</v>
      </c>
      <c r="B24" s="60" t="s">
        <v>32</v>
      </c>
      <c r="C24" s="60" t="s">
        <v>33</v>
      </c>
    </row>
    <row r="25" spans="1:11" x14ac:dyDescent="0.35">
      <c r="A25" s="60">
        <v>1</v>
      </c>
      <c r="B25" s="14">
        <f>AVERAGEIF($C$4:$C$15,A25,$G$4:$G$15)</f>
        <v>20.416666666666668</v>
      </c>
      <c r="C25" s="14">
        <f>B25-$C$23</f>
        <v>20.364583333333336</v>
      </c>
    </row>
    <row r="26" spans="1:11" x14ac:dyDescent="0.35">
      <c r="A26" s="60">
        <v>2</v>
      </c>
      <c r="B26" s="14">
        <f>AVERAGEIF($C$4:$C$15,A26,$G$4:$G$15)</f>
        <v>-14.791666666666666</v>
      </c>
      <c r="C26" s="14">
        <f>B26-$C$23</f>
        <v>-14.84375</v>
      </c>
    </row>
    <row r="27" spans="1:11" x14ac:dyDescent="0.35">
      <c r="A27" s="60">
        <v>3</v>
      </c>
      <c r="B27" s="14">
        <f>AVERAGEIF($C$4:$C$15,A27,$G$4:$G$15)</f>
        <v>-37.5</v>
      </c>
      <c r="C27" s="14">
        <f>B27-$C$23</f>
        <v>-37.552083333333336</v>
      </c>
    </row>
    <row r="28" spans="1:11" x14ac:dyDescent="0.35">
      <c r="A28" s="60">
        <v>4</v>
      </c>
      <c r="B28" s="14">
        <f>AVERAGEIF($C$4:$C$15,A28,$G$4:$G$15)</f>
        <v>32.083333333333336</v>
      </c>
      <c r="C28" s="14">
        <f>B28-$C$23</f>
        <v>32.03125</v>
      </c>
    </row>
    <row r="29" spans="1:11" x14ac:dyDescent="0.35">
      <c r="A29" s="60" t="s">
        <v>40</v>
      </c>
      <c r="B29" s="14">
        <f>SUM(B25:B28)</f>
        <v>0.2083333333333357</v>
      </c>
      <c r="C29" s="14">
        <f>SUM(C25:C28)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D13E-182D-4AB0-82E6-2DEEB6DD7988}">
  <dimension ref="A1:L29"/>
  <sheetViews>
    <sheetView zoomScale="90" zoomScaleNormal="90" workbookViewId="0">
      <selection activeCell="R12" sqref="R12"/>
    </sheetView>
  </sheetViews>
  <sheetFormatPr defaultColWidth="8.90625" defaultRowHeight="14.5" x14ac:dyDescent="0.35"/>
  <cols>
    <col min="1" max="1" width="3.36328125" style="60" bestFit="1" customWidth="1"/>
    <col min="2" max="2" width="4.81640625" style="60" bestFit="1" customWidth="1"/>
    <col min="3" max="3" width="3.90625" style="60" bestFit="1" customWidth="1"/>
    <col min="4" max="4" width="8.90625" style="60"/>
    <col min="5" max="5" width="6" style="60" bestFit="1" customWidth="1"/>
    <col min="6" max="6" width="8.6328125" style="60" bestFit="1" customWidth="1"/>
    <col min="7" max="7" width="23.36328125" style="60" customWidth="1"/>
    <col min="8" max="8" width="17.6328125" style="60" customWidth="1"/>
    <col min="9" max="9" width="14.1796875" style="60" customWidth="1"/>
    <col min="10" max="16384" width="8.90625" style="60"/>
  </cols>
  <sheetData>
    <row r="1" spans="1:12" ht="43.5" x14ac:dyDescent="0.35">
      <c r="A1" s="60" t="s">
        <v>41</v>
      </c>
      <c r="B1" s="60" t="s">
        <v>19</v>
      </c>
      <c r="C1" s="60" t="s">
        <v>21</v>
      </c>
      <c r="D1" s="3" t="s">
        <v>30</v>
      </c>
      <c r="E1" s="62" t="s">
        <v>77</v>
      </c>
      <c r="F1" s="62" t="s">
        <v>35</v>
      </c>
      <c r="G1" s="3" t="s">
        <v>37</v>
      </c>
      <c r="H1" s="3" t="s">
        <v>76</v>
      </c>
      <c r="I1" s="3" t="s">
        <v>38</v>
      </c>
    </row>
    <row r="2" spans="1:12" x14ac:dyDescent="0.35">
      <c r="A2" s="60">
        <v>1</v>
      </c>
      <c r="B2" s="60">
        <v>1</v>
      </c>
      <c r="C2" s="60">
        <v>1</v>
      </c>
      <c r="D2" s="60">
        <v>115</v>
      </c>
      <c r="E2" s="2">
        <v>98</v>
      </c>
      <c r="F2" s="2">
        <v>19</v>
      </c>
      <c r="G2" s="63">
        <f t="shared" ref="G2:G17" si="0">D2-F2</f>
        <v>96</v>
      </c>
      <c r="L2" s="2"/>
    </row>
    <row r="3" spans="1:12" x14ac:dyDescent="0.35">
      <c r="A3" s="60">
        <v>2</v>
      </c>
      <c r="B3" s="60">
        <v>1</v>
      </c>
      <c r="C3" s="60">
        <v>2</v>
      </c>
      <c r="D3" s="60">
        <v>90</v>
      </c>
      <c r="E3" s="2">
        <v>101</v>
      </c>
      <c r="F3" s="2">
        <v>-14</v>
      </c>
      <c r="G3" s="63">
        <f t="shared" si="0"/>
        <v>104</v>
      </c>
      <c r="L3" s="2"/>
    </row>
    <row r="4" spans="1:12" x14ac:dyDescent="0.35">
      <c r="A4" s="60">
        <v>3</v>
      </c>
      <c r="B4" s="60">
        <v>1</v>
      </c>
      <c r="C4" s="60">
        <v>3</v>
      </c>
      <c r="D4" s="60">
        <v>65</v>
      </c>
      <c r="E4" s="2">
        <v>103</v>
      </c>
      <c r="F4" s="2">
        <v>-38</v>
      </c>
      <c r="G4" s="63">
        <f t="shared" si="0"/>
        <v>103</v>
      </c>
      <c r="L4" s="2"/>
    </row>
    <row r="5" spans="1:12" x14ac:dyDescent="0.35">
      <c r="A5" s="60">
        <v>4</v>
      </c>
      <c r="B5" s="60">
        <v>1</v>
      </c>
      <c r="C5" s="60">
        <v>4</v>
      </c>
      <c r="D5" s="60">
        <v>135</v>
      </c>
      <c r="E5" s="2">
        <v>105</v>
      </c>
      <c r="F5" s="2">
        <v>33</v>
      </c>
      <c r="G5" s="63">
        <f t="shared" si="0"/>
        <v>102</v>
      </c>
      <c r="L5" s="2"/>
    </row>
    <row r="6" spans="1:12" x14ac:dyDescent="0.35">
      <c r="A6" s="60">
        <v>5</v>
      </c>
      <c r="B6" s="60">
        <v>2</v>
      </c>
      <c r="C6" s="60">
        <v>1</v>
      </c>
      <c r="D6" s="60">
        <v>130</v>
      </c>
      <c r="E6" s="2">
        <v>108</v>
      </c>
      <c r="F6" s="2">
        <v>19</v>
      </c>
      <c r="G6" s="63">
        <f t="shared" si="0"/>
        <v>111</v>
      </c>
      <c r="I6" s="14"/>
      <c r="L6" s="2"/>
    </row>
    <row r="7" spans="1:12" x14ac:dyDescent="0.35">
      <c r="A7" s="60">
        <v>6</v>
      </c>
      <c r="B7" s="60">
        <v>2</v>
      </c>
      <c r="C7" s="60">
        <v>2</v>
      </c>
      <c r="D7" s="60">
        <v>95</v>
      </c>
      <c r="E7" s="2">
        <v>111</v>
      </c>
      <c r="F7" s="2">
        <v>-14</v>
      </c>
      <c r="G7" s="63">
        <f t="shared" si="0"/>
        <v>109</v>
      </c>
      <c r="I7" s="14"/>
      <c r="L7" s="2"/>
    </row>
    <row r="8" spans="1:12" x14ac:dyDescent="0.35">
      <c r="A8" s="60">
        <v>7</v>
      </c>
      <c r="B8" s="60">
        <v>2</v>
      </c>
      <c r="C8" s="60">
        <v>3</v>
      </c>
      <c r="D8" s="60">
        <v>75</v>
      </c>
      <c r="E8" s="2">
        <v>113</v>
      </c>
      <c r="F8" s="2">
        <v>-38</v>
      </c>
      <c r="G8" s="63">
        <f t="shared" si="0"/>
        <v>113</v>
      </c>
      <c r="I8" s="14"/>
      <c r="L8" s="2"/>
    </row>
    <row r="9" spans="1:12" x14ac:dyDescent="0.35">
      <c r="A9" s="60">
        <v>8</v>
      </c>
      <c r="B9" s="60">
        <v>2</v>
      </c>
      <c r="C9" s="60">
        <v>4</v>
      </c>
      <c r="D9" s="60">
        <v>150</v>
      </c>
      <c r="E9" s="2">
        <v>115</v>
      </c>
      <c r="F9" s="2">
        <v>33</v>
      </c>
      <c r="G9" s="63">
        <f t="shared" si="0"/>
        <v>117</v>
      </c>
      <c r="I9" s="14"/>
      <c r="L9" s="2"/>
    </row>
    <row r="10" spans="1:12" x14ac:dyDescent="0.35">
      <c r="A10" s="60">
        <v>9</v>
      </c>
      <c r="B10" s="60">
        <v>3</v>
      </c>
      <c r="C10" s="60">
        <v>1</v>
      </c>
      <c r="D10" s="60">
        <v>135</v>
      </c>
      <c r="E10" s="2">
        <v>117</v>
      </c>
      <c r="F10" s="2">
        <v>19</v>
      </c>
      <c r="G10" s="63">
        <f t="shared" si="0"/>
        <v>116</v>
      </c>
      <c r="I10" s="14"/>
      <c r="L10" s="2"/>
    </row>
    <row r="11" spans="1:12" x14ac:dyDescent="0.35">
      <c r="A11" s="60">
        <v>10</v>
      </c>
      <c r="B11" s="60">
        <v>3</v>
      </c>
      <c r="C11" s="60">
        <v>2</v>
      </c>
      <c r="D11" s="60">
        <v>105</v>
      </c>
      <c r="E11" s="2">
        <v>119</v>
      </c>
      <c r="F11" s="2">
        <v>-14</v>
      </c>
      <c r="G11" s="63">
        <f t="shared" si="0"/>
        <v>119</v>
      </c>
      <c r="I11" s="14"/>
      <c r="L11" s="2"/>
    </row>
    <row r="12" spans="1:12" x14ac:dyDescent="0.35">
      <c r="A12" s="60">
        <v>11</v>
      </c>
      <c r="B12" s="60">
        <v>3</v>
      </c>
      <c r="C12" s="60">
        <v>3</v>
      </c>
      <c r="D12" s="60">
        <v>85</v>
      </c>
      <c r="E12" s="2">
        <v>121</v>
      </c>
      <c r="F12" s="2">
        <v>-38</v>
      </c>
      <c r="G12" s="63">
        <f t="shared" si="0"/>
        <v>123</v>
      </c>
      <c r="I12" s="14"/>
      <c r="L12" s="2"/>
    </row>
    <row r="13" spans="1:12" x14ac:dyDescent="0.35">
      <c r="A13" s="60">
        <v>12</v>
      </c>
      <c r="B13" s="60">
        <v>3</v>
      </c>
      <c r="C13" s="60">
        <v>4</v>
      </c>
      <c r="D13" s="60">
        <v>155</v>
      </c>
      <c r="E13" s="2">
        <v>123</v>
      </c>
      <c r="F13" s="2">
        <v>33</v>
      </c>
      <c r="G13" s="63">
        <f t="shared" si="0"/>
        <v>122</v>
      </c>
      <c r="I13" s="14"/>
      <c r="L13" s="2"/>
    </row>
    <row r="14" spans="1:12" x14ac:dyDescent="0.35">
      <c r="A14" s="60">
        <v>13</v>
      </c>
      <c r="B14" s="60">
        <v>4</v>
      </c>
      <c r="C14" s="60">
        <v>1</v>
      </c>
      <c r="D14" s="60">
        <v>145</v>
      </c>
      <c r="E14" s="2">
        <v>124</v>
      </c>
      <c r="F14" s="2">
        <v>19</v>
      </c>
      <c r="G14" s="63">
        <f t="shared" si="0"/>
        <v>126</v>
      </c>
      <c r="I14" s="14"/>
      <c r="L14" s="2"/>
    </row>
    <row r="15" spans="1:12" x14ac:dyDescent="0.35">
      <c r="A15" s="60">
        <v>14</v>
      </c>
      <c r="B15" s="60">
        <v>4</v>
      </c>
      <c r="C15" s="60">
        <v>2</v>
      </c>
      <c r="D15" s="60">
        <v>110</v>
      </c>
      <c r="E15" s="2">
        <v>124</v>
      </c>
      <c r="F15" s="2">
        <v>-14</v>
      </c>
      <c r="G15" s="63">
        <f t="shared" si="0"/>
        <v>124</v>
      </c>
      <c r="I15" s="14"/>
      <c r="L15" s="2"/>
    </row>
    <row r="16" spans="1:12" x14ac:dyDescent="0.35">
      <c r="A16" s="60">
        <v>15</v>
      </c>
      <c r="B16" s="60">
        <v>4</v>
      </c>
      <c r="C16" s="60">
        <v>3</v>
      </c>
      <c r="D16" s="60">
        <v>85</v>
      </c>
      <c r="E16" s="2">
        <v>125</v>
      </c>
      <c r="F16" s="2">
        <v>-38</v>
      </c>
      <c r="G16" s="63">
        <f t="shared" si="0"/>
        <v>123</v>
      </c>
      <c r="I16" s="14"/>
      <c r="L16" s="2"/>
    </row>
    <row r="17" spans="1:12" x14ac:dyDescent="0.35">
      <c r="A17" s="60">
        <v>16</v>
      </c>
      <c r="B17" s="60">
        <v>4</v>
      </c>
      <c r="C17" s="60">
        <v>4</v>
      </c>
      <c r="D17" s="60">
        <v>160</v>
      </c>
      <c r="E17" s="2">
        <v>126</v>
      </c>
      <c r="F17" s="2">
        <v>33</v>
      </c>
      <c r="G17" s="63">
        <f t="shared" si="0"/>
        <v>127</v>
      </c>
      <c r="I17" s="14"/>
      <c r="L17" s="2"/>
    </row>
    <row r="18" spans="1:12" x14ac:dyDescent="0.35">
      <c r="B18" s="60">
        <v>5</v>
      </c>
      <c r="C18" s="60">
        <v>1</v>
      </c>
      <c r="F18" s="2">
        <v>19</v>
      </c>
      <c r="H18" s="14">
        <f>G17</f>
        <v>127</v>
      </c>
      <c r="I18" s="14">
        <f>H18+F18</f>
        <v>146</v>
      </c>
    </row>
    <row r="19" spans="1:12" x14ac:dyDescent="0.35">
      <c r="B19" s="60">
        <v>5</v>
      </c>
      <c r="C19" s="60">
        <v>2</v>
      </c>
      <c r="F19" s="2">
        <v>-14</v>
      </c>
      <c r="H19" s="14">
        <f>H18</f>
        <v>127</v>
      </c>
      <c r="I19" s="14">
        <f t="shared" ref="I19:I21" si="1">H19+F19</f>
        <v>113</v>
      </c>
    </row>
    <row r="20" spans="1:12" x14ac:dyDescent="0.35">
      <c r="B20" s="60">
        <v>5</v>
      </c>
      <c r="C20" s="60">
        <v>3</v>
      </c>
      <c r="F20" s="2">
        <v>-38</v>
      </c>
      <c r="H20" s="14">
        <f t="shared" ref="H20:H21" si="2">H19</f>
        <v>127</v>
      </c>
      <c r="I20" s="14">
        <f t="shared" si="1"/>
        <v>89</v>
      </c>
    </row>
    <row r="21" spans="1:12" x14ac:dyDescent="0.35">
      <c r="B21" s="60">
        <v>5</v>
      </c>
      <c r="C21" s="60">
        <v>4</v>
      </c>
      <c r="F21" s="2">
        <v>33</v>
      </c>
      <c r="H21" s="14">
        <f t="shared" si="2"/>
        <v>127</v>
      </c>
      <c r="I21" s="14">
        <f t="shared" si="1"/>
        <v>160</v>
      </c>
    </row>
    <row r="22" spans="1:12" x14ac:dyDescent="0.35">
      <c r="F22" s="2"/>
    </row>
    <row r="23" spans="1:12" x14ac:dyDescent="0.35">
      <c r="C23" s="14"/>
      <c r="F23" s="2"/>
    </row>
    <row r="24" spans="1:12" x14ac:dyDescent="0.35">
      <c r="F24" s="2"/>
    </row>
    <row r="25" spans="1:12" x14ac:dyDescent="0.35">
      <c r="B25" s="14"/>
      <c r="C25" s="14"/>
    </row>
    <row r="26" spans="1:12" x14ac:dyDescent="0.35">
      <c r="B26" s="14"/>
      <c r="C26" s="14"/>
    </row>
    <row r="27" spans="1:12" x14ac:dyDescent="0.35">
      <c r="B27" s="14"/>
      <c r="C27" s="14"/>
    </row>
    <row r="28" spans="1:12" x14ac:dyDescent="0.35">
      <c r="B28" s="14"/>
      <c r="C28" s="14"/>
    </row>
    <row r="29" spans="1:12" x14ac:dyDescent="0.35">
      <c r="B29" s="14"/>
      <c r="C2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3"/>
  <sheetViews>
    <sheetView workbookViewId="0">
      <selection activeCell="F20" sqref="F20"/>
    </sheetView>
  </sheetViews>
  <sheetFormatPr defaultRowHeight="14.5" x14ac:dyDescent="0.35"/>
  <sheetData>
    <row r="1" spans="1:2" ht="15" thickBot="1" x14ac:dyDescent="0.4">
      <c r="A1" s="4" t="s">
        <v>23</v>
      </c>
      <c r="B1" s="4" t="s">
        <v>24</v>
      </c>
    </row>
    <row r="2" spans="1:2" x14ac:dyDescent="0.35">
      <c r="A2" s="5">
        <v>21582</v>
      </c>
      <c r="B2" s="6">
        <v>256.7</v>
      </c>
    </row>
    <row r="3" spans="1:2" x14ac:dyDescent="0.35">
      <c r="A3" s="5">
        <v>21671</v>
      </c>
      <c r="B3" s="6">
        <v>367.3</v>
      </c>
    </row>
    <row r="4" spans="1:2" x14ac:dyDescent="0.35">
      <c r="A4" s="5">
        <v>21763</v>
      </c>
      <c r="B4" s="6">
        <v>350.8</v>
      </c>
    </row>
    <row r="5" spans="1:2" x14ac:dyDescent="0.35">
      <c r="A5" s="5">
        <v>21855</v>
      </c>
      <c r="B5" s="6">
        <v>259.2</v>
      </c>
    </row>
    <row r="6" spans="1:2" x14ac:dyDescent="0.35">
      <c r="A6" s="5">
        <v>21947</v>
      </c>
      <c r="B6" s="6">
        <v>213.4</v>
      </c>
    </row>
    <row r="7" spans="1:2" x14ac:dyDescent="0.35">
      <c r="A7" s="5">
        <v>22037</v>
      </c>
      <c r="B7" s="6">
        <v>305.60000000000002</v>
      </c>
    </row>
    <row r="8" spans="1:2" x14ac:dyDescent="0.35">
      <c r="A8" s="5">
        <v>22129</v>
      </c>
      <c r="B8" s="6">
        <v>274.39999999999998</v>
      </c>
    </row>
    <row r="9" spans="1:2" x14ac:dyDescent="0.35">
      <c r="A9" s="5">
        <v>22221</v>
      </c>
      <c r="B9" s="6">
        <v>201.2</v>
      </c>
    </row>
    <row r="10" spans="1:2" x14ac:dyDescent="0.35">
      <c r="A10" s="5">
        <v>22313</v>
      </c>
      <c r="B10" s="6">
        <v>183.1</v>
      </c>
    </row>
    <row r="11" spans="1:2" x14ac:dyDescent="0.35">
      <c r="A11" s="5">
        <v>22402</v>
      </c>
      <c r="B11" s="6">
        <v>284.60000000000002</v>
      </c>
    </row>
    <row r="12" spans="1:2" x14ac:dyDescent="0.35">
      <c r="A12" s="5">
        <v>22494</v>
      </c>
      <c r="B12" s="6">
        <v>284.2</v>
      </c>
    </row>
    <row r="13" spans="1:2" x14ac:dyDescent="0.35">
      <c r="A13" s="5">
        <v>22586</v>
      </c>
      <c r="B13" s="6">
        <v>222.4</v>
      </c>
    </row>
    <row r="14" spans="1:2" x14ac:dyDescent="0.35">
      <c r="A14" s="5">
        <v>22678</v>
      </c>
      <c r="B14" s="6">
        <v>187.5</v>
      </c>
    </row>
    <row r="15" spans="1:2" x14ac:dyDescent="0.35">
      <c r="A15" s="5">
        <v>22767</v>
      </c>
      <c r="B15" s="6">
        <v>305.10000000000002</v>
      </c>
    </row>
    <row r="16" spans="1:2" x14ac:dyDescent="0.35">
      <c r="A16" s="5">
        <v>22859</v>
      </c>
      <c r="B16" s="6">
        <v>272.3</v>
      </c>
    </row>
    <row r="17" spans="1:2" x14ac:dyDescent="0.35">
      <c r="A17" s="5">
        <v>22951</v>
      </c>
      <c r="B17" s="6">
        <v>226.4</v>
      </c>
    </row>
    <row r="18" spans="1:2" x14ac:dyDescent="0.35">
      <c r="A18" s="5">
        <v>23043</v>
      </c>
      <c r="B18" s="6">
        <v>178.2</v>
      </c>
    </row>
    <row r="19" spans="1:2" x14ac:dyDescent="0.35">
      <c r="A19" s="5">
        <v>23132</v>
      </c>
      <c r="B19" s="6">
        <v>324.3</v>
      </c>
    </row>
    <row r="20" spans="1:2" x14ac:dyDescent="0.35">
      <c r="A20" s="5">
        <v>23224</v>
      </c>
      <c r="B20" s="6">
        <v>288.89999999999998</v>
      </c>
    </row>
    <row r="21" spans="1:2" x14ac:dyDescent="0.35">
      <c r="A21" s="5">
        <v>23316</v>
      </c>
      <c r="B21" s="6">
        <v>221</v>
      </c>
    </row>
    <row r="22" spans="1:2" x14ac:dyDescent="0.35">
      <c r="A22" s="5">
        <v>23408</v>
      </c>
      <c r="B22" s="6">
        <v>202.6</v>
      </c>
    </row>
    <row r="23" spans="1:2" x14ac:dyDescent="0.35">
      <c r="A23" s="5">
        <v>23498</v>
      </c>
      <c r="B23" s="6">
        <v>294</v>
      </c>
    </row>
    <row r="24" spans="1:2" x14ac:dyDescent="0.35">
      <c r="A24" s="5">
        <v>23590</v>
      </c>
      <c r="B24" s="6">
        <v>261.7</v>
      </c>
    </row>
    <row r="25" spans="1:2" x14ac:dyDescent="0.35">
      <c r="A25" s="5">
        <v>23682</v>
      </c>
      <c r="B25" s="6">
        <v>212.1</v>
      </c>
    </row>
    <row r="26" spans="1:2" x14ac:dyDescent="0.35">
      <c r="A26" s="5">
        <v>23774</v>
      </c>
      <c r="B26" s="6">
        <v>181.5</v>
      </c>
    </row>
    <row r="27" spans="1:2" x14ac:dyDescent="0.35">
      <c r="A27" s="5">
        <v>23863</v>
      </c>
      <c r="B27" s="6">
        <v>296.7</v>
      </c>
    </row>
    <row r="28" spans="1:2" x14ac:dyDescent="0.35">
      <c r="A28" s="5">
        <v>23955</v>
      </c>
      <c r="B28" s="6">
        <v>266.2</v>
      </c>
    </row>
    <row r="29" spans="1:2" x14ac:dyDescent="0.35">
      <c r="A29" s="5">
        <v>24047</v>
      </c>
      <c r="B29" s="6">
        <v>219.4</v>
      </c>
    </row>
    <row r="30" spans="1:2" x14ac:dyDescent="0.35">
      <c r="A30" s="5">
        <v>24139</v>
      </c>
      <c r="B30" s="6">
        <v>180.2</v>
      </c>
    </row>
    <row r="31" spans="1:2" x14ac:dyDescent="0.35">
      <c r="A31" s="5">
        <v>24228</v>
      </c>
      <c r="B31" s="6">
        <v>258.8</v>
      </c>
    </row>
    <row r="32" spans="1:2" x14ac:dyDescent="0.35">
      <c r="A32" s="5">
        <v>24320</v>
      </c>
      <c r="B32" s="6">
        <v>197.9</v>
      </c>
    </row>
    <row r="33" spans="1:2" x14ac:dyDescent="0.35">
      <c r="A33" s="5">
        <v>24412</v>
      </c>
      <c r="B33" s="6">
        <v>141.69999999999999</v>
      </c>
    </row>
    <row r="34" spans="1:2" x14ac:dyDescent="0.35">
      <c r="A34" s="5">
        <v>24504</v>
      </c>
      <c r="B34" s="6">
        <v>147.1</v>
      </c>
    </row>
    <row r="35" spans="1:2" x14ac:dyDescent="0.35">
      <c r="A35" s="5">
        <v>24593</v>
      </c>
      <c r="B35" s="6">
        <v>254.7</v>
      </c>
    </row>
    <row r="36" spans="1:2" x14ac:dyDescent="0.35">
      <c r="A36" s="5">
        <v>24685</v>
      </c>
      <c r="B36" s="6">
        <v>244.2</v>
      </c>
    </row>
    <row r="37" spans="1:2" x14ac:dyDescent="0.35">
      <c r="A37" s="5">
        <v>24777</v>
      </c>
      <c r="B37" s="6">
        <v>197.8</v>
      </c>
    </row>
    <row r="38" spans="1:2" x14ac:dyDescent="0.35">
      <c r="A38" s="5">
        <v>24869</v>
      </c>
      <c r="B38" s="6">
        <v>179.9</v>
      </c>
    </row>
    <row r="39" spans="1:2" x14ac:dyDescent="0.35">
      <c r="A39" s="5">
        <v>24959</v>
      </c>
      <c r="B39" s="6">
        <v>266.2</v>
      </c>
    </row>
    <row r="40" spans="1:2" x14ac:dyDescent="0.35">
      <c r="A40" s="5">
        <v>25051</v>
      </c>
      <c r="B40" s="6">
        <v>249</v>
      </c>
    </row>
    <row r="41" spans="1:2" x14ac:dyDescent="0.35">
      <c r="A41" s="5">
        <v>25143</v>
      </c>
      <c r="B41" s="6">
        <v>204.2</v>
      </c>
    </row>
    <row r="42" spans="1:2" x14ac:dyDescent="0.35">
      <c r="A42" s="5">
        <v>25235</v>
      </c>
      <c r="B42" s="6">
        <v>171.1</v>
      </c>
    </row>
    <row r="43" spans="1:2" x14ac:dyDescent="0.35">
      <c r="A43" s="5">
        <v>25324</v>
      </c>
      <c r="B43" s="6">
        <v>259</v>
      </c>
    </row>
    <row r="44" spans="1:2" x14ac:dyDescent="0.35">
      <c r="A44" s="5">
        <v>25416</v>
      </c>
      <c r="B44" s="6">
        <v>214.5</v>
      </c>
    </row>
    <row r="45" spans="1:2" x14ac:dyDescent="0.35">
      <c r="A45" s="5">
        <v>25508</v>
      </c>
      <c r="B45" s="6">
        <v>165.9</v>
      </c>
    </row>
    <row r="46" spans="1:2" x14ac:dyDescent="0.35">
      <c r="A46" s="5">
        <v>25600</v>
      </c>
      <c r="B46" s="6">
        <v>136.69999999999999</v>
      </c>
    </row>
    <row r="47" spans="1:2" x14ac:dyDescent="0.35">
      <c r="A47" s="5">
        <v>25689</v>
      </c>
      <c r="B47" s="6">
        <v>231.6</v>
      </c>
    </row>
    <row r="48" spans="1:2" x14ac:dyDescent="0.35">
      <c r="A48" s="5">
        <v>25781</v>
      </c>
      <c r="B48" s="6">
        <v>228.8</v>
      </c>
    </row>
    <row r="49" spans="1:2" x14ac:dyDescent="0.35">
      <c r="A49" s="5">
        <v>25873</v>
      </c>
      <c r="B49" s="6">
        <v>215.8</v>
      </c>
    </row>
    <row r="50" spans="1:2" x14ac:dyDescent="0.35">
      <c r="A50" s="5">
        <v>25965</v>
      </c>
      <c r="B50" s="6">
        <v>204.8</v>
      </c>
    </row>
    <row r="51" spans="1:2" x14ac:dyDescent="0.35">
      <c r="A51" s="5">
        <v>26054</v>
      </c>
      <c r="B51" s="6">
        <v>348.5</v>
      </c>
    </row>
    <row r="52" spans="1:2" x14ac:dyDescent="0.35">
      <c r="A52" s="5">
        <v>26146</v>
      </c>
      <c r="B52" s="6">
        <v>321.5</v>
      </c>
    </row>
    <row r="53" spans="1:2" x14ac:dyDescent="0.35">
      <c r="A53" s="5">
        <v>26238</v>
      </c>
      <c r="B53" s="6">
        <v>276.2</v>
      </c>
    </row>
    <row r="54" spans="1:2" x14ac:dyDescent="0.35">
      <c r="A54" s="5">
        <v>26330</v>
      </c>
      <c r="B54" s="6">
        <v>263.89999999999998</v>
      </c>
    </row>
    <row r="55" spans="1:2" x14ac:dyDescent="0.35">
      <c r="A55" s="5">
        <v>26420</v>
      </c>
      <c r="B55" s="6">
        <v>386.9</v>
      </c>
    </row>
    <row r="56" spans="1:2" x14ac:dyDescent="0.35">
      <c r="A56" s="5">
        <v>26512</v>
      </c>
      <c r="B56" s="6">
        <v>370.9</v>
      </c>
    </row>
    <row r="57" spans="1:2" x14ac:dyDescent="0.35">
      <c r="A57" s="5">
        <v>26604</v>
      </c>
      <c r="B57" s="6">
        <v>287.60000000000002</v>
      </c>
    </row>
    <row r="58" spans="1:2" x14ac:dyDescent="0.35">
      <c r="A58" s="5">
        <v>26696</v>
      </c>
      <c r="B58" s="6">
        <v>255.8</v>
      </c>
    </row>
    <row r="59" spans="1:2" x14ac:dyDescent="0.35">
      <c r="A59" s="5">
        <v>26785</v>
      </c>
      <c r="B59" s="6">
        <v>366.9</v>
      </c>
    </row>
    <row r="60" spans="1:2" x14ac:dyDescent="0.35">
      <c r="A60" s="5">
        <v>26877</v>
      </c>
      <c r="B60" s="6">
        <v>306</v>
      </c>
    </row>
    <row r="61" spans="1:2" x14ac:dyDescent="0.35">
      <c r="A61" s="5">
        <v>26969</v>
      </c>
      <c r="B61" s="6">
        <v>203.3</v>
      </c>
    </row>
    <row r="62" spans="1:2" x14ac:dyDescent="0.35">
      <c r="A62" s="5">
        <v>27061</v>
      </c>
      <c r="B62" s="6">
        <v>177.8</v>
      </c>
    </row>
    <row r="63" spans="1:2" x14ac:dyDescent="0.35">
      <c r="A63" s="5">
        <v>27150</v>
      </c>
      <c r="B63" s="6">
        <v>297.8</v>
      </c>
    </row>
    <row r="64" spans="1:2" x14ac:dyDescent="0.35">
      <c r="A64" s="5">
        <v>27242</v>
      </c>
      <c r="B64" s="6">
        <v>243.9</v>
      </c>
    </row>
    <row r="65" spans="1:2" x14ac:dyDescent="0.35">
      <c r="A65" s="5">
        <v>27334</v>
      </c>
      <c r="B65" s="6">
        <v>168.4</v>
      </c>
    </row>
    <row r="66" spans="1:2" x14ac:dyDescent="0.35">
      <c r="A66" s="5">
        <v>27426</v>
      </c>
      <c r="B66" s="6">
        <v>142.30000000000001</v>
      </c>
    </row>
    <row r="67" spans="1:2" x14ac:dyDescent="0.35">
      <c r="A67" s="5">
        <v>27515</v>
      </c>
      <c r="B67" s="6">
        <v>260.89999999999998</v>
      </c>
    </row>
    <row r="68" spans="1:2" x14ac:dyDescent="0.35">
      <c r="A68" s="5">
        <v>27607</v>
      </c>
      <c r="B68" s="6">
        <v>268</v>
      </c>
    </row>
    <row r="69" spans="1:2" x14ac:dyDescent="0.35">
      <c r="A69" s="5">
        <v>27699</v>
      </c>
      <c r="B69" s="6">
        <v>221</v>
      </c>
    </row>
    <row r="70" spans="1:2" x14ac:dyDescent="0.35">
      <c r="A70" s="5">
        <v>27791</v>
      </c>
      <c r="B70" s="6">
        <v>219</v>
      </c>
    </row>
    <row r="71" spans="1:2" x14ac:dyDescent="0.35">
      <c r="A71" s="5">
        <v>27881</v>
      </c>
      <c r="B71" s="6">
        <v>339.6</v>
      </c>
    </row>
    <row r="72" spans="1:2" x14ac:dyDescent="0.35">
      <c r="A72" s="5">
        <v>27973</v>
      </c>
      <c r="B72" s="6">
        <v>333.6</v>
      </c>
    </row>
    <row r="73" spans="1:2" x14ac:dyDescent="0.35">
      <c r="A73" s="5">
        <v>28065</v>
      </c>
      <c r="B73" s="6">
        <v>270.10000000000002</v>
      </c>
    </row>
    <row r="74" spans="1:2" x14ac:dyDescent="0.35">
      <c r="A74" s="5">
        <v>28157</v>
      </c>
      <c r="B74" s="6">
        <v>268.7</v>
      </c>
    </row>
    <row r="75" spans="1:2" x14ac:dyDescent="0.35">
      <c r="A75" s="5">
        <v>28246</v>
      </c>
      <c r="B75" s="6">
        <v>440.1</v>
      </c>
    </row>
    <row r="76" spans="1:2" x14ac:dyDescent="0.35">
      <c r="A76" s="5">
        <v>28338</v>
      </c>
      <c r="B76" s="6">
        <v>410.3</v>
      </c>
    </row>
    <row r="77" spans="1:2" x14ac:dyDescent="0.35">
      <c r="A77" s="5">
        <v>28430</v>
      </c>
      <c r="B77" s="6">
        <v>331.8</v>
      </c>
    </row>
    <row r="78" spans="1:2" x14ac:dyDescent="0.35">
      <c r="A78" s="5">
        <v>28522</v>
      </c>
      <c r="B78" s="6">
        <v>257.5</v>
      </c>
    </row>
    <row r="79" spans="1:2" x14ac:dyDescent="0.35">
      <c r="A79" s="5">
        <v>28611</v>
      </c>
      <c r="B79" s="6">
        <v>449.1</v>
      </c>
    </row>
    <row r="80" spans="1:2" x14ac:dyDescent="0.35">
      <c r="A80" s="5">
        <v>28703</v>
      </c>
      <c r="B80" s="6">
        <v>403.9</v>
      </c>
    </row>
    <row r="81" spans="1:2" x14ac:dyDescent="0.35">
      <c r="A81" s="5">
        <v>28795</v>
      </c>
      <c r="B81" s="6">
        <v>322.89999999999998</v>
      </c>
    </row>
    <row r="82" spans="1:2" x14ac:dyDescent="0.35">
      <c r="A82" s="5">
        <v>28887</v>
      </c>
      <c r="B82" s="6">
        <v>226.6</v>
      </c>
    </row>
    <row r="83" spans="1:2" x14ac:dyDescent="0.35">
      <c r="A83" s="5">
        <v>28976</v>
      </c>
      <c r="B83" s="6">
        <v>386.9</v>
      </c>
    </row>
    <row r="84" spans="1:2" x14ac:dyDescent="0.35">
      <c r="A84" s="5">
        <v>29068</v>
      </c>
      <c r="B84" s="6">
        <v>342.9</v>
      </c>
    </row>
    <row r="85" spans="1:2" x14ac:dyDescent="0.35">
      <c r="A85" s="5">
        <v>29160</v>
      </c>
      <c r="B85" s="6">
        <v>237.7</v>
      </c>
    </row>
    <row r="86" spans="1:2" x14ac:dyDescent="0.35">
      <c r="A86" s="5">
        <v>29252</v>
      </c>
      <c r="B86" s="6">
        <v>150.9</v>
      </c>
    </row>
    <row r="87" spans="1:2" x14ac:dyDescent="0.35">
      <c r="A87" s="5">
        <v>29342</v>
      </c>
      <c r="B87" s="6">
        <v>203.3</v>
      </c>
    </row>
    <row r="88" spans="1:2" x14ac:dyDescent="0.35">
      <c r="A88" s="5">
        <v>29434</v>
      </c>
      <c r="B88" s="6">
        <v>272.60000000000002</v>
      </c>
    </row>
    <row r="89" spans="1:2" x14ac:dyDescent="0.35">
      <c r="A89" s="5">
        <v>29526</v>
      </c>
      <c r="B89" s="6">
        <v>225.3</v>
      </c>
    </row>
    <row r="90" spans="1:2" x14ac:dyDescent="0.35">
      <c r="A90" s="5">
        <v>29618</v>
      </c>
      <c r="B90" s="6">
        <v>166.5</v>
      </c>
    </row>
    <row r="91" spans="1:2" x14ac:dyDescent="0.35">
      <c r="A91" s="5">
        <v>29707</v>
      </c>
      <c r="B91" s="6">
        <v>229.9</v>
      </c>
    </row>
    <row r="92" spans="1:2" x14ac:dyDescent="0.35">
      <c r="A92" s="5">
        <v>29799</v>
      </c>
      <c r="B92" s="6">
        <v>184.8</v>
      </c>
    </row>
    <row r="93" spans="1:2" x14ac:dyDescent="0.35">
      <c r="A93" s="5">
        <v>29891</v>
      </c>
      <c r="B93" s="6">
        <v>124.1</v>
      </c>
    </row>
    <row r="94" spans="1:2" x14ac:dyDescent="0.35">
      <c r="A94" s="5">
        <v>29983</v>
      </c>
      <c r="B94" s="6">
        <v>113.6</v>
      </c>
    </row>
    <row r="95" spans="1:2" x14ac:dyDescent="0.35">
      <c r="A95" s="5">
        <v>30072</v>
      </c>
      <c r="B95" s="6">
        <v>178.2</v>
      </c>
    </row>
    <row r="96" spans="1:2" x14ac:dyDescent="0.35">
      <c r="A96" s="5">
        <v>30164</v>
      </c>
      <c r="B96" s="6">
        <v>186.7</v>
      </c>
    </row>
    <row r="97" spans="1:2" x14ac:dyDescent="0.35">
      <c r="A97" s="5">
        <v>30256</v>
      </c>
      <c r="B97" s="6">
        <v>184.1</v>
      </c>
    </row>
    <row r="98" spans="1:2" x14ac:dyDescent="0.35">
      <c r="A98" s="5">
        <v>30348</v>
      </c>
      <c r="B98" s="6">
        <v>202.9</v>
      </c>
    </row>
    <row r="99" spans="1:2" x14ac:dyDescent="0.35">
      <c r="A99" s="5">
        <v>30437</v>
      </c>
      <c r="B99" s="6">
        <v>322.3</v>
      </c>
    </row>
    <row r="100" spans="1:2" x14ac:dyDescent="0.35">
      <c r="A100" s="5">
        <v>30529</v>
      </c>
      <c r="B100" s="6">
        <v>307.5</v>
      </c>
    </row>
    <row r="101" spans="1:2" x14ac:dyDescent="0.35">
      <c r="A101" s="5">
        <v>30621</v>
      </c>
      <c r="B101" s="6">
        <v>234.8</v>
      </c>
    </row>
    <row r="102" spans="1:2" x14ac:dyDescent="0.35">
      <c r="A102" s="5">
        <v>30713</v>
      </c>
      <c r="B102" s="6">
        <v>236.5</v>
      </c>
    </row>
    <row r="103" spans="1:2" x14ac:dyDescent="0.35">
      <c r="A103" s="5">
        <v>30803</v>
      </c>
      <c r="B103" s="6">
        <v>332.6</v>
      </c>
    </row>
    <row r="104" spans="1:2" x14ac:dyDescent="0.35">
      <c r="A104" s="5">
        <v>30895</v>
      </c>
      <c r="B104" s="6">
        <v>280.3</v>
      </c>
    </row>
    <row r="105" spans="1:2" x14ac:dyDescent="0.35">
      <c r="A105" s="5">
        <v>30987</v>
      </c>
      <c r="B105" s="6">
        <v>234.7</v>
      </c>
    </row>
    <row r="106" spans="1:2" x14ac:dyDescent="0.35">
      <c r="A106" s="5">
        <v>31079</v>
      </c>
      <c r="B106" s="6">
        <v>215.3</v>
      </c>
    </row>
    <row r="107" spans="1:2" x14ac:dyDescent="0.35">
      <c r="A107" s="5">
        <v>31168</v>
      </c>
      <c r="B107" s="6">
        <v>317.89999999999998</v>
      </c>
    </row>
    <row r="108" spans="1:2" x14ac:dyDescent="0.35">
      <c r="A108" s="5">
        <v>31260</v>
      </c>
      <c r="B108" s="6">
        <v>295</v>
      </c>
    </row>
    <row r="109" spans="1:2" x14ac:dyDescent="0.35">
      <c r="A109" s="5">
        <v>31352</v>
      </c>
      <c r="B109" s="6">
        <v>244.1</v>
      </c>
    </row>
    <row r="110" spans="1:2" x14ac:dyDescent="0.35">
      <c r="A110" s="5">
        <v>31444</v>
      </c>
      <c r="B110" s="6">
        <v>234.1</v>
      </c>
    </row>
    <row r="111" spans="1:2" x14ac:dyDescent="0.35">
      <c r="A111" s="5">
        <v>31533</v>
      </c>
      <c r="B111" s="6">
        <v>369.4</v>
      </c>
    </row>
    <row r="112" spans="1:2" x14ac:dyDescent="0.35">
      <c r="A112" s="5">
        <v>31625</v>
      </c>
      <c r="B112" s="6">
        <v>325.39999999999998</v>
      </c>
    </row>
    <row r="113" spans="1:2" x14ac:dyDescent="0.35">
      <c r="A113" s="5">
        <v>31717</v>
      </c>
      <c r="B113" s="6">
        <v>250.6</v>
      </c>
    </row>
    <row r="114" spans="1:2" x14ac:dyDescent="0.35">
      <c r="A114" s="5">
        <v>31809</v>
      </c>
      <c r="B114" s="6">
        <v>241.4</v>
      </c>
    </row>
    <row r="115" spans="1:2" x14ac:dyDescent="0.35">
      <c r="A115" s="5">
        <v>31898</v>
      </c>
      <c r="B115" s="6">
        <v>346.5</v>
      </c>
    </row>
    <row r="116" spans="1:2" x14ac:dyDescent="0.35">
      <c r="A116" s="5">
        <v>31990</v>
      </c>
      <c r="B116" s="6">
        <v>321.3</v>
      </c>
    </row>
    <row r="117" spans="1:2" x14ac:dyDescent="0.35">
      <c r="A117" s="5">
        <v>32082</v>
      </c>
      <c r="B117" s="6">
        <v>237.1</v>
      </c>
    </row>
    <row r="118" spans="1:2" x14ac:dyDescent="0.35">
      <c r="A118" s="5">
        <v>32174</v>
      </c>
      <c r="B118" s="6">
        <v>219.7</v>
      </c>
    </row>
    <row r="119" spans="1:2" x14ac:dyDescent="0.35">
      <c r="A119" s="5">
        <v>32264</v>
      </c>
      <c r="B119" s="6">
        <v>323.7</v>
      </c>
    </row>
    <row r="120" spans="1:2" x14ac:dyDescent="0.35">
      <c r="A120" s="5">
        <v>32356</v>
      </c>
      <c r="B120" s="6">
        <v>293.39999999999998</v>
      </c>
    </row>
    <row r="121" spans="1:2" x14ac:dyDescent="0.35">
      <c r="A121" s="5">
        <v>32448</v>
      </c>
      <c r="B121" s="6">
        <v>244.6</v>
      </c>
    </row>
    <row r="122" spans="1:2" x14ac:dyDescent="0.35">
      <c r="A122" s="5">
        <v>32540</v>
      </c>
      <c r="B122" s="6">
        <v>212.7</v>
      </c>
    </row>
    <row r="123" spans="1:2" x14ac:dyDescent="0.35">
      <c r="A123" s="5">
        <v>32629</v>
      </c>
      <c r="B123" s="6">
        <v>302.10000000000002</v>
      </c>
    </row>
    <row r="124" spans="1:2" x14ac:dyDescent="0.35">
      <c r="A124" s="5">
        <v>32721</v>
      </c>
      <c r="B124" s="6">
        <v>272.10000000000002</v>
      </c>
    </row>
    <row r="125" spans="1:2" x14ac:dyDescent="0.35">
      <c r="A125" s="5">
        <v>32813</v>
      </c>
      <c r="B125" s="6">
        <v>216.5</v>
      </c>
    </row>
    <row r="126" spans="1:2" x14ac:dyDescent="0.35">
      <c r="A126" s="5">
        <v>32905</v>
      </c>
      <c r="B126" s="6">
        <v>217</v>
      </c>
    </row>
    <row r="127" spans="1:2" x14ac:dyDescent="0.35">
      <c r="A127" s="5">
        <v>32994</v>
      </c>
      <c r="B127" s="6">
        <v>271.3</v>
      </c>
    </row>
    <row r="128" spans="1:2" x14ac:dyDescent="0.35">
      <c r="A128" s="5">
        <v>33086</v>
      </c>
      <c r="B128" s="6">
        <v>233</v>
      </c>
    </row>
    <row r="129" spans="1:2" x14ac:dyDescent="0.35">
      <c r="A129" s="5">
        <v>33178</v>
      </c>
      <c r="B129" s="6">
        <v>173.6</v>
      </c>
    </row>
    <row r="130" spans="1:2" x14ac:dyDescent="0.35">
      <c r="A130" s="5">
        <v>33270</v>
      </c>
      <c r="B130" s="6">
        <v>146.69999999999999</v>
      </c>
    </row>
    <row r="131" spans="1:2" x14ac:dyDescent="0.35">
      <c r="A131" s="5">
        <v>33359</v>
      </c>
      <c r="B131" s="6">
        <v>254.1</v>
      </c>
    </row>
    <row r="132" spans="1:2" x14ac:dyDescent="0.35">
      <c r="A132" s="5">
        <v>33451</v>
      </c>
      <c r="B132" s="6">
        <v>239.8</v>
      </c>
    </row>
    <row r="133" spans="1:2" x14ac:dyDescent="0.35">
      <c r="A133" s="5">
        <v>33543</v>
      </c>
      <c r="B133" s="6">
        <v>199.8</v>
      </c>
    </row>
    <row r="134" spans="1:2" x14ac:dyDescent="0.35">
      <c r="A134" s="5">
        <v>33635</v>
      </c>
      <c r="B134" s="6">
        <v>218.5</v>
      </c>
    </row>
    <row r="135" spans="1:2" x14ac:dyDescent="0.35">
      <c r="A135" s="5">
        <v>33725</v>
      </c>
      <c r="B135" s="6">
        <v>296.39999999999998</v>
      </c>
    </row>
    <row r="136" spans="1:2" x14ac:dyDescent="0.35">
      <c r="A136" s="5">
        <v>33817</v>
      </c>
      <c r="B136" s="6">
        <v>276.39999999999998</v>
      </c>
    </row>
    <row r="137" spans="1:2" x14ac:dyDescent="0.35">
      <c r="A137" s="5">
        <v>33909</v>
      </c>
      <c r="B137" s="6">
        <v>238.8</v>
      </c>
    </row>
    <row r="138" spans="1:2" x14ac:dyDescent="0.35">
      <c r="A138" s="5">
        <v>34001</v>
      </c>
      <c r="B138" s="6">
        <v>213.2</v>
      </c>
    </row>
    <row r="139" spans="1:2" x14ac:dyDescent="0.35">
      <c r="A139" s="5">
        <v>34090</v>
      </c>
      <c r="B139" s="6">
        <v>323.7</v>
      </c>
    </row>
    <row r="140" spans="1:2" x14ac:dyDescent="0.35">
      <c r="A140" s="5">
        <v>34182</v>
      </c>
      <c r="B140" s="6">
        <v>309.3</v>
      </c>
    </row>
    <row r="141" spans="1:2" x14ac:dyDescent="0.35">
      <c r="A141" s="5">
        <v>34274</v>
      </c>
      <c r="B141" s="6">
        <v>279.39999999999998</v>
      </c>
    </row>
    <row r="142" spans="1:2" x14ac:dyDescent="0.35">
      <c r="A142" s="5">
        <v>34366</v>
      </c>
      <c r="B142" s="6">
        <v>252.6</v>
      </c>
    </row>
    <row r="143" spans="1:2" x14ac:dyDescent="0.35">
      <c r="A143" s="5">
        <v>34455</v>
      </c>
      <c r="B143" s="6">
        <v>354.2</v>
      </c>
    </row>
    <row r="144" spans="1:2" x14ac:dyDescent="0.35">
      <c r="A144" s="5">
        <v>34547</v>
      </c>
      <c r="B144" s="6">
        <v>325.7</v>
      </c>
    </row>
    <row r="145" spans="1:2" x14ac:dyDescent="0.35">
      <c r="A145" s="5">
        <v>34639</v>
      </c>
      <c r="B145" s="6">
        <v>265.89999999999998</v>
      </c>
    </row>
    <row r="146" spans="1:2" x14ac:dyDescent="0.35">
      <c r="A146" s="5">
        <v>34731</v>
      </c>
      <c r="B146" s="6">
        <v>214.2</v>
      </c>
    </row>
    <row r="147" spans="1:2" x14ac:dyDescent="0.35">
      <c r="A147" s="5">
        <v>34820</v>
      </c>
      <c r="B147" s="6">
        <v>296.7</v>
      </c>
    </row>
    <row r="148" spans="1:2" x14ac:dyDescent="0.35">
      <c r="A148" s="5">
        <v>34912</v>
      </c>
      <c r="B148" s="6">
        <v>308.2</v>
      </c>
    </row>
    <row r="149" spans="1:2" x14ac:dyDescent="0.35">
      <c r="A149" s="5">
        <v>35004</v>
      </c>
      <c r="B149" s="6">
        <v>257.2</v>
      </c>
    </row>
    <row r="150" spans="1:2" x14ac:dyDescent="0.35">
      <c r="A150" s="5">
        <v>35096</v>
      </c>
      <c r="B150" s="6">
        <v>240</v>
      </c>
    </row>
    <row r="151" spans="1:2" x14ac:dyDescent="0.35">
      <c r="A151" s="5">
        <v>35186</v>
      </c>
      <c r="B151" s="6">
        <v>344.5</v>
      </c>
    </row>
    <row r="152" spans="1:2" x14ac:dyDescent="0.35">
      <c r="A152" s="5">
        <v>35278</v>
      </c>
      <c r="B152" s="6">
        <v>324</v>
      </c>
    </row>
    <row r="153" spans="1:2" x14ac:dyDescent="0.35">
      <c r="A153" s="5">
        <v>35370</v>
      </c>
      <c r="B153" s="6">
        <v>252.5</v>
      </c>
    </row>
    <row r="154" spans="1:2" x14ac:dyDescent="0.35">
      <c r="A154" s="5">
        <v>35462</v>
      </c>
      <c r="B154" s="6">
        <v>237.8</v>
      </c>
    </row>
    <row r="155" spans="1:2" x14ac:dyDescent="0.35">
      <c r="A155" s="5">
        <v>35551</v>
      </c>
      <c r="B155" s="6">
        <v>324.5</v>
      </c>
    </row>
    <row r="156" spans="1:2" x14ac:dyDescent="0.35">
      <c r="A156" s="5">
        <v>35643</v>
      </c>
      <c r="B156" s="6">
        <v>314.5</v>
      </c>
    </row>
    <row r="157" spans="1:2" x14ac:dyDescent="0.35">
      <c r="A157" s="5">
        <v>35735</v>
      </c>
      <c r="B157" s="6">
        <v>256.8</v>
      </c>
    </row>
    <row r="158" spans="1:2" x14ac:dyDescent="0.35">
      <c r="A158" s="5">
        <v>35827</v>
      </c>
      <c r="B158" s="6">
        <v>258.39999999999998</v>
      </c>
    </row>
    <row r="159" spans="1:2" x14ac:dyDescent="0.35">
      <c r="A159" s="5">
        <v>35916</v>
      </c>
      <c r="B159" s="6">
        <v>360.4</v>
      </c>
    </row>
    <row r="160" spans="1:2" x14ac:dyDescent="0.35">
      <c r="A160" s="5">
        <v>36008</v>
      </c>
      <c r="B160" s="6">
        <v>348</v>
      </c>
    </row>
    <row r="161" spans="1:2" x14ac:dyDescent="0.35">
      <c r="A161" s="5">
        <v>36100</v>
      </c>
      <c r="B161" s="6">
        <v>304.60000000000002</v>
      </c>
    </row>
    <row r="162" spans="1:2" x14ac:dyDescent="0.35">
      <c r="A162" s="5">
        <v>36192</v>
      </c>
      <c r="B162" s="6">
        <v>287.2</v>
      </c>
    </row>
    <row r="163" spans="1:2" x14ac:dyDescent="0.35">
      <c r="A163" s="5">
        <v>36281</v>
      </c>
      <c r="B163" s="6">
        <v>366.8</v>
      </c>
    </row>
    <row r="164" spans="1:2" x14ac:dyDescent="0.35">
      <c r="A164" s="5">
        <v>36373</v>
      </c>
      <c r="B164" s="6">
        <v>347.2</v>
      </c>
    </row>
    <row r="165" spans="1:2" x14ac:dyDescent="0.35">
      <c r="A165" s="5">
        <v>36465</v>
      </c>
      <c r="B165" s="6">
        <v>301.3</v>
      </c>
    </row>
    <row r="166" spans="1:2" x14ac:dyDescent="0.35">
      <c r="A166" s="5">
        <v>36557</v>
      </c>
      <c r="B166" s="6">
        <v>278.2</v>
      </c>
    </row>
    <row r="167" spans="1:2" x14ac:dyDescent="0.35">
      <c r="A167" s="5">
        <v>36647</v>
      </c>
      <c r="B167" s="6">
        <v>357</v>
      </c>
    </row>
    <row r="168" spans="1:2" x14ac:dyDescent="0.35">
      <c r="A168" s="5">
        <v>36739</v>
      </c>
      <c r="B168" s="6">
        <v>320.5</v>
      </c>
    </row>
    <row r="169" spans="1:2" x14ac:dyDescent="0.35">
      <c r="A169" s="5">
        <v>36831</v>
      </c>
      <c r="B169" s="6">
        <v>275.2</v>
      </c>
    </row>
    <row r="170" spans="1:2" x14ac:dyDescent="0.35">
      <c r="A170" s="5">
        <v>36923</v>
      </c>
      <c r="B170" s="6">
        <v>273.8</v>
      </c>
    </row>
    <row r="171" spans="1:2" x14ac:dyDescent="0.35">
      <c r="A171" s="5">
        <v>37012</v>
      </c>
      <c r="B171" s="6">
        <v>373.8</v>
      </c>
    </row>
    <row r="172" spans="1:2" x14ac:dyDescent="0.35">
      <c r="A172" s="5">
        <v>37104</v>
      </c>
      <c r="B172" s="6">
        <v>341.1</v>
      </c>
    </row>
    <row r="173" spans="1:2" x14ac:dyDescent="0.35">
      <c r="A173" s="5">
        <v>37196</v>
      </c>
      <c r="B173" s="6">
        <v>284.5</v>
      </c>
    </row>
    <row r="174" spans="1:2" x14ac:dyDescent="0.35">
      <c r="A174" s="5">
        <v>37288</v>
      </c>
      <c r="B174" s="6">
        <v>293.3</v>
      </c>
    </row>
    <row r="175" spans="1:2" x14ac:dyDescent="0.35">
      <c r="A175" s="5">
        <v>37377</v>
      </c>
      <c r="B175" s="6">
        <v>386</v>
      </c>
    </row>
    <row r="176" spans="1:2" x14ac:dyDescent="0.35">
      <c r="A176" s="5">
        <v>37469</v>
      </c>
      <c r="B176" s="6">
        <v>360.6</v>
      </c>
    </row>
    <row r="177" spans="1:2" x14ac:dyDescent="0.35">
      <c r="A177" s="5">
        <v>37561</v>
      </c>
      <c r="B177" s="6">
        <v>318.60000000000002</v>
      </c>
    </row>
    <row r="178" spans="1:2" x14ac:dyDescent="0.35">
      <c r="A178" s="5">
        <v>37653</v>
      </c>
      <c r="B178" s="6">
        <v>304.10000000000002</v>
      </c>
    </row>
    <row r="179" spans="1:2" x14ac:dyDescent="0.35">
      <c r="A179" s="5">
        <v>37742</v>
      </c>
      <c r="B179" s="6">
        <v>406.3</v>
      </c>
    </row>
    <row r="180" spans="1:2" x14ac:dyDescent="0.35">
      <c r="A180" s="5">
        <v>37834</v>
      </c>
      <c r="B180" s="6">
        <v>412</v>
      </c>
    </row>
    <row r="181" spans="1:2" x14ac:dyDescent="0.35">
      <c r="A181" s="5">
        <v>37926</v>
      </c>
      <c r="B181" s="6">
        <v>376.7</v>
      </c>
    </row>
    <row r="182" spans="1:2" x14ac:dyDescent="0.35">
      <c r="A182" s="5">
        <v>38018</v>
      </c>
      <c r="B182" s="6">
        <v>345.1</v>
      </c>
    </row>
    <row r="183" spans="1:2" x14ac:dyDescent="0.35">
      <c r="A183" s="5">
        <v>38108</v>
      </c>
      <c r="B183" s="6">
        <v>455.7</v>
      </c>
    </row>
    <row r="184" spans="1:2" x14ac:dyDescent="0.35">
      <c r="A184" s="5">
        <v>38200</v>
      </c>
      <c r="B184" s="6">
        <v>439.9</v>
      </c>
    </row>
    <row r="185" spans="1:2" x14ac:dyDescent="0.35">
      <c r="A185" s="5">
        <v>38292</v>
      </c>
      <c r="B185" s="6">
        <v>369.8</v>
      </c>
    </row>
    <row r="186" spans="1:2" x14ac:dyDescent="0.35">
      <c r="A186" s="5">
        <v>38384</v>
      </c>
      <c r="B186" s="6">
        <v>368.8</v>
      </c>
    </row>
    <row r="187" spans="1:2" x14ac:dyDescent="0.35">
      <c r="A187" s="5">
        <v>38473</v>
      </c>
      <c r="B187" s="6">
        <v>484.7</v>
      </c>
    </row>
    <row r="188" spans="1:2" x14ac:dyDescent="0.35">
      <c r="A188" s="5">
        <v>38565</v>
      </c>
      <c r="B188" s="6">
        <v>470.6</v>
      </c>
    </row>
    <row r="189" spans="1:2" x14ac:dyDescent="0.35">
      <c r="A189" s="5">
        <v>38657</v>
      </c>
      <c r="B189" s="6">
        <v>391.7</v>
      </c>
    </row>
    <row r="190" spans="1:2" x14ac:dyDescent="0.35">
      <c r="A190" s="5">
        <v>38749</v>
      </c>
      <c r="B190" s="6">
        <v>382.3</v>
      </c>
    </row>
    <row r="191" spans="1:2" x14ac:dyDescent="0.35">
      <c r="A191" s="5">
        <v>38838</v>
      </c>
      <c r="B191" s="6">
        <v>432.7</v>
      </c>
    </row>
    <row r="192" spans="1:2" x14ac:dyDescent="0.35">
      <c r="A192" s="5">
        <v>38930</v>
      </c>
      <c r="B192" s="6">
        <v>372.3</v>
      </c>
    </row>
    <row r="193" spans="1:2" x14ac:dyDescent="0.35">
      <c r="A193" s="5">
        <v>39022</v>
      </c>
      <c r="B193" s="6">
        <v>278</v>
      </c>
    </row>
    <row r="194" spans="1:2" x14ac:dyDescent="0.35">
      <c r="A194" s="5">
        <v>39114</v>
      </c>
      <c r="B194" s="6">
        <v>259.60000000000002</v>
      </c>
    </row>
    <row r="195" spans="1:2" x14ac:dyDescent="0.35">
      <c r="A195" s="5">
        <v>39203</v>
      </c>
      <c r="B195" s="6">
        <v>332.9</v>
      </c>
    </row>
    <row r="196" spans="1:2" x14ac:dyDescent="0.35">
      <c r="A196" s="5">
        <v>39295</v>
      </c>
      <c r="B196" s="6">
        <v>265.3</v>
      </c>
    </row>
    <row r="197" spans="1:2" x14ac:dyDescent="0.35">
      <c r="A197" s="5">
        <v>39387</v>
      </c>
      <c r="B197" s="6">
        <v>188.3</v>
      </c>
    </row>
    <row r="198" spans="1:2" x14ac:dyDescent="0.35">
      <c r="A198" s="5">
        <v>39479</v>
      </c>
      <c r="B198" s="6">
        <v>161.9</v>
      </c>
    </row>
    <row r="199" spans="1:2" x14ac:dyDescent="0.35">
      <c r="A199" s="5">
        <v>39569</v>
      </c>
      <c r="B199" s="6">
        <v>193.9</v>
      </c>
    </row>
    <row r="200" spans="1:2" x14ac:dyDescent="0.35">
      <c r="A200" s="5">
        <v>39661</v>
      </c>
      <c r="B200" s="6">
        <v>163</v>
      </c>
    </row>
    <row r="201" spans="1:2" x14ac:dyDescent="0.35">
      <c r="A201" s="5">
        <v>39753</v>
      </c>
      <c r="B201" s="6">
        <v>103.2</v>
      </c>
    </row>
    <row r="202" spans="1:2" x14ac:dyDescent="0.35">
      <c r="A202" s="5">
        <v>39845</v>
      </c>
      <c r="B202" s="6">
        <v>78.3</v>
      </c>
    </row>
    <row r="203" spans="1:2" x14ac:dyDescent="0.35">
      <c r="A203" s="5">
        <v>39934</v>
      </c>
      <c r="B203" s="6">
        <v>123.7</v>
      </c>
    </row>
    <row r="204" spans="1:2" x14ac:dyDescent="0.35">
      <c r="A204" s="5">
        <v>40026</v>
      </c>
      <c r="B204" s="6">
        <v>138.30000000000001</v>
      </c>
    </row>
    <row r="205" spans="1:2" x14ac:dyDescent="0.35">
      <c r="A205" s="5">
        <v>40118</v>
      </c>
      <c r="B205" s="6">
        <v>104.7</v>
      </c>
    </row>
    <row r="206" spans="1:2" x14ac:dyDescent="0.35">
      <c r="A206" s="5">
        <v>40210</v>
      </c>
      <c r="B206" s="6">
        <v>114.3</v>
      </c>
    </row>
    <row r="207" spans="1:2" x14ac:dyDescent="0.35">
      <c r="A207" s="5">
        <v>40299</v>
      </c>
      <c r="B207" s="6">
        <v>142.19999999999999</v>
      </c>
    </row>
    <row r="208" spans="1:2" x14ac:dyDescent="0.35">
      <c r="A208" s="5">
        <v>40391</v>
      </c>
      <c r="B208" s="6">
        <v>119</v>
      </c>
    </row>
    <row r="209" spans="1:2" x14ac:dyDescent="0.35">
      <c r="A209" s="5">
        <v>40483</v>
      </c>
      <c r="B209" s="6">
        <v>95.6</v>
      </c>
    </row>
    <row r="210" spans="1:2" x14ac:dyDescent="0.35">
      <c r="A210" s="5">
        <v>40575</v>
      </c>
      <c r="B210" s="6">
        <v>89.5</v>
      </c>
    </row>
    <row r="211" spans="1:2" x14ac:dyDescent="0.35">
      <c r="A211" s="5">
        <v>40664</v>
      </c>
      <c r="B211" s="6">
        <v>123.4</v>
      </c>
    </row>
    <row r="212" spans="1:2" x14ac:dyDescent="0.35">
      <c r="A212" s="5">
        <v>40756</v>
      </c>
      <c r="B212" s="6">
        <v>117.7</v>
      </c>
    </row>
    <row r="213" spans="1:2" x14ac:dyDescent="0.35">
      <c r="A213" s="5">
        <v>40848</v>
      </c>
      <c r="B213" s="6">
        <v>99.9</v>
      </c>
    </row>
    <row r="214" spans="1:2" x14ac:dyDescent="0.35">
      <c r="A214" s="5">
        <v>40940</v>
      </c>
      <c r="B214" s="6">
        <v>105.5</v>
      </c>
    </row>
    <row r="215" spans="1:2" x14ac:dyDescent="0.35">
      <c r="A215" s="5">
        <v>41030</v>
      </c>
      <c r="B215" s="6">
        <v>151.1</v>
      </c>
    </row>
    <row r="216" spans="1:2" x14ac:dyDescent="0.35">
      <c r="A216" s="5">
        <v>41122</v>
      </c>
      <c r="B216" s="6">
        <v>150.1</v>
      </c>
    </row>
    <row r="217" spans="1:2" x14ac:dyDescent="0.35">
      <c r="A217" s="5">
        <v>41214</v>
      </c>
      <c r="B217" s="6">
        <v>128.6</v>
      </c>
    </row>
    <row r="218" spans="1:2" x14ac:dyDescent="0.35">
      <c r="A218" s="5">
        <v>41306</v>
      </c>
      <c r="B218" s="6">
        <v>136.1</v>
      </c>
    </row>
    <row r="219" spans="1:2" x14ac:dyDescent="0.35">
      <c r="A219" s="5">
        <v>41395</v>
      </c>
      <c r="B219" s="6">
        <v>174.1</v>
      </c>
    </row>
    <row r="220" spans="1:2" x14ac:dyDescent="0.35">
      <c r="A220" s="5">
        <v>41487</v>
      </c>
      <c r="B220" s="6">
        <v>164.9</v>
      </c>
    </row>
    <row r="221" spans="1:2" x14ac:dyDescent="0.35">
      <c r="A221" s="5">
        <v>41579</v>
      </c>
      <c r="B221" s="6">
        <v>142.6</v>
      </c>
    </row>
    <row r="222" spans="1:2" x14ac:dyDescent="0.35">
      <c r="A222" s="5">
        <v>41671</v>
      </c>
      <c r="B222" s="6">
        <v>133.80000000000001</v>
      </c>
    </row>
    <row r="223" spans="1:2" x14ac:dyDescent="0.35">
      <c r="A223" s="5">
        <v>41760</v>
      </c>
      <c r="B223" s="6">
        <v>182.6</v>
      </c>
    </row>
    <row r="224" spans="1:2" x14ac:dyDescent="0.35">
      <c r="A224" s="5">
        <v>41852</v>
      </c>
      <c r="B224" s="6">
        <v>177.6</v>
      </c>
    </row>
    <row r="225" spans="1:2" x14ac:dyDescent="0.35">
      <c r="A225" s="5">
        <v>41944</v>
      </c>
      <c r="B225" s="6">
        <v>153.80000000000001</v>
      </c>
    </row>
    <row r="226" spans="1:2" x14ac:dyDescent="0.35">
      <c r="A226" s="5">
        <v>42036</v>
      </c>
      <c r="B226" s="6">
        <v>139.9</v>
      </c>
    </row>
    <row r="227" spans="1:2" x14ac:dyDescent="0.35">
      <c r="A227" s="5">
        <v>42125</v>
      </c>
      <c r="B227" s="6">
        <v>205.4</v>
      </c>
    </row>
    <row r="228" spans="1:2" x14ac:dyDescent="0.35">
      <c r="A228" s="5">
        <v>42217</v>
      </c>
      <c r="B228" s="6">
        <v>203.2</v>
      </c>
    </row>
    <row r="229" spans="1:2" x14ac:dyDescent="0.35">
      <c r="A229" s="5">
        <v>42309</v>
      </c>
      <c r="B229" s="6">
        <v>166.1</v>
      </c>
    </row>
    <row r="230" spans="1:2" x14ac:dyDescent="0.35">
      <c r="A230" s="5">
        <v>42401</v>
      </c>
      <c r="B230" s="6">
        <v>170.4</v>
      </c>
    </row>
    <row r="231" spans="1:2" x14ac:dyDescent="0.35">
      <c r="A231" s="5">
        <v>42491</v>
      </c>
      <c r="B231" s="6">
        <v>217.7</v>
      </c>
    </row>
    <row r="232" spans="1:2" x14ac:dyDescent="0.35">
      <c r="A232" s="5">
        <v>42583</v>
      </c>
      <c r="B232" s="6">
        <v>206.5</v>
      </c>
    </row>
    <row r="233" spans="1:2" x14ac:dyDescent="0.35">
      <c r="A233" s="5">
        <v>42675</v>
      </c>
      <c r="B233" s="6">
        <v>186.9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5"/>
  <sheetViews>
    <sheetView workbookViewId="0">
      <selection activeCell="F28" sqref="F28"/>
    </sheetView>
  </sheetViews>
  <sheetFormatPr defaultRowHeight="14.5" x14ac:dyDescent="0.35"/>
  <sheetData>
    <row r="1" spans="1:4" s="9" customFormat="1" ht="15.5" x14ac:dyDescent="0.35">
      <c r="A1" s="7" t="s">
        <v>23</v>
      </c>
      <c r="B1" s="8" t="s">
        <v>25</v>
      </c>
    </row>
    <row r="2" spans="1:4" s="9" customFormat="1" ht="15.5" x14ac:dyDescent="0.35">
      <c r="A2" s="10">
        <v>35155</v>
      </c>
      <c r="B2" s="9">
        <v>407.6</v>
      </c>
    </row>
    <row r="3" spans="1:4" s="9" customFormat="1" ht="15.5" x14ac:dyDescent="0.35">
      <c r="A3" s="10">
        <v>35246</v>
      </c>
      <c r="B3" s="9">
        <v>431.5</v>
      </c>
      <c r="D3" s="11" t="s">
        <v>26</v>
      </c>
    </row>
    <row r="4" spans="1:4" s="9" customFormat="1" ht="15.5" x14ac:dyDescent="0.35">
      <c r="A4" s="10">
        <v>35338</v>
      </c>
      <c r="B4" s="9">
        <v>441.6</v>
      </c>
      <c r="D4" s="12" t="s">
        <v>27</v>
      </c>
    </row>
    <row r="5" spans="1:4" s="9" customFormat="1" ht="15.5" x14ac:dyDescent="0.35">
      <c r="A5" s="10">
        <v>35430</v>
      </c>
      <c r="B5" s="9">
        <v>306.2</v>
      </c>
      <c r="D5" s="12" t="s">
        <v>28</v>
      </c>
    </row>
    <row r="6" spans="1:4" s="9" customFormat="1" ht="15.5" x14ac:dyDescent="0.35">
      <c r="A6" s="10">
        <v>35520</v>
      </c>
      <c r="B6" s="9">
        <v>328.7</v>
      </c>
      <c r="D6" s="13"/>
    </row>
    <row r="7" spans="1:4" s="9" customFormat="1" ht="15.5" x14ac:dyDescent="0.35">
      <c r="A7" s="10">
        <v>35611</v>
      </c>
      <c r="B7" s="9">
        <v>381.3</v>
      </c>
      <c r="D7" s="13"/>
    </row>
    <row r="8" spans="1:4" s="9" customFormat="1" ht="15.5" x14ac:dyDescent="0.35">
      <c r="A8" s="10">
        <v>35703</v>
      </c>
      <c r="B8" s="9">
        <v>422.6</v>
      </c>
      <c r="D8" s="13"/>
    </row>
    <row r="9" spans="1:4" s="9" customFormat="1" ht="15.5" x14ac:dyDescent="0.35">
      <c r="A9" s="10">
        <v>35795</v>
      </c>
      <c r="B9" s="9">
        <v>369.4</v>
      </c>
      <c r="D9" s="13"/>
    </row>
    <row r="10" spans="1:4" s="9" customFormat="1" ht="15.5" x14ac:dyDescent="0.35">
      <c r="A10" s="10">
        <v>35885</v>
      </c>
      <c r="B10" s="9">
        <v>456.3</v>
      </c>
      <c r="D10" s="13"/>
    </row>
    <row r="11" spans="1:4" s="9" customFormat="1" ht="15.5" x14ac:dyDescent="0.35">
      <c r="A11" s="10">
        <v>35976</v>
      </c>
      <c r="B11" s="9">
        <v>624.29999999999995</v>
      </c>
    </row>
    <row r="12" spans="1:4" s="9" customFormat="1" ht="15.5" x14ac:dyDescent="0.35">
      <c r="A12" s="10">
        <v>36068</v>
      </c>
      <c r="B12" s="9">
        <v>557.5</v>
      </c>
    </row>
    <row r="13" spans="1:4" s="9" customFormat="1" ht="15.5" x14ac:dyDescent="0.35">
      <c r="A13" s="10">
        <v>36160</v>
      </c>
      <c r="B13" s="9">
        <v>436.7</v>
      </c>
    </row>
    <row r="14" spans="1:4" s="9" customFormat="1" ht="15.5" x14ac:dyDescent="0.35">
      <c r="A14" s="10">
        <v>36250</v>
      </c>
      <c r="B14" s="9">
        <v>485</v>
      </c>
    </row>
    <row r="15" spans="1:4" s="9" customFormat="1" ht="15.5" x14ac:dyDescent="0.35">
      <c r="A15" s="10">
        <v>36341</v>
      </c>
      <c r="B15" s="9">
        <v>564.29999999999995</v>
      </c>
    </row>
    <row r="16" spans="1:4" s="9" customFormat="1" ht="15.5" x14ac:dyDescent="0.35">
      <c r="A16" s="10">
        <v>36433</v>
      </c>
      <c r="B16" s="9">
        <v>538.29999999999995</v>
      </c>
    </row>
    <row r="17" spans="1:2" s="9" customFormat="1" ht="15.5" x14ac:dyDescent="0.35">
      <c r="A17" s="10">
        <v>36525</v>
      </c>
      <c r="B17" s="9">
        <v>412.5</v>
      </c>
    </row>
    <row r="18" spans="1:2" s="9" customFormat="1" ht="15.5" x14ac:dyDescent="0.35">
      <c r="A18" s="10">
        <v>36616</v>
      </c>
      <c r="B18" s="9">
        <v>555</v>
      </c>
    </row>
    <row r="19" spans="1:2" s="9" customFormat="1" ht="15.5" x14ac:dyDescent="0.35">
      <c r="A19" s="10">
        <v>36707</v>
      </c>
      <c r="B19" s="9">
        <v>682.7</v>
      </c>
    </row>
    <row r="20" spans="1:2" s="9" customFormat="1" ht="15.5" x14ac:dyDescent="0.35">
      <c r="A20" s="10">
        <v>36799</v>
      </c>
      <c r="B20" s="9">
        <v>581.29999999999995</v>
      </c>
    </row>
    <row r="21" spans="1:2" s="9" customFormat="1" ht="15.5" x14ac:dyDescent="0.35">
      <c r="A21" s="10">
        <v>36891</v>
      </c>
      <c r="B21" s="9">
        <v>509.7</v>
      </c>
    </row>
    <row r="22" spans="1:2" s="9" customFormat="1" ht="15.5" x14ac:dyDescent="0.35">
      <c r="A22" s="10">
        <v>36981</v>
      </c>
      <c r="B22" s="9">
        <v>662.7</v>
      </c>
    </row>
    <row r="23" spans="1:2" s="9" customFormat="1" ht="15.5" x14ac:dyDescent="0.35">
      <c r="A23" s="10">
        <v>37072</v>
      </c>
      <c r="B23" s="9">
        <v>591.1</v>
      </c>
    </row>
    <row r="24" spans="1:2" s="9" customFormat="1" ht="15.5" x14ac:dyDescent="0.35">
      <c r="A24" s="10">
        <v>37164</v>
      </c>
      <c r="B24" s="9">
        <v>616.9</v>
      </c>
    </row>
    <row r="25" spans="1:2" s="9" customFormat="1" ht="15.5" x14ac:dyDescent="0.35">
      <c r="A25" s="10">
        <v>37256</v>
      </c>
      <c r="B25" s="9">
        <v>529.70000000000005</v>
      </c>
    </row>
    <row r="26" spans="1:2" s="9" customFormat="1" ht="15.5" x14ac:dyDescent="0.35">
      <c r="A26" s="10">
        <v>37346</v>
      </c>
      <c r="B26" s="9">
        <v>641.20000000000005</v>
      </c>
    </row>
    <row r="27" spans="1:2" s="9" customFormat="1" ht="15.5" x14ac:dyDescent="0.35">
      <c r="A27" s="10">
        <v>37437</v>
      </c>
      <c r="B27" s="9">
        <v>632.70000000000005</v>
      </c>
    </row>
    <row r="28" spans="1:2" s="9" customFormat="1" ht="15.5" x14ac:dyDescent="0.35">
      <c r="A28" s="10">
        <v>37529</v>
      </c>
      <c r="B28" s="9">
        <v>576.6</v>
      </c>
    </row>
    <row r="29" spans="1:2" s="9" customFormat="1" ht="15.5" x14ac:dyDescent="0.35">
      <c r="A29" s="10">
        <v>37621</v>
      </c>
      <c r="B29" s="9">
        <v>475</v>
      </c>
    </row>
    <row r="30" spans="1:2" s="9" customFormat="1" ht="15.5" x14ac:dyDescent="0.35">
      <c r="A30" s="10">
        <v>37711</v>
      </c>
      <c r="B30" s="9">
        <v>542.79999999999995</v>
      </c>
    </row>
    <row r="31" spans="1:2" s="9" customFormat="1" ht="15.5" x14ac:dyDescent="0.35">
      <c r="A31" s="10">
        <v>37802</v>
      </c>
      <c r="B31" s="9">
        <v>558.9</v>
      </c>
    </row>
    <row r="32" spans="1:2" s="9" customFormat="1" ht="15.5" x14ac:dyDescent="0.35">
      <c r="A32" s="10">
        <v>37894</v>
      </c>
      <c r="B32" s="9">
        <v>581.70000000000005</v>
      </c>
    </row>
    <row r="33" spans="1:2" s="9" customFormat="1" ht="15.5" x14ac:dyDescent="0.35">
      <c r="A33" s="10">
        <v>37986</v>
      </c>
      <c r="B33" s="9">
        <v>537.79999999999995</v>
      </c>
    </row>
    <row r="34" spans="1:2" s="9" customFormat="1" ht="15.5" x14ac:dyDescent="0.35">
      <c r="A34" s="10">
        <v>38077</v>
      </c>
      <c r="B34" s="9">
        <v>588.1</v>
      </c>
    </row>
    <row r="35" spans="1:2" s="9" customFormat="1" ht="15.5" x14ac:dyDescent="0.35">
      <c r="A35" s="10">
        <v>38168</v>
      </c>
      <c r="B35" s="9">
        <v>626.5</v>
      </c>
    </row>
    <row r="36" spans="1:2" s="9" customFormat="1" ht="15.5" x14ac:dyDescent="0.35">
      <c r="A36" s="10">
        <v>38260</v>
      </c>
      <c r="B36" s="9">
        <v>590.9</v>
      </c>
    </row>
    <row r="37" spans="1:2" s="9" customFormat="1" ht="15.5" x14ac:dyDescent="0.35">
      <c r="A37" s="10">
        <v>38352</v>
      </c>
      <c r="B37" s="9">
        <v>580.1</v>
      </c>
    </row>
    <row r="38" spans="1:2" s="9" customFormat="1" ht="15.5" x14ac:dyDescent="0.35">
      <c r="A38" s="10">
        <v>38442</v>
      </c>
      <c r="B38" s="9">
        <v>589.20000000000005</v>
      </c>
    </row>
    <row r="39" spans="1:2" s="9" customFormat="1" ht="15.5" x14ac:dyDescent="0.35">
      <c r="A39" s="10">
        <v>38533</v>
      </c>
      <c r="B39" s="9">
        <v>643.20000000000005</v>
      </c>
    </row>
    <row r="40" spans="1:2" s="9" customFormat="1" ht="15.5" x14ac:dyDescent="0.35">
      <c r="A40" s="10">
        <v>38625</v>
      </c>
      <c r="B40" s="9">
        <v>593.9</v>
      </c>
    </row>
    <row r="41" spans="1:2" s="9" customFormat="1" ht="15.5" x14ac:dyDescent="0.35">
      <c r="A41" s="10">
        <v>38717</v>
      </c>
      <c r="B41" s="9">
        <v>612.20000000000005</v>
      </c>
    </row>
    <row r="42" spans="1:2" s="9" customFormat="1" ht="15.5" x14ac:dyDescent="0.35">
      <c r="A42" s="10">
        <v>38807</v>
      </c>
      <c r="B42" s="9">
        <v>586.1</v>
      </c>
    </row>
    <row r="43" spans="1:2" s="9" customFormat="1" ht="15.5" x14ac:dyDescent="0.35">
      <c r="A43" s="10">
        <v>38898</v>
      </c>
      <c r="B43" s="9">
        <v>699.4</v>
      </c>
    </row>
    <row r="44" spans="1:2" s="9" customFormat="1" ht="15.5" x14ac:dyDescent="0.35">
      <c r="A44" s="10">
        <v>38990</v>
      </c>
      <c r="B44" s="9">
        <v>734.4</v>
      </c>
    </row>
    <row r="45" spans="1:2" s="9" customFormat="1" ht="15.5" x14ac:dyDescent="0.35">
      <c r="A45" s="10">
        <v>39082</v>
      </c>
      <c r="B45" s="9">
        <v>753.8</v>
      </c>
    </row>
    <row r="46" spans="1:2" s="9" customFormat="1" ht="15.5" x14ac:dyDescent="0.35">
      <c r="A46" s="10">
        <v>39172</v>
      </c>
      <c r="B46" s="9">
        <v>691.6</v>
      </c>
    </row>
    <row r="47" spans="1:2" s="9" customFormat="1" ht="15.5" x14ac:dyDescent="0.35">
      <c r="A47" s="10">
        <v>39263</v>
      </c>
      <c r="B47" s="9">
        <v>793.4</v>
      </c>
    </row>
    <row r="48" spans="1:2" s="9" customFormat="1" ht="15.5" x14ac:dyDescent="0.35">
      <c r="A48" s="10">
        <v>39355</v>
      </c>
      <c r="B48" s="9">
        <v>864.9</v>
      </c>
    </row>
    <row r="49" spans="1:2" s="9" customFormat="1" ht="15.5" x14ac:dyDescent="0.35">
      <c r="A49" s="10">
        <v>39447</v>
      </c>
      <c r="B49" s="9">
        <v>840.8</v>
      </c>
    </row>
    <row r="50" spans="1:2" s="9" customFormat="1" ht="15.5" x14ac:dyDescent="0.35">
      <c r="A50" s="10">
        <v>39538</v>
      </c>
      <c r="B50" s="9">
        <v>653.9</v>
      </c>
    </row>
    <row r="51" spans="1:2" s="9" customFormat="1" ht="15.5" x14ac:dyDescent="0.35">
      <c r="A51" s="10">
        <v>39629</v>
      </c>
      <c r="B51" s="9">
        <v>754.8</v>
      </c>
    </row>
    <row r="52" spans="1:2" s="9" customFormat="1" ht="15.5" x14ac:dyDescent="0.35">
      <c r="A52" s="10">
        <v>39721</v>
      </c>
      <c r="B52" s="9">
        <v>883.6</v>
      </c>
    </row>
    <row r="53" spans="1:2" s="9" customFormat="1" ht="15.5" x14ac:dyDescent="0.35">
      <c r="A53" s="10">
        <v>39813</v>
      </c>
      <c r="B53" s="9">
        <v>797.7</v>
      </c>
    </row>
    <row r="54" spans="1:2" s="9" customFormat="1" ht="15.5" x14ac:dyDescent="0.35">
      <c r="A54" s="10">
        <v>39903</v>
      </c>
      <c r="B54" s="9">
        <v>722.2</v>
      </c>
    </row>
    <row r="55" spans="1:2" s="9" customFormat="1" ht="15.5" x14ac:dyDescent="0.35">
      <c r="A55" s="10">
        <v>39994</v>
      </c>
      <c r="B55" s="9">
        <v>788.6</v>
      </c>
    </row>
    <row r="56" spans="1:2" s="9" customFormat="1" ht="15.5" x14ac:dyDescent="0.35">
      <c r="A56" s="10">
        <v>40086</v>
      </c>
      <c r="B56" s="9">
        <v>769.9</v>
      </c>
    </row>
    <row r="57" spans="1:2" s="9" customFormat="1" ht="15.5" x14ac:dyDescent="0.35">
      <c r="A57" s="10">
        <v>40178</v>
      </c>
      <c r="B57" s="9">
        <v>725.5</v>
      </c>
    </row>
    <row r="58" spans="1:2" s="9" customFormat="1" ht="15.5" x14ac:dyDescent="0.35">
      <c r="A58" s="10">
        <v>40268</v>
      </c>
      <c r="B58" s="9">
        <v>629.29999999999995</v>
      </c>
    </row>
    <row r="59" spans="1:2" s="9" customFormat="1" ht="15.5" x14ac:dyDescent="0.35">
      <c r="A59" s="10">
        <v>40359</v>
      </c>
      <c r="B59" s="9">
        <v>738.6</v>
      </c>
    </row>
    <row r="60" spans="1:2" s="9" customFormat="1" ht="15.5" x14ac:dyDescent="0.35">
      <c r="A60" s="10">
        <v>40451</v>
      </c>
      <c r="B60" s="9">
        <v>732</v>
      </c>
    </row>
    <row r="61" spans="1:2" s="9" customFormat="1" ht="15.5" x14ac:dyDescent="0.35">
      <c r="A61" s="10">
        <v>40543</v>
      </c>
      <c r="B61" s="9">
        <v>598.79999999999995</v>
      </c>
    </row>
    <row r="62" spans="1:2" s="9" customFormat="1" ht="15.5" x14ac:dyDescent="0.35">
      <c r="A62" s="10">
        <v>40633</v>
      </c>
      <c r="B62" s="9">
        <v>603.9</v>
      </c>
    </row>
    <row r="63" spans="1:2" s="9" customFormat="1" ht="15.5" x14ac:dyDescent="0.35">
      <c r="A63" s="10">
        <v>40724</v>
      </c>
      <c r="B63" s="9">
        <v>653.6</v>
      </c>
    </row>
    <row r="64" spans="1:2" s="9" customFormat="1" ht="15.5" x14ac:dyDescent="0.35">
      <c r="A64" s="10">
        <v>40816</v>
      </c>
      <c r="B64" s="9">
        <v>606.1</v>
      </c>
    </row>
    <row r="65" spans="1:2" s="9" customFormat="1" ht="15.5" x14ac:dyDescent="0.35">
      <c r="A65" s="10">
        <v>40908</v>
      </c>
      <c r="B65" s="9">
        <v>539.70000000000005</v>
      </c>
    </row>
    <row r="66" spans="1:2" s="9" customFormat="1" ht="15.5" x14ac:dyDescent="0.35">
      <c r="A66" s="10">
        <v>40999</v>
      </c>
      <c r="B66" s="9">
        <v>461.3</v>
      </c>
    </row>
    <row r="67" spans="1:2" s="9" customFormat="1" ht="15.5" x14ac:dyDescent="0.35">
      <c r="A67" s="10">
        <v>41090</v>
      </c>
      <c r="B67" s="9">
        <v>548</v>
      </c>
    </row>
    <row r="68" spans="1:2" s="9" customFormat="1" ht="15.5" x14ac:dyDescent="0.35">
      <c r="A68" s="10">
        <v>41182</v>
      </c>
      <c r="B68" s="9">
        <v>548.4</v>
      </c>
    </row>
    <row r="69" spans="1:2" s="9" customFormat="1" ht="15.5" x14ac:dyDescent="0.35">
      <c r="A69" s="10">
        <v>41274</v>
      </c>
      <c r="B69" s="9">
        <v>480.4</v>
      </c>
    </row>
    <row r="70" spans="1:2" s="9" customFormat="1" ht="15.5" x14ac:dyDescent="0.35">
      <c r="A70" s="10">
        <v>41364</v>
      </c>
      <c r="B70" s="9">
        <v>476.6</v>
      </c>
    </row>
    <row r="71" spans="1:2" s="9" customFormat="1" ht="15.5" x14ac:dyDescent="0.35">
      <c r="A71" s="10">
        <v>41455</v>
      </c>
      <c r="B71" s="9">
        <v>528.20000000000005</v>
      </c>
    </row>
    <row r="72" spans="1:2" s="9" customFormat="1" ht="15.5" x14ac:dyDescent="0.35">
      <c r="A72" s="10">
        <v>41547</v>
      </c>
      <c r="B72" s="9">
        <v>480.4</v>
      </c>
    </row>
    <row r="73" spans="1:2" s="9" customFormat="1" ht="15.5" x14ac:dyDescent="0.35">
      <c r="A73" s="10">
        <v>41639</v>
      </c>
      <c r="B73" s="9">
        <v>452.6</v>
      </c>
    </row>
    <row r="74" spans="1:2" s="9" customFormat="1" ht="15.5" x14ac:dyDescent="0.35">
      <c r="A74" s="10">
        <v>41729</v>
      </c>
      <c r="B74" s="9">
        <v>407.2</v>
      </c>
    </row>
    <row r="75" spans="1:2" s="9" customFormat="1" ht="15.5" x14ac:dyDescent="0.35">
      <c r="A75" s="10">
        <v>41820</v>
      </c>
      <c r="B75" s="9">
        <v>498.5</v>
      </c>
    </row>
    <row r="76" spans="1:2" s="9" customFormat="1" ht="15.5" x14ac:dyDescent="0.35">
      <c r="A76" s="10">
        <v>41912</v>
      </c>
      <c r="B76" s="9">
        <v>474.3</v>
      </c>
    </row>
    <row r="77" spans="1:2" s="9" customFormat="1" ht="15.5" x14ac:dyDescent="0.35">
      <c r="A77" s="10">
        <v>42004</v>
      </c>
      <c r="B77" s="9">
        <v>403.7</v>
      </c>
    </row>
    <row r="78" spans="1:2" s="9" customFormat="1" ht="15.5" x14ac:dyDescent="0.35">
      <c r="A78" s="10">
        <v>42094</v>
      </c>
      <c r="B78" s="9">
        <v>418.6</v>
      </c>
    </row>
    <row r="79" spans="1:2" s="9" customFormat="1" ht="15.5" x14ac:dyDescent="0.35">
      <c r="A79" s="10">
        <v>42185</v>
      </c>
      <c r="B79" s="9">
        <v>470.2</v>
      </c>
    </row>
    <row r="80" spans="1:2" s="9" customFormat="1" ht="15.5" x14ac:dyDescent="0.35">
      <c r="A80" s="10">
        <v>42277</v>
      </c>
      <c r="B80" s="9">
        <v>470.7</v>
      </c>
    </row>
    <row r="81" spans="1:2" s="9" customFormat="1" ht="15.5" x14ac:dyDescent="0.35">
      <c r="A81" s="10">
        <v>42369</v>
      </c>
      <c r="B81" s="9">
        <v>375.7</v>
      </c>
    </row>
    <row r="82" spans="1:2" s="9" customFormat="1" ht="15.5" x14ac:dyDescent="0.35">
      <c r="A82" s="10">
        <v>42460</v>
      </c>
      <c r="B82" s="9">
        <v>371.1</v>
      </c>
    </row>
    <row r="83" spans="1:2" s="9" customFormat="1" ht="15.5" x14ac:dyDescent="0.35">
      <c r="A83" s="10">
        <v>42551</v>
      </c>
      <c r="B83" s="9">
        <v>425.5</v>
      </c>
    </row>
    <row r="84" spans="1:2" s="9" customFormat="1" ht="15.5" x14ac:dyDescent="0.35">
      <c r="A84" s="10">
        <v>42643</v>
      </c>
      <c r="B84" s="9">
        <v>397.3</v>
      </c>
    </row>
    <row r="85" spans="1:2" s="9" customFormat="1" ht="15.5" x14ac:dyDescent="0.35">
      <c r="A85" s="10">
        <v>42735</v>
      </c>
      <c r="B85" s="9">
        <v>313.5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908A-AE55-4B01-8043-A144BB17A885}">
  <dimension ref="A1:Y17"/>
  <sheetViews>
    <sheetView tabSelected="1" topLeftCell="G1" zoomScale="80" zoomScaleNormal="80" workbookViewId="0">
      <selection activeCell="Y20" sqref="Y20"/>
    </sheetView>
  </sheetViews>
  <sheetFormatPr defaultRowHeight="14.5" x14ac:dyDescent="0.35"/>
  <cols>
    <col min="1" max="1" width="16.1796875" bestFit="1" customWidth="1"/>
    <col min="22" max="22" width="13.26953125" customWidth="1"/>
    <col min="24" max="24" width="20.08984375" customWidth="1"/>
  </cols>
  <sheetData>
    <row r="1" spans="1:25" ht="20" thickBot="1" x14ac:dyDescent="0.5">
      <c r="A1" s="16" t="s">
        <v>63</v>
      </c>
      <c r="B1" s="15" t="s">
        <v>20</v>
      </c>
      <c r="C1" s="15" t="s">
        <v>41</v>
      </c>
      <c r="D1" t="s">
        <v>42</v>
      </c>
      <c r="E1" t="s">
        <v>21</v>
      </c>
      <c r="F1" t="s">
        <v>17</v>
      </c>
      <c r="Q1" s="16" t="s">
        <v>62</v>
      </c>
      <c r="S1" t="s">
        <v>59</v>
      </c>
      <c r="T1" t="s">
        <v>60</v>
      </c>
      <c r="U1" t="s">
        <v>79</v>
      </c>
    </row>
    <row r="2" spans="1:25" ht="17" thickTop="1" x14ac:dyDescent="0.45">
      <c r="B2" t="s">
        <v>43</v>
      </c>
      <c r="C2">
        <v>1</v>
      </c>
      <c r="D2">
        <v>1</v>
      </c>
      <c r="E2">
        <v>1</v>
      </c>
      <c r="F2">
        <v>421</v>
      </c>
      <c r="S2" t="s">
        <v>41</v>
      </c>
      <c r="T2" t="s">
        <v>61</v>
      </c>
      <c r="U2" t="s">
        <v>80</v>
      </c>
      <c r="V2" s="64"/>
    </row>
    <row r="3" spans="1:25" x14ac:dyDescent="0.35">
      <c r="B3" t="s">
        <v>44</v>
      </c>
      <c r="C3">
        <v>2</v>
      </c>
      <c r="D3">
        <v>1</v>
      </c>
      <c r="E3">
        <v>2</v>
      </c>
      <c r="F3">
        <v>402</v>
      </c>
      <c r="S3">
        <v>1</v>
      </c>
      <c r="T3">
        <v>15</v>
      </c>
      <c r="V3">
        <f>T3-$T$11</f>
        <v>3</v>
      </c>
      <c r="Y3">
        <f>V3^2</f>
        <v>9</v>
      </c>
    </row>
    <row r="4" spans="1:25" x14ac:dyDescent="0.35">
      <c r="B4" t="s">
        <v>45</v>
      </c>
      <c r="C4">
        <v>3</v>
      </c>
      <c r="D4">
        <v>1</v>
      </c>
      <c r="E4">
        <v>3</v>
      </c>
      <c r="F4">
        <v>414</v>
      </c>
      <c r="S4">
        <v>2</v>
      </c>
      <c r="T4">
        <v>10</v>
      </c>
      <c r="U4">
        <f>T3</f>
        <v>15</v>
      </c>
      <c r="V4" s="64">
        <f t="shared" ref="V4:V9" si="0">T4-$T$11</f>
        <v>-2</v>
      </c>
      <c r="W4">
        <f>U4-$T$11</f>
        <v>3</v>
      </c>
      <c r="X4">
        <f>V4*W4</f>
        <v>-6</v>
      </c>
      <c r="Y4" s="64">
        <f t="shared" ref="Y4:Y9" si="1">V4^2</f>
        <v>4</v>
      </c>
    </row>
    <row r="5" spans="1:25" x14ac:dyDescent="0.35">
      <c r="B5" t="s">
        <v>46</v>
      </c>
      <c r="C5">
        <v>4</v>
      </c>
      <c r="D5">
        <v>1</v>
      </c>
      <c r="E5">
        <v>4</v>
      </c>
      <c r="F5">
        <v>500</v>
      </c>
      <c r="S5">
        <v>3</v>
      </c>
      <c r="T5">
        <v>12</v>
      </c>
      <c r="U5" s="64">
        <f t="shared" ref="U5:U9" si="2">T4</f>
        <v>10</v>
      </c>
      <c r="V5" s="64">
        <f t="shared" si="0"/>
        <v>0</v>
      </c>
      <c r="W5" s="64">
        <f t="shared" ref="W5:W9" si="3">U5-$T$11</f>
        <v>-2</v>
      </c>
      <c r="X5" s="64">
        <f t="shared" ref="X5:X9" si="4">V5*W5</f>
        <v>0</v>
      </c>
      <c r="Y5" s="64">
        <f t="shared" si="1"/>
        <v>0</v>
      </c>
    </row>
    <row r="6" spans="1:25" x14ac:dyDescent="0.35">
      <c r="B6" t="s">
        <v>47</v>
      </c>
      <c r="C6">
        <v>5</v>
      </c>
      <c r="D6">
        <v>2</v>
      </c>
      <c r="E6">
        <v>1</v>
      </c>
      <c r="F6">
        <v>451</v>
      </c>
      <c r="S6">
        <v>4</v>
      </c>
      <c r="T6">
        <v>16</v>
      </c>
      <c r="U6" s="64">
        <f t="shared" si="2"/>
        <v>12</v>
      </c>
      <c r="V6" s="64">
        <f t="shared" si="0"/>
        <v>4</v>
      </c>
      <c r="W6" s="64">
        <f t="shared" si="3"/>
        <v>0</v>
      </c>
      <c r="X6" s="64">
        <f t="shared" si="4"/>
        <v>0</v>
      </c>
      <c r="Y6" s="64">
        <f t="shared" si="1"/>
        <v>16</v>
      </c>
    </row>
    <row r="7" spans="1:25" x14ac:dyDescent="0.35">
      <c r="B7" t="s">
        <v>48</v>
      </c>
      <c r="C7">
        <v>6</v>
      </c>
      <c r="D7">
        <v>2</v>
      </c>
      <c r="E7">
        <v>2</v>
      </c>
      <c r="F7">
        <v>380</v>
      </c>
      <c r="S7">
        <v>5</v>
      </c>
      <c r="T7">
        <v>9</v>
      </c>
      <c r="U7" s="64">
        <f t="shared" si="2"/>
        <v>16</v>
      </c>
      <c r="V7" s="64">
        <f t="shared" si="0"/>
        <v>-3</v>
      </c>
      <c r="W7" s="64">
        <f t="shared" si="3"/>
        <v>4</v>
      </c>
      <c r="X7" s="64">
        <f t="shared" si="4"/>
        <v>-12</v>
      </c>
      <c r="Y7" s="64">
        <f t="shared" si="1"/>
        <v>9</v>
      </c>
    </row>
    <row r="8" spans="1:25" x14ac:dyDescent="0.35">
      <c r="B8" t="s">
        <v>49</v>
      </c>
      <c r="C8">
        <v>7</v>
      </c>
      <c r="D8">
        <v>2</v>
      </c>
      <c r="E8">
        <v>3</v>
      </c>
      <c r="F8">
        <v>416</v>
      </c>
      <c r="S8">
        <v>6</v>
      </c>
      <c r="T8">
        <v>12</v>
      </c>
      <c r="U8" s="64">
        <f t="shared" si="2"/>
        <v>9</v>
      </c>
      <c r="V8" s="64">
        <f t="shared" si="0"/>
        <v>0</v>
      </c>
      <c r="W8" s="64">
        <f t="shared" si="3"/>
        <v>-3</v>
      </c>
      <c r="X8" s="64">
        <f t="shared" si="4"/>
        <v>0</v>
      </c>
      <c r="Y8" s="64">
        <f t="shared" si="1"/>
        <v>0</v>
      </c>
    </row>
    <row r="9" spans="1:25" x14ac:dyDescent="0.35">
      <c r="B9" t="s">
        <v>50</v>
      </c>
      <c r="C9">
        <v>8</v>
      </c>
      <c r="D9">
        <v>2</v>
      </c>
      <c r="E9">
        <v>4</v>
      </c>
      <c r="F9">
        <v>492</v>
      </c>
      <c r="S9">
        <v>7</v>
      </c>
      <c r="T9">
        <v>10</v>
      </c>
      <c r="U9" s="64">
        <f t="shared" si="2"/>
        <v>12</v>
      </c>
      <c r="V9" s="64">
        <f t="shared" si="0"/>
        <v>-2</v>
      </c>
      <c r="W9" s="64">
        <f t="shared" si="3"/>
        <v>0</v>
      </c>
      <c r="X9" s="64">
        <f t="shared" si="4"/>
        <v>0</v>
      </c>
      <c r="Y9" s="64">
        <f t="shared" si="1"/>
        <v>4</v>
      </c>
    </row>
    <row r="10" spans="1:25" x14ac:dyDescent="0.35">
      <c r="B10" t="s">
        <v>51</v>
      </c>
      <c r="C10">
        <v>9</v>
      </c>
      <c r="D10">
        <v>3</v>
      </c>
      <c r="E10">
        <v>1</v>
      </c>
      <c r="F10">
        <v>428</v>
      </c>
      <c r="S10" s="68" t="s">
        <v>40</v>
      </c>
      <c r="T10" s="68"/>
      <c r="U10" s="68"/>
      <c r="V10" s="68"/>
      <c r="W10" s="68"/>
      <c r="X10">
        <f>SUM(X4:X9)</f>
        <v>-18</v>
      </c>
      <c r="Y10" s="64">
        <f>SUM(Y3:Y9)</f>
        <v>42</v>
      </c>
    </row>
    <row r="11" spans="1:25" x14ac:dyDescent="0.35">
      <c r="B11" t="s">
        <v>52</v>
      </c>
      <c r="C11">
        <v>10</v>
      </c>
      <c r="D11">
        <v>3</v>
      </c>
      <c r="E11">
        <v>2</v>
      </c>
      <c r="F11">
        <v>408</v>
      </c>
      <c r="T11">
        <f>AVERAGE(T3:T9)</f>
        <v>12</v>
      </c>
    </row>
    <row r="12" spans="1:25" ht="16.5" x14ac:dyDescent="0.45">
      <c r="B12" t="s">
        <v>53</v>
      </c>
      <c r="C12">
        <v>11</v>
      </c>
      <c r="D12">
        <v>3</v>
      </c>
      <c r="E12">
        <v>3</v>
      </c>
      <c r="F12">
        <v>406</v>
      </c>
      <c r="S12" s="6" t="s">
        <v>81</v>
      </c>
      <c r="T12" s="69">
        <f>X10/Y10</f>
        <v>-0.42857142857142855</v>
      </c>
    </row>
    <row r="13" spans="1:25" x14ac:dyDescent="0.35">
      <c r="B13" t="s">
        <v>54</v>
      </c>
      <c r="C13">
        <v>12</v>
      </c>
      <c r="D13">
        <v>3</v>
      </c>
      <c r="E13">
        <v>4</v>
      </c>
      <c r="F13">
        <v>506</v>
      </c>
    </row>
    <row r="14" spans="1:25" x14ac:dyDescent="0.35">
      <c r="B14" t="s">
        <v>55</v>
      </c>
      <c r="C14">
        <v>13</v>
      </c>
      <c r="D14">
        <v>4</v>
      </c>
      <c r="E14">
        <v>1</v>
      </c>
      <c r="F14">
        <v>435</v>
      </c>
    </row>
    <row r="15" spans="1:25" x14ac:dyDescent="0.35">
      <c r="B15" t="s">
        <v>56</v>
      </c>
      <c r="C15">
        <v>14</v>
      </c>
      <c r="D15">
        <v>4</v>
      </c>
      <c r="E15">
        <v>2</v>
      </c>
      <c r="F15">
        <v>380</v>
      </c>
    </row>
    <row r="16" spans="1:25" x14ac:dyDescent="0.35">
      <c r="B16" t="s">
        <v>57</v>
      </c>
      <c r="C16">
        <v>15</v>
      </c>
      <c r="D16">
        <v>4</v>
      </c>
      <c r="E16">
        <v>3</v>
      </c>
      <c r="F16">
        <v>421</v>
      </c>
    </row>
    <row r="17" spans="2:6" x14ac:dyDescent="0.35">
      <c r="B17" t="s">
        <v>58</v>
      </c>
      <c r="C17">
        <v>16</v>
      </c>
      <c r="D17">
        <v>4</v>
      </c>
      <c r="E17">
        <v>4</v>
      </c>
      <c r="F17">
        <v>490</v>
      </c>
    </row>
  </sheetData>
  <mergeCells count="1">
    <mergeCell ref="S10:W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E2DD22-E83E-428D-A317-ACC2696E5C3F}"/>
</file>

<file path=customXml/itemProps2.xml><?xml version="1.0" encoding="utf-8"?>
<ds:datastoreItem xmlns:ds="http://schemas.openxmlformats.org/officeDocument/2006/customXml" ds:itemID="{10BA85EB-3225-4B79-87F3-C302439973F1}"/>
</file>

<file path=customXml/itemProps3.xml><?xml version="1.0" encoding="utf-8"?>
<ds:datastoreItem xmlns:ds="http://schemas.openxmlformats.org/officeDocument/2006/customXml" ds:itemID="{889F2A0E-AF4D-4F97-9620-F9FD37C9B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seasonalSeries</vt:lpstr>
      <vt:lpstr>seasonComp</vt:lpstr>
      <vt:lpstr>MA</vt:lpstr>
      <vt:lpstr>AdditiveCMA_Drift</vt:lpstr>
      <vt:lpstr>AdditiveCMA_Holt</vt:lpstr>
      <vt:lpstr>AdditiveCMA_Naive</vt:lpstr>
      <vt:lpstr>STL_Naive</vt:lpstr>
      <vt:lpstr>c6t2PHS</vt:lpstr>
      <vt:lpstr>c6p14</vt:lpstr>
      <vt:lpstr>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Kannapha</dc:creator>
  <cp:lastModifiedBy>Kannapha Amaruchkul</cp:lastModifiedBy>
  <dcterms:created xsi:type="dcterms:W3CDTF">2020-06-09T02:06:59Z</dcterms:created>
  <dcterms:modified xsi:type="dcterms:W3CDTF">2025-09-04T00:29:35Z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