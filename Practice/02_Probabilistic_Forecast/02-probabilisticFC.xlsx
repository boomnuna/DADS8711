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00229\Documents\GitHub\DADS8711\Practice\02_Probabilistic_Forecast\"/>
    </mc:Choice>
  </mc:AlternateContent>
  <xr:revisionPtr revIDLastSave="0" documentId="13_ncr:1_{67506B45-BDD0-4475-BD40-FD5B0F056D3B}" xr6:coauthVersionLast="47" xr6:coauthVersionMax="47" xr10:uidLastSave="{00000000-0000-0000-0000-000000000000}"/>
  <bookViews>
    <workbookView xWindow="-120" yWindow="-120" windowWidth="29040" windowHeight="15720" xr2:uid="{D0DEEB4C-3634-4CCE-A9A5-46960AF8981F}"/>
  </bookViews>
  <sheets>
    <sheet name="serviceLevel" sheetId="4" r:id="rId1"/>
    <sheet name="evalProbFC" sheetId="6" r:id="rId2"/>
    <sheet name="distrFC" sheetId="2" r:id="rId3"/>
    <sheet name="quantileRegFanEx" sheetId="7" r:id="rId4"/>
    <sheet name="quantileReg" sheetId="3" r:id="rId5"/>
    <sheet name="Sheet1" sheetId="1" r:id="rId6"/>
  </sheets>
  <definedNames>
    <definedName name="_xlchart.v1.0" hidden="1">Sheet1!$J$3</definedName>
    <definedName name="_xlchart.v1.1" hidden="1">Sheet1!$J$4:$J$1003</definedName>
    <definedName name="solver_adj" localSheetId="4" hidden="1">quantileReg!$C$1:$C$2,quantileReg!$F$8:$G$17</definedName>
    <definedName name="solver_adj" localSheetId="3" hidden="1">quantileRegFanEx!$C$1:$C$2,quantileRegFanEx!$F$8:$G$17</definedName>
    <definedName name="solver_adj" localSheetId="0" hidden="1">serviceLevel!$O$5</definedName>
    <definedName name="solver_cvg" localSheetId="4" hidden="1">0.0001</definedName>
    <definedName name="solver_cvg" localSheetId="3" hidden="1">0.0001</definedName>
    <definedName name="solver_cvg" localSheetId="0" hidden="1">0.0001</definedName>
    <definedName name="solver_drv" localSheetId="4" hidden="1">2</definedName>
    <definedName name="solver_drv" localSheetId="3" hidden="1">2</definedName>
    <definedName name="solver_drv" localSheetId="0" hidden="1">1</definedName>
    <definedName name="solver_eng" localSheetId="4" hidden="1">2</definedName>
    <definedName name="solver_eng" localSheetId="3" hidden="1">2</definedName>
    <definedName name="solver_eng" localSheetId="0" hidden="1">1</definedName>
    <definedName name="solver_est" localSheetId="4" hidden="1">1</definedName>
    <definedName name="solver_est" localSheetId="3" hidden="1">1</definedName>
    <definedName name="solver_est" localSheetId="0" hidden="1">1</definedName>
    <definedName name="solver_itr" localSheetId="4" hidden="1">2147483647</definedName>
    <definedName name="solver_itr" localSheetId="3" hidden="1">2147483647</definedName>
    <definedName name="solver_itr" localSheetId="0" hidden="1">2147483647</definedName>
    <definedName name="solver_lhs1" localSheetId="4" hidden="1">quantileReg!$F$8:$G$17</definedName>
    <definedName name="solver_lhs1" localSheetId="3" hidden="1">quantileRegFanEx!$F$8:$G$17</definedName>
    <definedName name="solver_lhs1" localSheetId="0" hidden="1">serviceLevel!$O$13</definedName>
    <definedName name="solver_lhs2" localSheetId="4" hidden="1">quantileReg!$I$8:$I$17</definedName>
    <definedName name="solver_lhs2" localSheetId="3" hidden="1">quantileRegFanEx!$I$8:$I$17</definedName>
    <definedName name="solver_mip" localSheetId="4" hidden="1">2147483647</definedName>
    <definedName name="solver_mip" localSheetId="3" hidden="1">2147483647</definedName>
    <definedName name="solver_mip" localSheetId="0" hidden="1">2147483647</definedName>
    <definedName name="solver_mni" localSheetId="4" hidden="1">30</definedName>
    <definedName name="solver_mni" localSheetId="3" hidden="1">30</definedName>
    <definedName name="solver_mni" localSheetId="0" hidden="1">30</definedName>
    <definedName name="solver_mrt" localSheetId="4" hidden="1">0.075</definedName>
    <definedName name="solver_mrt" localSheetId="3" hidden="1">0.075</definedName>
    <definedName name="solver_mrt" localSheetId="0" hidden="1">0.075</definedName>
    <definedName name="solver_msl" localSheetId="4" hidden="1">2</definedName>
    <definedName name="solver_msl" localSheetId="3" hidden="1">2</definedName>
    <definedName name="solver_msl" localSheetId="0" hidden="1">2</definedName>
    <definedName name="solver_neg" localSheetId="4" hidden="1">2</definedName>
    <definedName name="solver_neg" localSheetId="3" hidden="1">2</definedName>
    <definedName name="solver_neg" localSheetId="0" hidden="1">1</definedName>
    <definedName name="solver_nod" localSheetId="4" hidden="1">2147483647</definedName>
    <definedName name="solver_nod" localSheetId="3" hidden="1">2147483647</definedName>
    <definedName name="solver_nod" localSheetId="0" hidden="1">2147483647</definedName>
    <definedName name="solver_num" localSheetId="4" hidden="1">2</definedName>
    <definedName name="solver_num" localSheetId="3" hidden="1">2</definedName>
    <definedName name="solver_num" localSheetId="0" hidden="1">1</definedName>
    <definedName name="solver_nwt" localSheetId="4" hidden="1">1</definedName>
    <definedName name="solver_nwt" localSheetId="3" hidden="1">1</definedName>
    <definedName name="solver_nwt" localSheetId="0" hidden="1">1</definedName>
    <definedName name="solver_opt" localSheetId="4" hidden="1">quantileReg!$B$5</definedName>
    <definedName name="solver_opt" localSheetId="3" hidden="1">quantileRegFanEx!$B$5</definedName>
    <definedName name="solver_opt" localSheetId="0" hidden="1">serviceLevel!$O$5</definedName>
    <definedName name="solver_pre" localSheetId="4" hidden="1">0.000001</definedName>
    <definedName name="solver_pre" localSheetId="3" hidden="1">0.000001</definedName>
    <definedName name="solver_pre" localSheetId="0" hidden="1">0.000001</definedName>
    <definedName name="solver_rbv" localSheetId="4" hidden="1">2</definedName>
    <definedName name="solver_rbv" localSheetId="3" hidden="1">2</definedName>
    <definedName name="solver_rbv" localSheetId="0" hidden="1">1</definedName>
    <definedName name="solver_rel1" localSheetId="4" hidden="1">3</definedName>
    <definedName name="solver_rel1" localSheetId="3" hidden="1">3</definedName>
    <definedName name="solver_rel1" localSheetId="0" hidden="1">3</definedName>
    <definedName name="solver_rel2" localSheetId="4" hidden="1">2</definedName>
    <definedName name="solver_rel2" localSheetId="3" hidden="1">2</definedName>
    <definedName name="solver_rhs1" localSheetId="4" hidden="1">0</definedName>
    <definedName name="solver_rhs1" localSheetId="3" hidden="1">0</definedName>
    <definedName name="solver_rhs1" localSheetId="0" hidden="1">serviceLevel!$Q$13</definedName>
    <definedName name="solver_rhs2" localSheetId="4" hidden="1">quantileReg!$K$8:$K$17</definedName>
    <definedName name="solver_rhs2" localSheetId="3" hidden="1">quantileRegFanEx!$K$8:$K$17</definedName>
    <definedName name="solver_rlx" localSheetId="4" hidden="1">2</definedName>
    <definedName name="solver_rlx" localSheetId="3" hidden="1">2</definedName>
    <definedName name="solver_rlx" localSheetId="0" hidden="1">2</definedName>
    <definedName name="solver_rsd" localSheetId="4" hidden="1">0</definedName>
    <definedName name="solver_rsd" localSheetId="3" hidden="1">0</definedName>
    <definedName name="solver_rsd" localSheetId="0" hidden="1">0</definedName>
    <definedName name="solver_scl" localSheetId="4" hidden="1">2</definedName>
    <definedName name="solver_scl" localSheetId="3" hidden="1">2</definedName>
    <definedName name="solver_scl" localSheetId="0" hidden="1">1</definedName>
    <definedName name="solver_sho" localSheetId="4" hidden="1">2</definedName>
    <definedName name="solver_sho" localSheetId="3" hidden="1">2</definedName>
    <definedName name="solver_sho" localSheetId="0" hidden="1">2</definedName>
    <definedName name="solver_ssz" localSheetId="4" hidden="1">100</definedName>
    <definedName name="solver_ssz" localSheetId="3" hidden="1">100</definedName>
    <definedName name="solver_ssz" localSheetId="0" hidden="1">100</definedName>
    <definedName name="solver_tim" localSheetId="4" hidden="1">2147483647</definedName>
    <definedName name="solver_tim" localSheetId="3" hidden="1">2147483647</definedName>
    <definedName name="solver_tim" localSheetId="0" hidden="1">2147483647</definedName>
    <definedName name="solver_tol" localSheetId="4" hidden="1">0.01</definedName>
    <definedName name="solver_tol" localSheetId="3" hidden="1">0.01</definedName>
    <definedName name="solver_tol" localSheetId="0" hidden="1">0.01</definedName>
    <definedName name="solver_typ" localSheetId="4" hidden="1">2</definedName>
    <definedName name="solver_typ" localSheetId="3" hidden="1">2</definedName>
    <definedName name="solver_typ" localSheetId="0" hidden="1">2</definedName>
    <definedName name="solver_val" localSheetId="4" hidden="1">0</definedName>
    <definedName name="solver_val" localSheetId="3" hidden="1">0</definedName>
    <definedName name="solver_val" localSheetId="0" hidden="1">0</definedName>
    <definedName name="solver_ver" localSheetId="4" hidden="1">3</definedName>
    <definedName name="solver_ver" localSheetId="3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7" l="1"/>
  <c r="B9" i="7"/>
  <c r="D9" i="7" s="1"/>
  <c r="I9" i="7" s="1"/>
  <c r="B10" i="7"/>
  <c r="B11" i="7"/>
  <c r="B12" i="7"/>
  <c r="B13" i="7"/>
  <c r="B14" i="7"/>
  <c r="B15" i="7"/>
  <c r="B16" i="7"/>
  <c r="D16" i="7" s="1"/>
  <c r="I16" i="7" s="1"/>
  <c r="B17" i="7"/>
  <c r="D17" i="7" s="1"/>
  <c r="I17" i="7" s="1"/>
  <c r="B8" i="7"/>
  <c r="K17" i="7"/>
  <c r="K16" i="7"/>
  <c r="K15" i="7"/>
  <c r="D15" i="7"/>
  <c r="I15" i="7" s="1"/>
  <c r="K14" i="7"/>
  <c r="D14" i="7"/>
  <c r="I14" i="7" s="1"/>
  <c r="K13" i="7"/>
  <c r="D13" i="7"/>
  <c r="I13" i="7" s="1"/>
  <c r="K12" i="7"/>
  <c r="D12" i="7"/>
  <c r="I12" i="7" s="1"/>
  <c r="K11" i="7"/>
  <c r="D11" i="7"/>
  <c r="I11" i="7" s="1"/>
  <c r="K10" i="7"/>
  <c r="D10" i="7"/>
  <c r="I10" i="7" s="1"/>
  <c r="K9" i="7"/>
  <c r="K8" i="7"/>
  <c r="D8" i="7"/>
  <c r="I8" i="7" s="1"/>
  <c r="B5" i="7"/>
  <c r="K17" i="3"/>
  <c r="D17" i="3"/>
  <c r="I17" i="3" s="1"/>
  <c r="K16" i="3"/>
  <c r="D16" i="3"/>
  <c r="I16" i="3" s="1"/>
  <c r="K15" i="3"/>
  <c r="D15" i="3"/>
  <c r="I15" i="3" s="1"/>
  <c r="K14" i="3"/>
  <c r="D14" i="3"/>
  <c r="I14" i="3" s="1"/>
  <c r="K13" i="3"/>
  <c r="D13" i="3"/>
  <c r="I13" i="3" s="1"/>
  <c r="K12" i="3"/>
  <c r="D12" i="3"/>
  <c r="I12" i="3" s="1"/>
  <c r="K11" i="3"/>
  <c r="D11" i="3"/>
  <c r="I11" i="3" s="1"/>
  <c r="K10" i="3"/>
  <c r="D10" i="3"/>
  <c r="I10" i="3" s="1"/>
  <c r="K9" i="3"/>
  <c r="D9" i="3"/>
  <c r="I9" i="3" s="1"/>
  <c r="K8" i="3"/>
  <c r="D8" i="3"/>
  <c r="I8" i="3" s="1"/>
  <c r="B5" i="3"/>
  <c r="B4" i="7" l="1"/>
  <c r="B4" i="3"/>
  <c r="G15" i="2" l="1"/>
  <c r="V14" i="2"/>
  <c r="G14" i="2"/>
  <c r="Q3" i="4"/>
  <c r="AU11" i="6"/>
  <c r="AT11" i="6"/>
  <c r="AF11" i="6"/>
  <c r="AE11" i="6"/>
  <c r="Q11" i="6"/>
  <c r="R11" i="6" s="1"/>
  <c r="AU10" i="6"/>
  <c r="AT10" i="6"/>
  <c r="AF10" i="6"/>
  <c r="AE10" i="6"/>
  <c r="Q10" i="6"/>
  <c r="S10" i="6" s="1"/>
  <c r="T10" i="6" s="1"/>
  <c r="AU9" i="6"/>
  <c r="AT9" i="6"/>
  <c r="AF9" i="6"/>
  <c r="AE9" i="6"/>
  <c r="Q9" i="6"/>
  <c r="R9" i="6" s="1"/>
  <c r="AU8" i="6"/>
  <c r="AT8" i="6"/>
  <c r="AF8" i="6"/>
  <c r="AE8" i="6"/>
  <c r="Q8" i="6"/>
  <c r="S8" i="6" s="1"/>
  <c r="T8" i="6" s="1"/>
  <c r="O10" i="2" l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V16" i="2" s="1"/>
  <c r="V17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G16" i="2" s="1"/>
  <c r="G17" i="2" s="1"/>
  <c r="O9" i="4"/>
  <c r="O10" i="4" s="1"/>
  <c r="O7" i="4"/>
  <c r="AG9" i="6"/>
  <c r="AH9" i="6" s="1"/>
  <c r="AI9" i="6" s="1"/>
  <c r="AV10" i="6"/>
  <c r="AG11" i="6"/>
  <c r="AH11" i="6" s="1"/>
  <c r="AI11" i="6" s="1"/>
  <c r="AV8" i="6"/>
  <c r="S9" i="6"/>
  <c r="T9" i="6" s="1"/>
  <c r="U9" i="6" s="1"/>
  <c r="AG10" i="6"/>
  <c r="AH10" i="6" s="1"/>
  <c r="AI10" i="6" s="1"/>
  <c r="R8" i="6"/>
  <c r="U8" i="6" s="1"/>
  <c r="AV9" i="6"/>
  <c r="AW9" i="6" s="1"/>
  <c r="R10" i="6"/>
  <c r="U10" i="6" s="1"/>
  <c r="AV11" i="6"/>
  <c r="AW11" i="6"/>
  <c r="AG8" i="6"/>
  <c r="AH8" i="6" s="1"/>
  <c r="AI8" i="6" s="1"/>
  <c r="AW8" i="6"/>
  <c r="AW10" i="6"/>
  <c r="S11" i="6"/>
  <c r="T11" i="6" s="1"/>
  <c r="U11" i="6" s="1"/>
  <c r="O11" i="2" l="1"/>
  <c r="V18" i="2"/>
  <c r="V19" i="2"/>
  <c r="V20" i="2" s="1"/>
  <c r="P10" i="2" s="1"/>
  <c r="G18" i="2"/>
  <c r="G19" i="2"/>
  <c r="G20" i="2" s="1"/>
  <c r="G23" i="2" s="1"/>
  <c r="O11" i="4"/>
  <c r="O12" i="4" s="1"/>
  <c r="O13" i="4" s="1"/>
  <c r="T8" i="4" s="1"/>
  <c r="L5" i="6"/>
  <c r="AY11" i="6"/>
  <c r="AX11" i="6"/>
  <c r="AY8" i="6"/>
  <c r="AX8" i="6"/>
  <c r="AY10" i="6"/>
  <c r="AX10" i="6"/>
  <c r="AY9" i="6"/>
  <c r="AZ9" i="6" s="1"/>
  <c r="BA9" i="6" s="1"/>
  <c r="AX9" i="6"/>
  <c r="Z5" i="6"/>
  <c r="Q11" i="2" l="1"/>
  <c r="R11" i="2" s="1"/>
  <c r="S11" i="2" s="1"/>
  <c r="O12" i="2"/>
  <c r="Q12" i="2" s="1"/>
  <c r="R12" i="2" s="1"/>
  <c r="S12" i="2" s="1"/>
  <c r="P11" i="2"/>
  <c r="P12" i="2" s="1"/>
  <c r="Q10" i="2"/>
  <c r="R10" i="2" s="1"/>
  <c r="S10" i="2" s="1"/>
  <c r="AZ10" i="6"/>
  <c r="BA10" i="6" s="1"/>
  <c r="AZ11" i="6"/>
  <c r="BA11" i="6" s="1"/>
  <c r="AZ8" i="6"/>
  <c r="BA8" i="6" s="1"/>
  <c r="G7" i="4"/>
  <c r="B9" i="4"/>
  <c r="B10" i="4" s="1"/>
  <c r="B7" i="4"/>
  <c r="B3" i="4"/>
  <c r="J2" i="1"/>
  <c r="J51" i="1" s="1"/>
  <c r="J89" i="1"/>
  <c r="J104" i="1"/>
  <c r="J105" i="1"/>
  <c r="J121" i="1"/>
  <c r="J131" i="1"/>
  <c r="J156" i="1"/>
  <c r="J171" i="1"/>
  <c r="J180" i="1"/>
  <c r="J185" i="1"/>
  <c r="J196" i="1"/>
  <c r="J220" i="1"/>
  <c r="J233" i="1"/>
  <c r="J235" i="1"/>
  <c r="J249" i="1"/>
  <c r="J259" i="1"/>
  <c r="J260" i="1"/>
  <c r="J284" i="1"/>
  <c r="J299" i="1"/>
  <c r="J308" i="1"/>
  <c r="J313" i="1"/>
  <c r="J324" i="1"/>
  <c r="J332" i="1"/>
  <c r="J361" i="1"/>
  <c r="J363" i="1"/>
  <c r="J377" i="1"/>
  <c r="J387" i="1"/>
  <c r="J388" i="1"/>
  <c r="J403" i="1"/>
  <c r="J427" i="1"/>
  <c r="J436" i="1"/>
  <c r="J441" i="1"/>
  <c r="J452" i="1"/>
  <c r="J460" i="1"/>
  <c r="J465" i="1"/>
  <c r="J484" i="1"/>
  <c r="J496" i="1"/>
  <c r="J504" i="1"/>
  <c r="J505" i="1"/>
  <c r="J516" i="1"/>
  <c r="J523" i="1"/>
  <c r="J544" i="1"/>
  <c r="J547" i="1"/>
  <c r="J556" i="1"/>
  <c r="J563" i="1"/>
  <c r="J568" i="1"/>
  <c r="J576" i="1"/>
  <c r="J599" i="1"/>
  <c r="J607" i="1"/>
  <c r="J608" i="1"/>
  <c r="J619" i="1"/>
  <c r="J625" i="1"/>
  <c r="J627" i="1"/>
  <c r="J639" i="1"/>
  <c r="J649" i="1"/>
  <c r="J659" i="1"/>
  <c r="J664" i="1"/>
  <c r="J665" i="1"/>
  <c r="J671" i="1"/>
  <c r="J679" i="1"/>
  <c r="J684" i="1"/>
  <c r="J687" i="1"/>
  <c r="J694" i="1"/>
  <c r="J696" i="1"/>
  <c r="J699" i="1"/>
  <c r="J700" i="1"/>
  <c r="J707" i="1"/>
  <c r="J710" i="1"/>
  <c r="J712" i="1"/>
  <c r="J719" i="1"/>
  <c r="J723" i="1"/>
  <c r="J724" i="1"/>
  <c r="J726" i="1"/>
  <c r="J732" i="1"/>
  <c r="J735" i="1"/>
  <c r="J739" i="1"/>
  <c r="J744" i="1"/>
  <c r="J748" i="1"/>
  <c r="J750" i="1"/>
  <c r="J751" i="1"/>
  <c r="J758" i="1"/>
  <c r="J760" i="1"/>
  <c r="J763" i="1"/>
  <c r="J764" i="1"/>
  <c r="J771" i="1"/>
  <c r="J774" i="1"/>
  <c r="J775" i="1"/>
  <c r="J776" i="1"/>
  <c r="J783" i="1"/>
  <c r="J787" i="1"/>
  <c r="J788" i="1"/>
  <c r="J790" i="1"/>
  <c r="J796" i="1"/>
  <c r="J799" i="1"/>
  <c r="J800" i="1"/>
  <c r="J803" i="1"/>
  <c r="J808" i="1"/>
  <c r="J812" i="1"/>
  <c r="J814" i="1"/>
  <c r="J815" i="1"/>
  <c r="J820" i="1"/>
  <c r="J822" i="1"/>
  <c r="J823" i="1"/>
  <c r="J824" i="1"/>
  <c r="J828" i="1"/>
  <c r="J830" i="1"/>
  <c r="J831" i="1"/>
  <c r="J832" i="1"/>
  <c r="J836" i="1"/>
  <c r="J838" i="1"/>
  <c r="J839" i="1"/>
  <c r="J840" i="1"/>
  <c r="J844" i="1"/>
  <c r="J846" i="1"/>
  <c r="J847" i="1"/>
  <c r="J848" i="1"/>
  <c r="J852" i="1"/>
  <c r="J854" i="1"/>
  <c r="J855" i="1"/>
  <c r="J856" i="1"/>
  <c r="J860" i="1"/>
  <c r="J862" i="1"/>
  <c r="J863" i="1"/>
  <c r="J864" i="1"/>
  <c r="J868" i="1"/>
  <c r="J870" i="1"/>
  <c r="J871" i="1"/>
  <c r="J872" i="1"/>
  <c r="J876" i="1"/>
  <c r="J878" i="1"/>
  <c r="J879" i="1"/>
  <c r="J880" i="1"/>
  <c r="J884" i="1"/>
  <c r="J886" i="1"/>
  <c r="J887" i="1"/>
  <c r="J888" i="1"/>
  <c r="J892" i="1"/>
  <c r="J894" i="1"/>
  <c r="J895" i="1"/>
  <c r="J896" i="1"/>
  <c r="J900" i="1"/>
  <c r="J902" i="1"/>
  <c r="J903" i="1"/>
  <c r="J904" i="1"/>
  <c r="J908" i="1"/>
  <c r="J910" i="1"/>
  <c r="J911" i="1"/>
  <c r="J912" i="1"/>
  <c r="J916" i="1"/>
  <c r="J918" i="1"/>
  <c r="J919" i="1"/>
  <c r="J920" i="1"/>
  <c r="J924" i="1"/>
  <c r="J926" i="1"/>
  <c r="J927" i="1"/>
  <c r="J928" i="1"/>
  <c r="J932" i="1"/>
  <c r="J934" i="1"/>
  <c r="J935" i="1"/>
  <c r="J936" i="1"/>
  <c r="J940" i="1"/>
  <c r="J942" i="1"/>
  <c r="J943" i="1"/>
  <c r="J944" i="1"/>
  <c r="J948" i="1"/>
  <c r="J950" i="1"/>
  <c r="J951" i="1"/>
  <c r="J952" i="1"/>
  <c r="J956" i="1"/>
  <c r="J958" i="1"/>
  <c r="J959" i="1"/>
  <c r="J960" i="1"/>
  <c r="J964" i="1"/>
  <c r="J966" i="1"/>
  <c r="J967" i="1"/>
  <c r="J968" i="1"/>
  <c r="J972" i="1"/>
  <c r="J974" i="1"/>
  <c r="J975" i="1"/>
  <c r="J976" i="1"/>
  <c r="J980" i="1"/>
  <c r="J982" i="1"/>
  <c r="J983" i="1"/>
  <c r="J984" i="1"/>
  <c r="J988" i="1"/>
  <c r="J990" i="1"/>
  <c r="J991" i="1"/>
  <c r="J992" i="1"/>
  <c r="J996" i="1"/>
  <c r="J998" i="1"/>
  <c r="J999" i="1"/>
  <c r="J1000" i="1"/>
  <c r="J4" i="1"/>
  <c r="E582" i="1"/>
  <c r="E694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4" i="1"/>
  <c r="E4" i="1" s="1"/>
  <c r="B11" i="4" l="1"/>
  <c r="B12" i="4" s="1"/>
  <c r="B13" i="4" s="1"/>
  <c r="AO5" i="6"/>
  <c r="J155" i="1"/>
  <c r="J80" i="1"/>
  <c r="J736" i="1"/>
  <c r="J711" i="1"/>
  <c r="J686" i="1"/>
  <c r="J647" i="1"/>
  <c r="J587" i="1"/>
  <c r="J536" i="1"/>
  <c r="J483" i="1"/>
  <c r="J412" i="1"/>
  <c r="J348" i="1"/>
  <c r="J283" i="1"/>
  <c r="J211" i="1"/>
  <c r="J147" i="1"/>
  <c r="J68" i="1"/>
  <c r="J585" i="1"/>
  <c r="J524" i="1"/>
  <c r="J473" i="1"/>
  <c r="J411" i="1"/>
  <c r="J339" i="1"/>
  <c r="J275" i="1"/>
  <c r="J204" i="1"/>
  <c r="J132" i="1"/>
  <c r="J9" i="1"/>
  <c r="J81" i="1"/>
  <c r="J108" i="1"/>
  <c r="J137" i="1"/>
  <c r="J163" i="1"/>
  <c r="J187" i="1"/>
  <c r="J212" i="1"/>
  <c r="J236" i="1"/>
  <c r="J265" i="1"/>
  <c r="J291" i="1"/>
  <c r="J315" i="1"/>
  <c r="J340" i="1"/>
  <c r="J364" i="1"/>
  <c r="J393" i="1"/>
  <c r="J419" i="1"/>
  <c r="J443" i="1"/>
  <c r="J467" i="1"/>
  <c r="J487" i="1"/>
  <c r="J508" i="1"/>
  <c r="J529" i="1"/>
  <c r="J548" i="1"/>
  <c r="J569" i="1"/>
  <c r="J588" i="1"/>
  <c r="J611" i="1"/>
  <c r="J632" i="1"/>
  <c r="J651" i="1"/>
  <c r="J672" i="1"/>
  <c r="J688" i="1"/>
  <c r="J702" i="1"/>
  <c r="J715" i="1"/>
  <c r="J727" i="1"/>
  <c r="J740" i="1"/>
  <c r="J752" i="1"/>
  <c r="J766" i="1"/>
  <c r="J779" i="1"/>
  <c r="J791" i="1"/>
  <c r="J804" i="1"/>
  <c r="J816" i="1"/>
  <c r="J825" i="1"/>
  <c r="J833" i="1"/>
  <c r="J841" i="1"/>
  <c r="J849" i="1"/>
  <c r="J857" i="1"/>
  <c r="J865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69" i="1"/>
  <c r="J977" i="1"/>
  <c r="J985" i="1"/>
  <c r="J993" i="1"/>
  <c r="J1001" i="1"/>
  <c r="J704" i="1"/>
  <c r="J867" i="1"/>
  <c r="J899" i="1"/>
  <c r="J923" i="1"/>
  <c r="J947" i="1"/>
  <c r="J963" i="1"/>
  <c r="J987" i="1"/>
  <c r="J1003" i="1"/>
  <c r="J44" i="1"/>
  <c r="J84" i="1"/>
  <c r="J115" i="1"/>
  <c r="J139" i="1"/>
  <c r="J164" i="1"/>
  <c r="J188" i="1"/>
  <c r="J217" i="1"/>
  <c r="J243" i="1"/>
  <c r="J267" i="1"/>
  <c r="J292" i="1"/>
  <c r="J316" i="1"/>
  <c r="J345" i="1"/>
  <c r="J371" i="1"/>
  <c r="J395" i="1"/>
  <c r="J420" i="1"/>
  <c r="J444" i="1"/>
  <c r="J471" i="1"/>
  <c r="J491" i="1"/>
  <c r="J511" i="1"/>
  <c r="J531" i="1"/>
  <c r="J551" i="1"/>
  <c r="J572" i="1"/>
  <c r="J593" i="1"/>
  <c r="J612" i="1"/>
  <c r="J633" i="1"/>
  <c r="J652" i="1"/>
  <c r="J675" i="1"/>
  <c r="J691" i="1"/>
  <c r="J703" i="1"/>
  <c r="J716" i="1"/>
  <c r="J728" i="1"/>
  <c r="J742" i="1"/>
  <c r="J755" i="1"/>
  <c r="J767" i="1"/>
  <c r="J780" i="1"/>
  <c r="J792" i="1"/>
  <c r="J806" i="1"/>
  <c r="J818" i="1"/>
  <c r="J826" i="1"/>
  <c r="J834" i="1"/>
  <c r="J842" i="1"/>
  <c r="J850" i="1"/>
  <c r="J858" i="1"/>
  <c r="J866" i="1"/>
  <c r="J874" i="1"/>
  <c r="J882" i="1"/>
  <c r="J890" i="1"/>
  <c r="J898" i="1"/>
  <c r="J906" i="1"/>
  <c r="J914" i="1"/>
  <c r="J922" i="1"/>
  <c r="J930" i="1"/>
  <c r="J938" i="1"/>
  <c r="J946" i="1"/>
  <c r="J954" i="1"/>
  <c r="J962" i="1"/>
  <c r="J970" i="1"/>
  <c r="J978" i="1"/>
  <c r="J986" i="1"/>
  <c r="J994" i="1"/>
  <c r="J1002" i="1"/>
  <c r="J676" i="1"/>
  <c r="J835" i="1"/>
  <c r="J851" i="1"/>
  <c r="J875" i="1"/>
  <c r="J891" i="1"/>
  <c r="J907" i="1"/>
  <c r="J931" i="1"/>
  <c r="J955" i="1"/>
  <c r="J979" i="1"/>
  <c r="J49" i="1"/>
  <c r="J88" i="1"/>
  <c r="J116" i="1"/>
  <c r="J140" i="1"/>
  <c r="J169" i="1"/>
  <c r="J195" i="1"/>
  <c r="J219" i="1"/>
  <c r="J244" i="1"/>
  <c r="J268" i="1"/>
  <c r="J297" i="1"/>
  <c r="J323" i="1"/>
  <c r="J347" i="1"/>
  <c r="J372" i="1"/>
  <c r="J396" i="1"/>
  <c r="J425" i="1"/>
  <c r="J451" i="1"/>
  <c r="J472" i="1"/>
  <c r="J492" i="1"/>
  <c r="J512" i="1"/>
  <c r="J535" i="1"/>
  <c r="J555" i="1"/>
  <c r="J575" i="1"/>
  <c r="J595" i="1"/>
  <c r="J615" i="1"/>
  <c r="J636" i="1"/>
  <c r="J657" i="1"/>
  <c r="J692" i="1"/>
  <c r="J718" i="1"/>
  <c r="J731" i="1"/>
  <c r="J743" i="1"/>
  <c r="J756" i="1"/>
  <c r="J768" i="1"/>
  <c r="J782" i="1"/>
  <c r="J795" i="1"/>
  <c r="J807" i="1"/>
  <c r="J819" i="1"/>
  <c r="J827" i="1"/>
  <c r="J843" i="1"/>
  <c r="J859" i="1"/>
  <c r="J883" i="1"/>
  <c r="J915" i="1"/>
  <c r="J939" i="1"/>
  <c r="J971" i="1"/>
  <c r="J995" i="1"/>
  <c r="J64" i="1"/>
  <c r="J97" i="1"/>
  <c r="J123" i="1"/>
  <c r="J148" i="1"/>
  <c r="J172" i="1"/>
  <c r="J201" i="1"/>
  <c r="J227" i="1"/>
  <c r="J251" i="1"/>
  <c r="J276" i="1"/>
  <c r="J300" i="1"/>
  <c r="J329" i="1"/>
  <c r="J355" i="1"/>
  <c r="J379" i="1"/>
  <c r="J404" i="1"/>
  <c r="J428" i="1"/>
  <c r="J457" i="1"/>
  <c r="J479" i="1"/>
  <c r="J497" i="1"/>
  <c r="J519" i="1"/>
  <c r="J537" i="1"/>
  <c r="J560" i="1"/>
  <c r="J580" i="1"/>
  <c r="J600" i="1"/>
  <c r="J620" i="1"/>
  <c r="J640" i="1"/>
  <c r="J663" i="1"/>
  <c r="J683" i="1"/>
  <c r="J695" i="1"/>
  <c r="J708" i="1"/>
  <c r="J720" i="1"/>
  <c r="J734" i="1"/>
  <c r="J747" i="1"/>
  <c r="J759" i="1"/>
  <c r="J772" i="1"/>
  <c r="J784" i="1"/>
  <c r="J798" i="1"/>
  <c r="J811" i="1"/>
  <c r="J821" i="1"/>
  <c r="J829" i="1"/>
  <c r="J837" i="1"/>
  <c r="J845" i="1"/>
  <c r="J853" i="1"/>
  <c r="J861" i="1"/>
  <c r="J869" i="1"/>
  <c r="J877" i="1"/>
  <c r="J885" i="1"/>
  <c r="J893" i="1"/>
  <c r="J901" i="1"/>
  <c r="J909" i="1"/>
  <c r="J917" i="1"/>
  <c r="J925" i="1"/>
  <c r="J933" i="1"/>
  <c r="J941" i="1"/>
  <c r="J949" i="1"/>
  <c r="J957" i="1"/>
  <c r="J965" i="1"/>
  <c r="J973" i="1"/>
  <c r="J981" i="1"/>
  <c r="J989" i="1"/>
  <c r="J997" i="1"/>
  <c r="J67" i="1"/>
  <c r="J99" i="1"/>
  <c r="J124" i="1"/>
  <c r="J153" i="1"/>
  <c r="J179" i="1"/>
  <c r="J203" i="1"/>
  <c r="J228" i="1"/>
  <c r="J252" i="1"/>
  <c r="J281" i="1"/>
  <c r="J307" i="1"/>
  <c r="J331" i="1"/>
  <c r="J356" i="1"/>
  <c r="J380" i="1"/>
  <c r="J409" i="1"/>
  <c r="J435" i="1"/>
  <c r="J459" i="1"/>
  <c r="J480" i="1"/>
  <c r="J499" i="1"/>
  <c r="J521" i="1"/>
  <c r="J543" i="1"/>
  <c r="J561" i="1"/>
  <c r="J583" i="1"/>
  <c r="J601" i="1"/>
  <c r="J624" i="1"/>
  <c r="J644" i="1"/>
  <c r="J32" i="1"/>
  <c r="J28" i="1"/>
  <c r="J813" i="1"/>
  <c r="J805" i="1"/>
  <c r="J797" i="1"/>
  <c r="J789" i="1"/>
  <c r="J781" i="1"/>
  <c r="J773" i="1"/>
  <c r="J765" i="1"/>
  <c r="J757" i="1"/>
  <c r="J749" i="1"/>
  <c r="J741" i="1"/>
  <c r="J733" i="1"/>
  <c r="J725" i="1"/>
  <c r="J717" i="1"/>
  <c r="J709" i="1"/>
  <c r="J701" i="1"/>
  <c r="J693" i="1"/>
  <c r="J685" i="1"/>
  <c r="J673" i="1"/>
  <c r="J660" i="1"/>
  <c r="J648" i="1"/>
  <c r="J635" i="1"/>
  <c r="J623" i="1"/>
  <c r="J609" i="1"/>
  <c r="J596" i="1"/>
  <c r="J584" i="1"/>
  <c r="J571" i="1"/>
  <c r="J559" i="1"/>
  <c r="J545" i="1"/>
  <c r="J532" i="1"/>
  <c r="J520" i="1"/>
  <c r="J507" i="1"/>
  <c r="J495" i="1"/>
  <c r="J481" i="1"/>
  <c r="J468" i="1"/>
  <c r="J456" i="1"/>
  <c r="J440" i="1"/>
  <c r="J424" i="1"/>
  <c r="J408" i="1"/>
  <c r="J392" i="1"/>
  <c r="J376" i="1"/>
  <c r="J360" i="1"/>
  <c r="J344" i="1"/>
  <c r="J328" i="1"/>
  <c r="J312" i="1"/>
  <c r="J296" i="1"/>
  <c r="J280" i="1"/>
  <c r="J264" i="1"/>
  <c r="J248" i="1"/>
  <c r="J232" i="1"/>
  <c r="J216" i="1"/>
  <c r="J200" i="1"/>
  <c r="J184" i="1"/>
  <c r="J168" i="1"/>
  <c r="J152" i="1"/>
  <c r="J136" i="1"/>
  <c r="J120" i="1"/>
  <c r="J100" i="1"/>
  <c r="J83" i="1"/>
  <c r="J65" i="1"/>
  <c r="J48" i="1"/>
  <c r="J24" i="1"/>
  <c r="J20" i="1"/>
  <c r="J60" i="1"/>
  <c r="J40" i="1"/>
  <c r="J19" i="1"/>
  <c r="J810" i="1"/>
  <c r="J802" i="1"/>
  <c r="J794" i="1"/>
  <c r="J786" i="1"/>
  <c r="J778" i="1"/>
  <c r="J770" i="1"/>
  <c r="J762" i="1"/>
  <c r="J754" i="1"/>
  <c r="J746" i="1"/>
  <c r="J738" i="1"/>
  <c r="J730" i="1"/>
  <c r="J722" i="1"/>
  <c r="J714" i="1"/>
  <c r="J706" i="1"/>
  <c r="J698" i="1"/>
  <c r="J690" i="1"/>
  <c r="J681" i="1"/>
  <c r="J668" i="1"/>
  <c r="J656" i="1"/>
  <c r="J643" i="1"/>
  <c r="J631" i="1"/>
  <c r="J617" i="1"/>
  <c r="J604" i="1"/>
  <c r="J592" i="1"/>
  <c r="J579" i="1"/>
  <c r="J567" i="1"/>
  <c r="J553" i="1"/>
  <c r="J540" i="1"/>
  <c r="J528" i="1"/>
  <c r="J515" i="1"/>
  <c r="J503" i="1"/>
  <c r="J489" i="1"/>
  <c r="J476" i="1"/>
  <c r="J464" i="1"/>
  <c r="J449" i="1"/>
  <c r="J433" i="1"/>
  <c r="J417" i="1"/>
  <c r="J401" i="1"/>
  <c r="J385" i="1"/>
  <c r="J369" i="1"/>
  <c r="J353" i="1"/>
  <c r="J337" i="1"/>
  <c r="J321" i="1"/>
  <c r="J305" i="1"/>
  <c r="J289" i="1"/>
  <c r="J273" i="1"/>
  <c r="J257" i="1"/>
  <c r="J241" i="1"/>
  <c r="J225" i="1"/>
  <c r="J209" i="1"/>
  <c r="J193" i="1"/>
  <c r="J177" i="1"/>
  <c r="J161" i="1"/>
  <c r="J145" i="1"/>
  <c r="J129" i="1"/>
  <c r="J113" i="1"/>
  <c r="J96" i="1"/>
  <c r="J76" i="1"/>
  <c r="J57" i="1"/>
  <c r="J36" i="1"/>
  <c r="J16" i="1"/>
  <c r="J817" i="1"/>
  <c r="J809" i="1"/>
  <c r="J801" i="1"/>
  <c r="J793" i="1"/>
  <c r="J785" i="1"/>
  <c r="J777" i="1"/>
  <c r="J769" i="1"/>
  <c r="J761" i="1"/>
  <c r="J753" i="1"/>
  <c r="J745" i="1"/>
  <c r="J737" i="1"/>
  <c r="J729" i="1"/>
  <c r="J721" i="1"/>
  <c r="J713" i="1"/>
  <c r="J705" i="1"/>
  <c r="J697" i="1"/>
  <c r="J689" i="1"/>
  <c r="J680" i="1"/>
  <c r="J667" i="1"/>
  <c r="J655" i="1"/>
  <c r="J641" i="1"/>
  <c r="J628" i="1"/>
  <c r="J616" i="1"/>
  <c r="J603" i="1"/>
  <c r="J591" i="1"/>
  <c r="J577" i="1"/>
  <c r="J564" i="1"/>
  <c r="J552" i="1"/>
  <c r="J539" i="1"/>
  <c r="J527" i="1"/>
  <c r="J513" i="1"/>
  <c r="J500" i="1"/>
  <c r="J488" i="1"/>
  <c r="J475" i="1"/>
  <c r="J463" i="1"/>
  <c r="J448" i="1"/>
  <c r="J432" i="1"/>
  <c r="J416" i="1"/>
  <c r="J400" i="1"/>
  <c r="J384" i="1"/>
  <c r="J368" i="1"/>
  <c r="J352" i="1"/>
  <c r="J336" i="1"/>
  <c r="J320" i="1"/>
  <c r="J304" i="1"/>
  <c r="J288" i="1"/>
  <c r="J272" i="1"/>
  <c r="J256" i="1"/>
  <c r="J240" i="1"/>
  <c r="J224" i="1"/>
  <c r="J208" i="1"/>
  <c r="J192" i="1"/>
  <c r="J176" i="1"/>
  <c r="J160" i="1"/>
  <c r="J144" i="1"/>
  <c r="J128" i="1"/>
  <c r="J112" i="1"/>
  <c r="J92" i="1"/>
  <c r="J73" i="1"/>
  <c r="J56" i="1"/>
  <c r="J35" i="1"/>
  <c r="J12" i="1"/>
  <c r="J72" i="1"/>
  <c r="J52" i="1"/>
  <c r="J33" i="1"/>
  <c r="J8" i="1"/>
  <c r="J17" i="1"/>
  <c r="J107" i="1"/>
  <c r="J91" i="1"/>
  <c r="J75" i="1"/>
  <c r="J59" i="1"/>
  <c r="J43" i="1"/>
  <c r="J27" i="1"/>
  <c r="J11" i="1"/>
  <c r="J41" i="1"/>
  <c r="J25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3" i="1"/>
  <c r="J541" i="1"/>
  <c r="J549" i="1"/>
  <c r="J557" i="1"/>
  <c r="J565" i="1"/>
  <c r="J573" i="1"/>
  <c r="J581" i="1"/>
  <c r="J589" i="1"/>
  <c r="J597" i="1"/>
  <c r="J605" i="1"/>
  <c r="J613" i="1"/>
  <c r="J621" i="1"/>
  <c r="J629" i="1"/>
  <c r="J637" i="1"/>
  <c r="J645" i="1"/>
  <c r="J653" i="1"/>
  <c r="J661" i="1"/>
  <c r="J669" i="1"/>
  <c r="J677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8" i="1"/>
  <c r="J526" i="1"/>
  <c r="J534" i="1"/>
  <c r="J542" i="1"/>
  <c r="J550" i="1"/>
  <c r="J558" i="1"/>
  <c r="J566" i="1"/>
  <c r="J574" i="1"/>
  <c r="J582" i="1"/>
  <c r="J590" i="1"/>
  <c r="J598" i="1"/>
  <c r="J606" i="1"/>
  <c r="J614" i="1"/>
  <c r="J622" i="1"/>
  <c r="J630" i="1"/>
  <c r="J638" i="1"/>
  <c r="J646" i="1"/>
  <c r="J654" i="1"/>
  <c r="J662" i="1"/>
  <c r="J670" i="1"/>
  <c r="J678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9" i="1"/>
  <c r="J327" i="1"/>
  <c r="J335" i="1"/>
  <c r="J343" i="1"/>
  <c r="J351" i="1"/>
  <c r="J359" i="1"/>
  <c r="J367" i="1"/>
  <c r="J375" i="1"/>
  <c r="J383" i="1"/>
  <c r="J391" i="1"/>
  <c r="J399" i="1"/>
  <c r="J407" i="1"/>
  <c r="J415" i="1"/>
  <c r="J423" i="1"/>
  <c r="J431" i="1"/>
  <c r="J439" i="1"/>
  <c r="J447" i="1"/>
  <c r="J455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2" i="1"/>
  <c r="J490" i="1"/>
  <c r="J498" i="1"/>
  <c r="J506" i="1"/>
  <c r="J514" i="1"/>
  <c r="J522" i="1"/>
  <c r="J530" i="1"/>
  <c r="J538" i="1"/>
  <c r="J546" i="1"/>
  <c r="J554" i="1"/>
  <c r="J562" i="1"/>
  <c r="J570" i="1"/>
  <c r="J578" i="1"/>
  <c r="J586" i="1"/>
  <c r="J594" i="1"/>
  <c r="J602" i="1"/>
  <c r="J610" i="1"/>
  <c r="J618" i="1"/>
  <c r="J626" i="1"/>
  <c r="J634" i="1"/>
  <c r="J642" i="1"/>
  <c r="J650" i="1"/>
  <c r="J658" i="1"/>
  <c r="J666" i="1"/>
  <c r="J674" i="1"/>
  <c r="J682" i="1"/>
</calcChain>
</file>

<file path=xl/sharedStrings.xml><?xml version="1.0" encoding="utf-8"?>
<sst xmlns="http://schemas.openxmlformats.org/spreadsheetml/2006/main" count="205" uniqueCount="91">
  <si>
    <t>Rep</t>
  </si>
  <si>
    <t>Mu</t>
  </si>
  <si>
    <t>Y|mu</t>
  </si>
  <si>
    <t>RAND1</t>
  </si>
  <si>
    <t>RAND2</t>
  </si>
  <si>
    <t>mean</t>
  </si>
  <si>
    <t>std</t>
  </si>
  <si>
    <t>PIT</t>
  </si>
  <si>
    <t>stdev</t>
  </si>
  <si>
    <t>variance</t>
  </si>
  <si>
    <t>Demand, D</t>
  </si>
  <si>
    <t>stock, x</t>
  </si>
  <si>
    <t>z</t>
  </si>
  <si>
    <t>Unit normal loss function L(z)</t>
  </si>
  <si>
    <t>E[min(D,x)]</t>
  </si>
  <si>
    <t>mean, E[D]</t>
  </si>
  <si>
    <t>Type-1 SL: In-stock probability</t>
  </si>
  <si>
    <t>Type-2 SL: Fill rate</t>
  </si>
  <si>
    <t>Desire type-1 SL</t>
  </si>
  <si>
    <t>Required stock</t>
  </si>
  <si>
    <t>Train &amp; test split</t>
  </si>
  <si>
    <t>Set</t>
  </si>
  <si>
    <t>t</t>
  </si>
  <si>
    <t>Date</t>
  </si>
  <si>
    <t>Demand
StoreID=2, SKU=A</t>
  </si>
  <si>
    <t>Train</t>
  </si>
  <si>
    <t>Test</t>
  </si>
  <si>
    <t>Quantile score</t>
  </si>
  <si>
    <t>Continuous Ranked Probability Score</t>
  </si>
  <si>
    <t>Test MAE</t>
  </si>
  <si>
    <t>Quantile p</t>
  </si>
  <si>
    <t>CRPS</t>
  </si>
  <si>
    <t>Actual</t>
  </si>
  <si>
    <t>FC.Mean</t>
  </si>
  <si>
    <t>FC.Var</t>
  </si>
  <si>
    <t>p Quantile FC</t>
  </si>
  <si>
    <t>|Error|</t>
  </si>
  <si>
    <t>Prob</t>
  </si>
  <si>
    <t>Weight</t>
  </si>
  <si>
    <t>Weight*|Error|</t>
  </si>
  <si>
    <t>FC.Stdev</t>
  </si>
  <si>
    <t>Residual</t>
  </si>
  <si>
    <t>Term inside[]</t>
  </si>
  <si>
    <t>Stdev*Term</t>
  </si>
  <si>
    <t>(y-mu)/sigma</t>
  </si>
  <si>
    <t>(y-mu)/(sigma*sqrt(2))</t>
  </si>
  <si>
    <t>(y-mu)^2/(2*sigma^2)</t>
  </si>
  <si>
    <t>ERF</t>
  </si>
  <si>
    <t>Term inside []</t>
  </si>
  <si>
    <t>sigma*Term</t>
  </si>
  <si>
    <t>&gt;=</t>
  </si>
  <si>
    <t>E[Lost sales]</t>
  </si>
  <si>
    <t>Quantile</t>
  </si>
  <si>
    <t>Year</t>
  </si>
  <si>
    <t>Fitted (Mean method)</t>
  </si>
  <si>
    <t>Point FC</t>
  </si>
  <si>
    <t>h-step stdev</t>
  </si>
  <si>
    <t>Quantile FC</t>
  </si>
  <si>
    <t>1{Actual &lt; FC}</t>
  </si>
  <si>
    <t>Wgt</t>
  </si>
  <si>
    <t>FC based on Mean method</t>
  </si>
  <si>
    <t>FC based on Mean method on Train</t>
  </si>
  <si>
    <t>T</t>
  </si>
  <si>
    <t>No of observations in Train</t>
  </si>
  <si>
    <t xml:space="preserve">Residual sum of of squares (RSS) </t>
  </si>
  <si>
    <r>
      <rPr>
        <sz val="11"/>
        <color theme="1"/>
        <rFont val="Aptos Narrow"/>
        <family val="2"/>
        <scheme val="minor"/>
      </rPr>
      <t>Residual variance</t>
    </r>
    <r>
      <rPr>
        <sz val="11"/>
        <color theme="1"/>
        <rFont val="Symbol"/>
        <family val="1"/>
        <charset val="2"/>
      </rPr>
      <t xml:space="preserve"> s</t>
    </r>
    <r>
      <rPr>
        <vertAlign val="superscript"/>
        <sz val="11"/>
        <color theme="1"/>
        <rFont val="Symbol"/>
        <family val="1"/>
        <charset val="2"/>
      </rPr>
      <t>2</t>
    </r>
  </si>
  <si>
    <r>
      <rPr>
        <sz val="11"/>
        <color theme="1"/>
        <rFont val="Aptos Narrow"/>
        <family val="2"/>
        <scheme val="minor"/>
      </rPr>
      <t>Residual stdev</t>
    </r>
    <r>
      <rPr>
        <sz val="11"/>
        <color theme="1"/>
        <rFont val="Symbol"/>
        <family val="1"/>
        <charset val="2"/>
      </rPr>
      <t xml:space="preserve"> s</t>
    </r>
  </si>
  <si>
    <t>h-step FC variance</t>
  </si>
  <si>
    <t>h-step FC stdev</t>
  </si>
  <si>
    <t>Intercept</t>
  </si>
  <si>
    <t>a</t>
  </si>
  <si>
    <t>slope</t>
  </si>
  <si>
    <t>b</t>
  </si>
  <si>
    <t>OLS: Quadratic loss function</t>
  </si>
  <si>
    <t>Quantile Reg: Pinball loss function</t>
  </si>
  <si>
    <t>quantile p=</t>
  </si>
  <si>
    <t>x</t>
  </si>
  <si>
    <t>y</t>
  </si>
  <si>
    <t>FC</t>
  </si>
  <si>
    <t>Error</t>
  </si>
  <si>
    <t>u+</t>
  </si>
  <si>
    <t>u-</t>
  </si>
  <si>
    <t>u+-u-</t>
  </si>
  <si>
    <t>=</t>
  </si>
  <si>
    <t>x (time)</t>
  </si>
  <si>
    <t>y (DemandFan)</t>
  </si>
  <si>
    <t xml:space="preserve">Quantile FC at time </t>
  </si>
  <si>
    <t>is</t>
  </si>
  <si>
    <t>p</t>
  </si>
  <si>
    <t>p quantile FC</t>
  </si>
  <si>
    <t>NORM.DIST(B5,B2,B3,TRUE)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</si>
</sst>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"/>
    <numFmt numFmtId="166" formatCode="0.000"/>
    <numFmt numFmtId="167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sz val="11"/>
      <color theme="1"/>
      <name val="Symbol"/>
      <family val="2"/>
      <charset val="2"/>
    </font>
    <font>
      <sz val="11"/>
      <color theme="1"/>
      <name val="Symbol"/>
      <family val="1"/>
      <charset val="2"/>
    </font>
    <font>
      <vertAlign val="superscript"/>
      <sz val="11"/>
      <color theme="1"/>
      <name val="Symbol"/>
      <family val="1"/>
      <charset val="2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4"/>
      <color rgb="FF000000"/>
      <name val="Calibri"/>
      <family val="2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8" fillId="3" borderId="2" applyNumberFormat="0" applyAlignment="0" applyProtection="0"/>
    <xf numFmtId="0" fontId="9" fillId="4" borderId="3" applyNumberFormat="0" applyAlignment="0" applyProtection="0"/>
  </cellStyleXfs>
  <cellXfs count="26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1" xfId="2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2" borderId="0" xfId="0" applyFill="1"/>
    <xf numFmtId="10" fontId="0" fillId="0" borderId="0" xfId="1" applyNumberFormat="1" applyFont="1"/>
    <xf numFmtId="167" fontId="0" fillId="0" borderId="0" xfId="0" applyNumberFormat="1"/>
    <xf numFmtId="0" fontId="5" fillId="0" borderId="0" xfId="0" applyFont="1"/>
    <xf numFmtId="1" fontId="0" fillId="0" borderId="0" xfId="0" applyNumberFormat="1"/>
    <xf numFmtId="0" fontId="10" fillId="0" borderId="0" xfId="0" applyFont="1" applyAlignment="1">
      <alignment horizontal="center" wrapText="1" readingOrder="1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7" fontId="0" fillId="2" borderId="0" xfId="0" applyNumberFormat="1" applyFill="1"/>
    <xf numFmtId="0" fontId="0" fillId="0" borderId="0" xfId="0" quotePrefix="1"/>
    <xf numFmtId="0" fontId="8" fillId="3" borderId="2" xfId="3"/>
    <xf numFmtId="0" fontId="0" fillId="0" borderId="0" xfId="0" applyAlignment="1">
      <alignment horizontal="right"/>
    </xf>
    <xf numFmtId="0" fontId="9" fillId="4" borderId="3" xfId="4"/>
    <xf numFmtId="4" fontId="0" fillId="0" borderId="0" xfId="0" applyNumberFormat="1"/>
    <xf numFmtId="0" fontId="0" fillId="5" borderId="0" xfId="0" applyFill="1"/>
    <xf numFmtId="0" fontId="11" fillId="0" borderId="0" xfId="0" applyFont="1"/>
  </cellXfs>
  <cellStyles count="5">
    <cellStyle name="Heading 1" xfId="2" builtinId="16"/>
    <cellStyle name="Input" xfId="3" builtinId="20"/>
    <cellStyle name="Normal" xfId="0" builtinId="0"/>
    <cellStyle name="Output" xfId="4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quantileRegFanEx!$C$7</c:f>
              <c:strCache>
                <c:ptCount val="1"/>
                <c:pt idx="0">
                  <c:v>y (DemandFan)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quantileRegFanEx!$B$8:$B$17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quantileRegFanEx!$C$8:$C$17</c:f>
              <c:numCache>
                <c:formatCode>General</c:formatCode>
                <c:ptCount val="10"/>
                <c:pt idx="0">
                  <c:v>30</c:v>
                </c:pt>
                <c:pt idx="1">
                  <c:v>50</c:v>
                </c:pt>
                <c:pt idx="2">
                  <c:v>30</c:v>
                </c:pt>
                <c:pt idx="3">
                  <c:v>60</c:v>
                </c:pt>
                <c:pt idx="4">
                  <c:v>10</c:v>
                </c:pt>
                <c:pt idx="5">
                  <c:v>40</c:v>
                </c:pt>
                <c:pt idx="6">
                  <c:v>30</c:v>
                </c:pt>
                <c:pt idx="7">
                  <c:v>30</c:v>
                </c:pt>
                <c:pt idx="8">
                  <c:v>20</c:v>
                </c:pt>
                <c:pt idx="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9-44E3-8CF2-DFEC74DED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111919"/>
        <c:axId val="640112399"/>
      </c:scatterChart>
      <c:valAx>
        <c:axId val="64011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12399"/>
        <c:crosses val="autoZero"/>
        <c:crossBetween val="midCat"/>
        <c:majorUnit val="1"/>
        <c:minorUnit val="0.5"/>
      </c:valAx>
      <c:valAx>
        <c:axId val="6401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1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PIT</a:t>
          </a:r>
        </a:p>
      </cx:txPr>
    </cx:title>
    <cx:plotArea>
      <cx:plotAreaRegion>
        <cx:series layoutId="clusteredColumn" uniqueId="{9D55C86B-3A24-4F87-A65E-31A4A84E9CD5}">
          <cx:tx>
            <cx:txData>
              <cx:f>_xlchart.v1.0</cx:f>
              <cx:v>PIT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301625</xdr:colOff>
      <xdr:row>8</xdr:row>
      <xdr:rowOff>130175</xdr:rowOff>
    </xdr:from>
    <xdr:to>
      <xdr:col>6</xdr:col>
      <xdr:colOff>425911</xdr:colOff>
      <xdr:row>12</xdr:row>
      <xdr:rowOff>9609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92A16-58E3-1716-8DE3-FE9E918F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4325" y="1577975"/>
          <a:ext cx="3305636" cy="600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454025</xdr:colOff>
      <xdr:row>0</xdr:row>
      <xdr:rowOff>134937</xdr:rowOff>
    </xdr:from>
    <xdr:to>
      <xdr:col>21</xdr:col>
      <xdr:colOff>152400</xdr:colOff>
      <xdr:row>13</xdr:row>
      <xdr:rowOff>188912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46B88-B065-CFD5-F80F-7331CC01F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330200</xdr:colOff>
      <xdr:row>0</xdr:row>
      <xdr:rowOff>87312</xdr:rowOff>
    </xdr:from>
    <xdr:to>
      <xdr:col>22</xdr:col>
      <xdr:colOff>25400</xdr:colOff>
      <xdr:row>15</xdr:row>
      <xdr:rowOff>106362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B40D46-0BF2-B5FB-D359-66E19584FF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50475" y="87312"/>
              <a:ext cx="51816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F45-35CA-40A1-939D-BA6B7B33FACD}">
  <dimension ref="A1:T34"/>
  <sheetViews>
    <sheetView tabSelected="1" zoomScale="120" zoomScaleNormal="120" workbookViewId="0">
      <selection activeCell="F8" sqref="F8"/>
    </sheetView>
  </sheetViews>
  <sheetFormatPr defaultRowHeight="14.25"/>
  <cols>
    <col min="1" max="1" width="27.875" bestFit="1" customWidth="1"/>
    <col min="5" max="6" width="14" bestFit="1" customWidth="1"/>
    <col min="14" max="14" width="27.25" bestFit="1" customWidth="1"/>
  </cols>
  <sheetData>
    <row r="1" spans="1:20">
      <c r="A1" t="s">
        <v>10</v>
      </c>
      <c r="N1" t="s">
        <v>10</v>
      </c>
    </row>
    <row r="2" spans="1:20">
      <c r="A2" t="s">
        <v>15</v>
      </c>
      <c r="B2">
        <v>100</v>
      </c>
      <c r="N2" t="s">
        <v>15</v>
      </c>
      <c r="O2">
        <v>2360</v>
      </c>
    </row>
    <row r="3" spans="1:20">
      <c r="A3" t="s">
        <v>8</v>
      </c>
      <c r="B3">
        <f>SQRT(D3)</f>
        <v>12</v>
      </c>
      <c r="C3" t="s">
        <v>9</v>
      </c>
      <c r="D3">
        <v>144</v>
      </c>
      <c r="N3" t="s">
        <v>8</v>
      </c>
      <c r="O3">
        <v>260.41919999999999</v>
      </c>
      <c r="P3" t="s">
        <v>9</v>
      </c>
      <c r="Q3">
        <f>6782+13564+20345+27127</f>
        <v>67818</v>
      </c>
    </row>
    <row r="5" spans="1:20">
      <c r="A5" t="s">
        <v>11</v>
      </c>
      <c r="B5" s="24">
        <v>120</v>
      </c>
      <c r="N5" t="s">
        <v>11</v>
      </c>
      <c r="O5" s="10">
        <v>2434.6632690680644</v>
      </c>
    </row>
    <row r="6" spans="1:20">
      <c r="F6" t="s">
        <v>18</v>
      </c>
      <c r="G6" t="s">
        <v>19</v>
      </c>
    </row>
    <row r="7" spans="1:20" ht="15">
      <c r="A7" s="2" t="s">
        <v>16</v>
      </c>
      <c r="B7">
        <f>_xlfn.NORM.DIST(B5,B2,B3,TRUE)</f>
        <v>0.9522096477271853</v>
      </c>
      <c r="C7" s="25" t="s">
        <v>90</v>
      </c>
      <c r="F7">
        <v>0.97</v>
      </c>
      <c r="G7">
        <f>_xlfn.NORM.INV(F7,B2,B3)</f>
        <v>122.56952329781501</v>
      </c>
      <c r="N7" t="s">
        <v>16</v>
      </c>
      <c r="O7">
        <f>_xlfn.NORM.DIST(O5,O2,O3,TRUE)</f>
        <v>0.61283057557462195</v>
      </c>
    </row>
    <row r="8" spans="1:20">
      <c r="T8" s="11">
        <f>O13</f>
        <v>0.96999935679081284</v>
      </c>
    </row>
    <row r="9" spans="1:20">
      <c r="A9" t="s">
        <v>12</v>
      </c>
      <c r="B9">
        <f>(B5-B2)/B3</f>
        <v>1.6666666666666667</v>
      </c>
      <c r="N9" t="s">
        <v>12</v>
      </c>
      <c r="O9">
        <f>(O5-O2)/O3</f>
        <v>0.28670416416325845</v>
      </c>
      <c r="S9">
        <v>2430</v>
      </c>
      <c r="T9" s="11">
        <f t="dataTable" ref="T9:T16" dt2D="0" dtr="0" r1="O5"/>
        <v>0.96922753978957377</v>
      </c>
    </row>
    <row r="10" spans="1:20">
      <c r="A10" t="s">
        <v>13</v>
      </c>
      <c r="B10">
        <f>_xlfn.NORM.S.DIST(B9,FALSE)-B9*(1-_xlfn.NORM.S.DIST(B9,TRUE))</f>
        <v>1.9826551671390844E-2</v>
      </c>
      <c r="N10" t="s">
        <v>13</v>
      </c>
      <c r="O10">
        <f>_xlfn.NORM.S.DIST(O9,FALSE)-O9*(1-_xlfn.NORM.S.DIST(O9,TRUE))</f>
        <v>0.27187518421714618</v>
      </c>
      <c r="S10">
        <v>2431</v>
      </c>
      <c r="T10" s="11">
        <v>0.96939419414271888</v>
      </c>
    </row>
    <row r="11" spans="1:20">
      <c r="A11" t="s">
        <v>51</v>
      </c>
      <c r="B11">
        <f>B3*B10</f>
        <v>0.23791862005669012</v>
      </c>
      <c r="N11" t="s">
        <v>51</v>
      </c>
      <c r="O11">
        <f>O3*O10</f>
        <v>70.801517973681825</v>
      </c>
      <c r="S11">
        <v>2432</v>
      </c>
      <c r="T11" s="11">
        <v>0.9695602230585757</v>
      </c>
    </row>
    <row r="12" spans="1:20">
      <c r="A12" t="s">
        <v>14</v>
      </c>
      <c r="B12">
        <f>B2-B11</f>
        <v>99.762081379943311</v>
      </c>
      <c r="N12" t="s">
        <v>14</v>
      </c>
      <c r="O12">
        <f>O2-O11</f>
        <v>2289.1984820263183</v>
      </c>
      <c r="S12">
        <v>2433</v>
      </c>
      <c r="T12" s="11">
        <v>0.96972562719618727</v>
      </c>
    </row>
    <row r="13" spans="1:20" ht="15">
      <c r="A13" s="2" t="s">
        <v>17</v>
      </c>
      <c r="B13">
        <f>B12/B2</f>
        <v>0.99762081379943313</v>
      </c>
      <c r="N13" s="2" t="s">
        <v>17</v>
      </c>
      <c r="O13">
        <f>O12/O2</f>
        <v>0.96999935679081284</v>
      </c>
      <c r="P13" t="s">
        <v>50</v>
      </c>
      <c r="Q13">
        <v>0.97</v>
      </c>
      <c r="S13">
        <v>2434</v>
      </c>
      <c r="T13" s="11">
        <v>0.96989040722310516</v>
      </c>
    </row>
    <row r="14" spans="1:20">
      <c r="S14">
        <v>2435</v>
      </c>
      <c r="T14" s="11">
        <v>0.97005456381536048</v>
      </c>
    </row>
    <row r="15" spans="1:20">
      <c r="S15">
        <v>2436</v>
      </c>
      <c r="T15" s="11">
        <v>0.97021809765743416</v>
      </c>
    </row>
    <row r="16" spans="1:20">
      <c r="S16">
        <v>2437</v>
      </c>
      <c r="T16" s="11">
        <v>0.97038100944222894</v>
      </c>
    </row>
    <row r="19" spans="10:12">
      <c r="L19" s="9"/>
    </row>
    <row r="29" spans="10:12" ht="15">
      <c r="J29" s="2"/>
    </row>
    <row r="34" spans="10:10" ht="15">
      <c r="J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3E4F-7698-4979-BB74-B04465798D80}">
  <dimension ref="A1:BA14"/>
  <sheetViews>
    <sheetView workbookViewId="0">
      <selection activeCell="L20" sqref="L20"/>
    </sheetView>
  </sheetViews>
  <sheetFormatPr defaultRowHeight="14.25"/>
  <cols>
    <col min="4" max="4" width="10.125" bestFit="1" customWidth="1"/>
    <col min="5" max="5" width="9.5" customWidth="1"/>
    <col min="11" max="11" width="13.375" bestFit="1" customWidth="1"/>
    <col min="13" max="13" width="10.125" bestFit="1" customWidth="1"/>
    <col min="17" max="17" width="12.25" bestFit="1" customWidth="1"/>
    <col min="20" max="20" width="7.125" bestFit="1" customWidth="1"/>
    <col min="21" max="21" width="14.125" bestFit="1" customWidth="1"/>
    <col min="22" max="22" width="10.125" bestFit="1" customWidth="1"/>
    <col min="27" max="27" width="10.125" bestFit="1" customWidth="1"/>
    <col min="33" max="33" width="12.5" bestFit="1" customWidth="1"/>
    <col min="34" max="34" width="12.25" bestFit="1" customWidth="1"/>
    <col min="35" max="35" width="19.75" bestFit="1" customWidth="1"/>
    <col min="37" max="37" width="12.875" bestFit="1" customWidth="1"/>
    <col min="38" max="38" width="11.875" bestFit="1" customWidth="1"/>
    <col min="40" max="53" width="0" hidden="1" customWidth="1"/>
  </cols>
  <sheetData>
    <row r="1" spans="1:53" ht="20.25" thickBot="1">
      <c r="A1" s="3" t="s">
        <v>20</v>
      </c>
      <c r="I1" s="3" t="s">
        <v>27</v>
      </c>
      <c r="W1" s="3" t="s">
        <v>28</v>
      </c>
    </row>
    <row r="2" spans="1:53" ht="43.5" thickTop="1">
      <c r="B2" t="s">
        <v>21</v>
      </c>
      <c r="C2" t="s">
        <v>22</v>
      </c>
      <c r="D2" t="s">
        <v>23</v>
      </c>
      <c r="E2" s="4" t="s">
        <v>24</v>
      </c>
      <c r="K2" t="s">
        <v>29</v>
      </c>
      <c r="L2" s="6">
        <v>45</v>
      </c>
    </row>
    <row r="3" spans="1:53">
      <c r="B3" t="s">
        <v>25</v>
      </c>
      <c r="C3">
        <v>1</v>
      </c>
      <c r="D3" s="5">
        <v>36892</v>
      </c>
      <c r="E3">
        <v>190</v>
      </c>
    </row>
    <row r="4" spans="1:53">
      <c r="B4" t="s">
        <v>25</v>
      </c>
      <c r="C4">
        <v>2</v>
      </c>
      <c r="D4" s="5">
        <v>36982</v>
      </c>
      <c r="E4">
        <v>260</v>
      </c>
      <c r="K4" t="s">
        <v>30</v>
      </c>
      <c r="L4">
        <v>0.55000000000000004</v>
      </c>
    </row>
    <row r="5" spans="1:53">
      <c r="B5" t="s">
        <v>25</v>
      </c>
      <c r="C5">
        <v>3</v>
      </c>
      <c r="D5" s="5">
        <v>37073</v>
      </c>
      <c r="E5">
        <v>330</v>
      </c>
      <c r="K5" t="s">
        <v>27</v>
      </c>
      <c r="L5" s="6">
        <f>AVERAGE(U8:U11)</f>
        <v>53.207710243180472</v>
      </c>
      <c r="Y5" t="s">
        <v>31</v>
      </c>
      <c r="Z5" s="7">
        <f>AVERAGE(AI8:AI11)</f>
        <v>41.949116298105743</v>
      </c>
      <c r="AN5" t="s">
        <v>31</v>
      </c>
      <c r="AO5" s="7">
        <f>AVERAGE(BA8:BA11)</f>
        <v>41.949116298105743</v>
      </c>
    </row>
    <row r="6" spans="1:53">
      <c r="B6" t="s">
        <v>25</v>
      </c>
      <c r="C6">
        <v>4</v>
      </c>
      <c r="D6" s="5">
        <v>37165</v>
      </c>
      <c r="E6">
        <v>480</v>
      </c>
      <c r="L6" s="6"/>
    </row>
    <row r="7" spans="1:53">
      <c r="B7" t="s">
        <v>25</v>
      </c>
      <c r="C7">
        <v>5</v>
      </c>
      <c r="D7" s="5">
        <v>37257</v>
      </c>
      <c r="E7">
        <v>570</v>
      </c>
      <c r="K7" t="s">
        <v>21</v>
      </c>
      <c r="L7" s="8" t="s">
        <v>22</v>
      </c>
      <c r="M7" t="s">
        <v>23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Y7" t="s">
        <v>21</v>
      </c>
      <c r="Z7" s="8" t="s">
        <v>22</v>
      </c>
      <c r="AA7" t="s">
        <v>23</v>
      </c>
      <c r="AB7" t="s">
        <v>32</v>
      </c>
      <c r="AC7" t="s">
        <v>33</v>
      </c>
      <c r="AD7" t="s">
        <v>34</v>
      </c>
      <c r="AE7" t="s">
        <v>40</v>
      </c>
      <c r="AF7" t="s">
        <v>41</v>
      </c>
      <c r="AG7" t="s">
        <v>12</v>
      </c>
      <c r="AH7" t="s">
        <v>42</v>
      </c>
      <c r="AI7" t="s">
        <v>43</v>
      </c>
      <c r="AN7" t="s">
        <v>21</v>
      </c>
      <c r="AO7" s="8" t="s">
        <v>22</v>
      </c>
      <c r="AP7" t="s">
        <v>23</v>
      </c>
      <c r="AQ7" t="s">
        <v>32</v>
      </c>
      <c r="AR7" t="s">
        <v>33</v>
      </c>
      <c r="AS7" t="s">
        <v>34</v>
      </c>
      <c r="AT7" t="s">
        <v>40</v>
      </c>
      <c r="AU7" t="s">
        <v>41</v>
      </c>
      <c r="AV7" t="s">
        <v>44</v>
      </c>
      <c r="AW7" t="s">
        <v>45</v>
      </c>
      <c r="AX7" t="s">
        <v>46</v>
      </c>
      <c r="AY7" t="s">
        <v>47</v>
      </c>
      <c r="AZ7" t="s">
        <v>48</v>
      </c>
      <c r="BA7" t="s">
        <v>49</v>
      </c>
    </row>
    <row r="8" spans="1:53">
      <c r="B8" t="s">
        <v>25</v>
      </c>
      <c r="C8">
        <v>6</v>
      </c>
      <c r="D8" s="5">
        <v>37347</v>
      </c>
      <c r="E8">
        <v>710</v>
      </c>
      <c r="K8" t="s">
        <v>26</v>
      </c>
      <c r="L8" s="8">
        <v>9</v>
      </c>
      <c r="M8" s="5">
        <v>37622</v>
      </c>
      <c r="N8">
        <v>730</v>
      </c>
      <c r="O8">
        <v>690</v>
      </c>
      <c r="P8">
        <v>9314</v>
      </c>
      <c r="Q8" s="7">
        <f>_xlfn.NORM.INV($L$4,O8,SQRT(P8))</f>
        <v>702.1274593343461</v>
      </c>
      <c r="R8" s="7">
        <f>ABS(N8-Q8)</f>
        <v>27.872540665653901</v>
      </c>
      <c r="S8">
        <f>IF(N8&gt;=Q8,$L$4,1-$L$4)</f>
        <v>0.55000000000000004</v>
      </c>
      <c r="T8">
        <f t="shared" ref="T8:T11" si="0">2*S8</f>
        <v>1.1000000000000001</v>
      </c>
      <c r="U8" s="7">
        <f>T8*R8</f>
        <v>30.659794732219293</v>
      </c>
      <c r="Y8" t="s">
        <v>26</v>
      </c>
      <c r="Z8" s="8">
        <v>9</v>
      </c>
      <c r="AA8" s="5">
        <v>37622</v>
      </c>
      <c r="AB8">
        <v>730</v>
      </c>
      <c r="AC8">
        <v>690</v>
      </c>
      <c r="AD8">
        <v>9314</v>
      </c>
      <c r="AE8" s="7">
        <f>SQRT(AD8)</f>
        <v>96.509066931558294</v>
      </c>
      <c r="AF8">
        <f>AB8-AC8</f>
        <v>40</v>
      </c>
      <c r="AG8">
        <f>AF8/AE8</f>
        <v>0.41446882942477264</v>
      </c>
      <c r="AH8">
        <f>AG8*(2*_xlfn.NORM.S.DIST(AG8,TRUE)-1)+2*_xlfn.NORM.S.DIST(AG8,FALSE)-1/SQRT(PI())</f>
        <v>0.30126257808421364</v>
      </c>
      <c r="AI8" s="7">
        <f>AE8*AH8</f>
        <v>29.07457031230318</v>
      </c>
      <c r="AL8" s="7"/>
      <c r="AN8" t="s">
        <v>26</v>
      </c>
      <c r="AO8" s="8">
        <v>9</v>
      </c>
      <c r="AP8" s="5">
        <v>37622</v>
      </c>
      <c r="AQ8">
        <v>730</v>
      </c>
      <c r="AR8">
        <v>690</v>
      </c>
      <c r="AS8">
        <v>9314</v>
      </c>
      <c r="AT8" s="7">
        <f>SQRT(AS8)</f>
        <v>96.509066931558294</v>
      </c>
      <c r="AU8">
        <f>AQ8-AR8</f>
        <v>40</v>
      </c>
      <c r="AV8">
        <f>AU8/AT8</f>
        <v>0.41446882942477264</v>
      </c>
      <c r="AW8">
        <f>AV8/SQRT(2)</f>
        <v>0.29307371987670716</v>
      </c>
      <c r="AX8">
        <f>AW8^2</f>
        <v>8.5892205282370612E-2</v>
      </c>
      <c r="AY8">
        <f>ERF(AW8)</f>
        <v>0.32146920959988995</v>
      </c>
      <c r="AZ8">
        <f>AV8*AY8+SQRT(2/PI())*EXP(-AX8)-1/SQRT(PI())</f>
        <v>0.30126257808421364</v>
      </c>
      <c r="BA8" s="7">
        <f>AZ8*AT8</f>
        <v>29.07457031230318</v>
      </c>
    </row>
    <row r="9" spans="1:53">
      <c r="B9" t="s">
        <v>25</v>
      </c>
      <c r="C9">
        <v>7</v>
      </c>
      <c r="D9" s="5">
        <v>37438</v>
      </c>
      <c r="E9">
        <v>650</v>
      </c>
      <c r="K9" t="s">
        <v>26</v>
      </c>
      <c r="L9" s="8">
        <v>10</v>
      </c>
      <c r="M9" s="5">
        <v>37712</v>
      </c>
      <c r="N9">
        <v>680</v>
      </c>
      <c r="O9">
        <v>690</v>
      </c>
      <c r="P9">
        <v>18629</v>
      </c>
      <c r="Q9" s="7">
        <f t="shared" ref="Q9:Q11" si="1">_xlfn.NORM.INV($L$4,O9,SQRT(P9))</f>
        <v>707.15127781206206</v>
      </c>
      <c r="R9" s="7">
        <f t="shared" ref="R9:R11" si="2">ABS(N9-Q9)</f>
        <v>27.151277812062062</v>
      </c>
      <c r="S9">
        <f t="shared" ref="S9:S11" si="3">IF(N9&gt;=Q9,$L$4,1-$L$4)</f>
        <v>0.44999999999999996</v>
      </c>
      <c r="T9">
        <f t="shared" si="0"/>
        <v>0.89999999999999991</v>
      </c>
      <c r="U9" s="7">
        <f t="shared" ref="U9:U11" si="4">T9*R9</f>
        <v>24.436150030855853</v>
      </c>
      <c r="Y9" t="s">
        <v>26</v>
      </c>
      <c r="Z9" s="8">
        <v>10</v>
      </c>
      <c r="AA9" s="5">
        <v>37712</v>
      </c>
      <c r="AB9">
        <v>680</v>
      </c>
      <c r="AC9">
        <v>690</v>
      </c>
      <c r="AD9">
        <v>18629</v>
      </c>
      <c r="AE9" s="7">
        <f t="shared" ref="AE9:AE11" si="5">SQRT(AD9)</f>
        <v>136.48809471891678</v>
      </c>
      <c r="AF9">
        <f>AB9-AC9</f>
        <v>-10</v>
      </c>
      <c r="AG9">
        <f t="shared" ref="AG9:AG11" si="6">AF9/AE9</f>
        <v>-7.3266463427407155E-2</v>
      </c>
      <c r="AH9">
        <f t="shared" ref="AH9:AH11" si="7">AG9*(2*_xlfn.NORM.S.DIST(AG9,TRUE)-1)+2*_xlfn.NORM.S.DIST(AG9,FALSE)-1/SQRT(PI())</f>
        <v>0.23583553185715045</v>
      </c>
      <c r="AI9" s="7">
        <f t="shared" ref="AI9:AI11" si="8">AE9*AH9</f>
        <v>32.188742410204867</v>
      </c>
      <c r="AL9" s="7"/>
      <c r="AN9" t="s">
        <v>26</v>
      </c>
      <c r="AO9" s="8">
        <v>10</v>
      </c>
      <c r="AP9" s="5">
        <v>37712</v>
      </c>
      <c r="AQ9">
        <v>680</v>
      </c>
      <c r="AR9">
        <v>690</v>
      </c>
      <c r="AS9">
        <v>18629</v>
      </c>
      <c r="AT9" s="7">
        <f t="shared" ref="AT9:AT11" si="9">SQRT(AS9)</f>
        <v>136.48809471891678</v>
      </c>
      <c r="AU9">
        <f>AQ9-AR9</f>
        <v>-10</v>
      </c>
      <c r="AV9">
        <f t="shared" ref="AV9:AV11" si="10">AU9/AT9</f>
        <v>-7.3266463427407155E-2</v>
      </c>
      <c r="AW9">
        <f t="shared" ref="AW9:AW11" si="11">AV9/SQRT(2)</f>
        <v>-5.1807213123075777E-2</v>
      </c>
      <c r="AX9">
        <f t="shared" ref="AX9:AX11" si="12">AW9^2</f>
        <v>2.683987331579795E-3</v>
      </c>
      <c r="AY9">
        <f t="shared" ref="AY9:AY11" si="13">ERF(AW9)</f>
        <v>-5.8405921740315607E-2</v>
      </c>
      <c r="AZ9">
        <f t="shared" ref="AZ9:AZ11" si="14">AV9*AY9+SQRT(2/PI())*EXP(-AX9)-1/SQRT(PI())</f>
        <v>0.23583553185715045</v>
      </c>
      <c r="BA9" s="7">
        <f t="shared" ref="BA9:BA11" si="15">AZ9*AT9</f>
        <v>32.188742410204867</v>
      </c>
    </row>
    <row r="10" spans="1:53">
      <c r="B10" t="s">
        <v>25</v>
      </c>
      <c r="C10">
        <v>8</v>
      </c>
      <c r="D10" s="5">
        <v>37530</v>
      </c>
      <c r="E10">
        <v>690</v>
      </c>
      <c r="K10" t="s">
        <v>26</v>
      </c>
      <c r="L10" s="8">
        <v>11</v>
      </c>
      <c r="M10" s="5">
        <v>37803</v>
      </c>
      <c r="N10">
        <v>660</v>
      </c>
      <c r="O10">
        <v>690</v>
      </c>
      <c r="P10">
        <v>27943</v>
      </c>
      <c r="Q10" s="7">
        <f t="shared" si="1"/>
        <v>711.00575160504263</v>
      </c>
      <c r="R10" s="7">
        <f t="shared" si="2"/>
        <v>51.005751605042633</v>
      </c>
      <c r="S10">
        <f t="shared" si="3"/>
        <v>0.44999999999999996</v>
      </c>
      <c r="T10">
        <f t="shared" si="0"/>
        <v>0.89999999999999991</v>
      </c>
      <c r="U10" s="7">
        <f t="shared" si="4"/>
        <v>45.905176444538363</v>
      </c>
      <c r="Y10" t="s">
        <v>26</v>
      </c>
      <c r="Z10" s="8">
        <v>11</v>
      </c>
      <c r="AA10" s="5">
        <v>37803</v>
      </c>
      <c r="AB10">
        <v>660</v>
      </c>
      <c r="AC10">
        <v>690</v>
      </c>
      <c r="AD10">
        <v>27943</v>
      </c>
      <c r="AE10" s="7">
        <f t="shared" si="5"/>
        <v>167.16159846089053</v>
      </c>
      <c r="AF10">
        <f>AB10-AC10</f>
        <v>-30</v>
      </c>
      <c r="AG10">
        <f t="shared" si="6"/>
        <v>-0.17946705628696691</v>
      </c>
      <c r="AH10">
        <f t="shared" si="7"/>
        <v>0.24650990227061176</v>
      </c>
      <c r="AI10" s="7">
        <f t="shared" si="8"/>
        <v>41.206989299993367</v>
      </c>
      <c r="AL10" s="7"/>
      <c r="AN10" t="s">
        <v>26</v>
      </c>
      <c r="AO10" s="8">
        <v>11</v>
      </c>
      <c r="AP10" s="5">
        <v>37803</v>
      </c>
      <c r="AQ10">
        <v>660</v>
      </c>
      <c r="AR10">
        <v>690</v>
      </c>
      <c r="AS10">
        <v>27943</v>
      </c>
      <c r="AT10" s="7">
        <f t="shared" si="9"/>
        <v>167.16159846089053</v>
      </c>
      <c r="AU10">
        <f>AQ10-AR10</f>
        <v>-30</v>
      </c>
      <c r="AV10">
        <f t="shared" si="10"/>
        <v>-0.17946705628696691</v>
      </c>
      <c r="AW10">
        <f t="shared" si="11"/>
        <v>-0.12690237250010211</v>
      </c>
      <c r="AX10">
        <f t="shared" si="12"/>
        <v>1.6104212146154671E-2</v>
      </c>
      <c r="AY10">
        <f t="shared" si="13"/>
        <v>-0.14242901738051544</v>
      </c>
      <c r="AZ10">
        <f t="shared" si="14"/>
        <v>0.24650990227061176</v>
      </c>
      <c r="BA10" s="7">
        <f t="shared" si="15"/>
        <v>41.206989299993367</v>
      </c>
    </row>
    <row r="11" spans="1:53">
      <c r="B11" t="s">
        <v>26</v>
      </c>
      <c r="C11">
        <v>9</v>
      </c>
      <c r="D11" s="5">
        <v>37622</v>
      </c>
      <c r="E11">
        <v>730</v>
      </c>
      <c r="K11" t="s">
        <v>26</v>
      </c>
      <c r="L11" s="8">
        <v>12</v>
      </c>
      <c r="M11" s="5">
        <v>37895</v>
      </c>
      <c r="N11">
        <v>590</v>
      </c>
      <c r="O11">
        <v>690</v>
      </c>
      <c r="P11">
        <v>37257</v>
      </c>
      <c r="Q11" s="7">
        <f t="shared" si="1"/>
        <v>714.25524418345378</v>
      </c>
      <c r="R11" s="7">
        <f t="shared" si="2"/>
        <v>124.25524418345378</v>
      </c>
      <c r="S11">
        <f t="shared" si="3"/>
        <v>0.44999999999999996</v>
      </c>
      <c r="T11">
        <f t="shared" si="0"/>
        <v>0.89999999999999991</v>
      </c>
      <c r="U11" s="7">
        <f t="shared" si="4"/>
        <v>111.82971976510839</v>
      </c>
      <c r="Y11" t="s">
        <v>26</v>
      </c>
      <c r="Z11" s="8">
        <v>12</v>
      </c>
      <c r="AA11" s="5">
        <v>37895</v>
      </c>
      <c r="AB11">
        <v>590</v>
      </c>
      <c r="AC11">
        <v>690</v>
      </c>
      <c r="AD11">
        <v>37257</v>
      </c>
      <c r="AE11" s="7">
        <f t="shared" si="5"/>
        <v>193.0207242759181</v>
      </c>
      <c r="AF11">
        <f>AB11-AC11</f>
        <v>-100</v>
      </c>
      <c r="AG11">
        <f t="shared" si="6"/>
        <v>-0.51807908386589929</v>
      </c>
      <c r="AH11">
        <f t="shared" si="7"/>
        <v>0.33844118767547215</v>
      </c>
      <c r="AI11" s="7">
        <f t="shared" si="8"/>
        <v>65.326163169921557</v>
      </c>
      <c r="AL11" s="7"/>
      <c r="AN11" t="s">
        <v>26</v>
      </c>
      <c r="AO11" s="8">
        <v>12</v>
      </c>
      <c r="AP11" s="5">
        <v>37895</v>
      </c>
      <c r="AQ11">
        <v>590</v>
      </c>
      <c r="AR11">
        <v>690</v>
      </c>
      <c r="AS11">
        <v>37257</v>
      </c>
      <c r="AT11" s="7">
        <f t="shared" si="9"/>
        <v>193.0207242759181</v>
      </c>
      <c r="AU11">
        <f>AQ11-AR11</f>
        <v>-100</v>
      </c>
      <c r="AV11">
        <f t="shared" si="10"/>
        <v>-0.51807908386589929</v>
      </c>
      <c r="AW11">
        <f t="shared" si="11"/>
        <v>-0.36633723339249141</v>
      </c>
      <c r="AX11">
        <f t="shared" si="12"/>
        <v>0.13420296856966474</v>
      </c>
      <c r="AY11">
        <f t="shared" si="13"/>
        <v>-0.39559690705390094</v>
      </c>
      <c r="AZ11">
        <f t="shared" si="14"/>
        <v>0.33844118767547215</v>
      </c>
      <c r="BA11" s="7">
        <f t="shared" si="15"/>
        <v>65.326163169921557</v>
      </c>
    </row>
    <row r="12" spans="1:53">
      <c r="B12" t="s">
        <v>26</v>
      </c>
      <c r="C12">
        <v>10</v>
      </c>
      <c r="D12" s="5">
        <v>37712</v>
      </c>
      <c r="E12">
        <v>680</v>
      </c>
    </row>
    <row r="13" spans="1:53">
      <c r="B13" t="s">
        <v>26</v>
      </c>
      <c r="C13">
        <v>11</v>
      </c>
      <c r="D13" s="5">
        <v>37803</v>
      </c>
      <c r="E13">
        <v>660</v>
      </c>
    </row>
    <row r="14" spans="1:53">
      <c r="B14" t="s">
        <v>26</v>
      </c>
      <c r="C14">
        <v>12</v>
      </c>
      <c r="D14" s="5">
        <v>37895</v>
      </c>
      <c r="E14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A-09E3-42C8-A215-242161FEB54E}">
  <dimension ref="A1:V23"/>
  <sheetViews>
    <sheetView workbookViewId="0">
      <selection activeCell="A2" sqref="A2:B12"/>
    </sheetView>
  </sheetViews>
  <sheetFormatPr defaultRowHeight="14.25"/>
  <cols>
    <col min="1" max="1" width="5.125" bestFit="1" customWidth="1"/>
    <col min="3" max="3" width="19.375" bestFit="1" customWidth="1"/>
    <col min="4" max="5" width="8" customWidth="1"/>
    <col min="6" max="6" width="28.625" bestFit="1" customWidth="1"/>
    <col min="9" max="9" width="28.625" bestFit="1" customWidth="1"/>
    <col min="11" max="11" width="5.125" bestFit="1" customWidth="1"/>
    <col min="13" max="13" width="19.375" bestFit="1" customWidth="1"/>
    <col min="16" max="16" width="11.125" bestFit="1" customWidth="1"/>
    <col min="17" max="17" width="10.625" bestFit="1" customWidth="1"/>
    <col min="18" max="18" width="12.625" bestFit="1" customWidth="1"/>
    <col min="19" max="19" width="12.625" customWidth="1"/>
    <col min="21" max="21" width="31.125" bestFit="1" customWidth="1"/>
  </cols>
  <sheetData>
    <row r="1" spans="1:22">
      <c r="P1" t="s">
        <v>52</v>
      </c>
      <c r="Q1">
        <v>0.55000000000000004</v>
      </c>
    </row>
    <row r="2" spans="1:22">
      <c r="A2" t="s">
        <v>53</v>
      </c>
      <c r="B2" t="s">
        <v>32</v>
      </c>
      <c r="C2" t="s">
        <v>54</v>
      </c>
      <c r="D2" t="s">
        <v>41</v>
      </c>
      <c r="J2" t="s">
        <v>21</v>
      </c>
      <c r="K2" t="s">
        <v>53</v>
      </c>
      <c r="L2" t="s">
        <v>32</v>
      </c>
      <c r="M2" t="s">
        <v>54</v>
      </c>
      <c r="N2" t="s">
        <v>41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</row>
    <row r="3" spans="1:22">
      <c r="A3">
        <v>2001</v>
      </c>
      <c r="B3">
        <v>30</v>
      </c>
      <c r="C3">
        <f t="shared" ref="C3:C12" si="0">$G$14</f>
        <v>34</v>
      </c>
      <c r="D3">
        <f>B3-C3</f>
        <v>-4</v>
      </c>
      <c r="J3" t="s">
        <v>25</v>
      </c>
      <c r="K3">
        <v>2001</v>
      </c>
      <c r="L3">
        <v>30</v>
      </c>
      <c r="M3" s="6">
        <f t="shared" ref="M3:M9" si="1">$V$14</f>
        <v>35.714285714285715</v>
      </c>
      <c r="N3" s="7">
        <f>M3-L3</f>
        <v>5.7142857142857153</v>
      </c>
    </row>
    <row r="4" spans="1:22">
      <c r="A4">
        <v>2002</v>
      </c>
      <c r="B4">
        <v>50</v>
      </c>
      <c r="C4">
        <f t="shared" si="0"/>
        <v>34</v>
      </c>
      <c r="D4">
        <f t="shared" ref="D4:D12" si="2">B4-C4</f>
        <v>16</v>
      </c>
      <c r="J4" t="s">
        <v>25</v>
      </c>
      <c r="K4">
        <v>2002</v>
      </c>
      <c r="L4">
        <v>50</v>
      </c>
      <c r="M4" s="6">
        <f t="shared" si="1"/>
        <v>35.714285714285715</v>
      </c>
      <c r="N4" s="7">
        <f t="shared" ref="N4:N9" si="3">M4-L4</f>
        <v>-14.285714285714285</v>
      </c>
    </row>
    <row r="5" spans="1:22">
      <c r="A5">
        <v>2003</v>
      </c>
      <c r="B5">
        <v>30</v>
      </c>
      <c r="C5">
        <f t="shared" si="0"/>
        <v>34</v>
      </c>
      <c r="D5">
        <f t="shared" si="2"/>
        <v>-4</v>
      </c>
      <c r="J5" t="s">
        <v>25</v>
      </c>
      <c r="K5">
        <v>2003</v>
      </c>
      <c r="L5">
        <v>30</v>
      </c>
      <c r="M5" s="6">
        <f t="shared" si="1"/>
        <v>35.714285714285715</v>
      </c>
      <c r="N5" s="7">
        <f t="shared" si="3"/>
        <v>5.7142857142857153</v>
      </c>
    </row>
    <row r="6" spans="1:22">
      <c r="A6">
        <v>2004</v>
      </c>
      <c r="B6">
        <v>60</v>
      </c>
      <c r="C6">
        <f t="shared" si="0"/>
        <v>34</v>
      </c>
      <c r="D6">
        <f t="shared" si="2"/>
        <v>26</v>
      </c>
      <c r="J6" t="s">
        <v>25</v>
      </c>
      <c r="K6">
        <v>2004</v>
      </c>
      <c r="L6">
        <v>60</v>
      </c>
      <c r="M6" s="6">
        <f t="shared" si="1"/>
        <v>35.714285714285715</v>
      </c>
      <c r="N6" s="7">
        <f t="shared" si="3"/>
        <v>-24.285714285714285</v>
      </c>
    </row>
    <row r="7" spans="1:22">
      <c r="A7">
        <v>2005</v>
      </c>
      <c r="B7">
        <v>10</v>
      </c>
      <c r="C7">
        <f t="shared" si="0"/>
        <v>34</v>
      </c>
      <c r="D7">
        <f t="shared" si="2"/>
        <v>-24</v>
      </c>
      <c r="J7" t="s">
        <v>25</v>
      </c>
      <c r="K7">
        <v>2005</v>
      </c>
      <c r="L7">
        <v>10</v>
      </c>
      <c r="M7" s="6">
        <f t="shared" si="1"/>
        <v>35.714285714285715</v>
      </c>
      <c r="N7" s="7">
        <f t="shared" si="3"/>
        <v>25.714285714285715</v>
      </c>
    </row>
    <row r="8" spans="1:22">
      <c r="A8">
        <v>2006</v>
      </c>
      <c r="B8">
        <v>40</v>
      </c>
      <c r="C8">
        <f t="shared" si="0"/>
        <v>34</v>
      </c>
      <c r="D8">
        <f t="shared" si="2"/>
        <v>6</v>
      </c>
      <c r="J8" t="s">
        <v>25</v>
      </c>
      <c r="K8">
        <v>2006</v>
      </c>
      <c r="L8">
        <v>40</v>
      </c>
      <c r="M8" s="6">
        <f t="shared" si="1"/>
        <v>35.714285714285715</v>
      </c>
      <c r="N8" s="7">
        <f t="shared" si="3"/>
        <v>-4.2857142857142847</v>
      </c>
    </row>
    <row r="9" spans="1:22">
      <c r="A9">
        <v>2007</v>
      </c>
      <c r="B9">
        <v>30</v>
      </c>
      <c r="C9">
        <f t="shared" si="0"/>
        <v>34</v>
      </c>
      <c r="D9">
        <f t="shared" si="2"/>
        <v>-4</v>
      </c>
      <c r="J9" t="s">
        <v>25</v>
      </c>
      <c r="K9">
        <v>2007</v>
      </c>
      <c r="L9">
        <v>30</v>
      </c>
      <c r="M9" s="6">
        <f t="shared" si="1"/>
        <v>35.714285714285715</v>
      </c>
      <c r="N9" s="7">
        <f t="shared" si="3"/>
        <v>5.7142857142857153</v>
      </c>
    </row>
    <row r="10" spans="1:22">
      <c r="A10">
        <v>2008</v>
      </c>
      <c r="B10">
        <v>30</v>
      </c>
      <c r="C10">
        <f t="shared" si="0"/>
        <v>34</v>
      </c>
      <c r="D10">
        <f t="shared" si="2"/>
        <v>-4</v>
      </c>
      <c r="J10" t="s">
        <v>26</v>
      </c>
      <c r="K10">
        <v>2008</v>
      </c>
      <c r="L10">
        <v>30</v>
      </c>
      <c r="O10" s="6">
        <f>V14</f>
        <v>35.714285714285715</v>
      </c>
      <c r="P10" s="12">
        <f>V20</f>
        <v>17.30085916627138</v>
      </c>
      <c r="Q10" s="6">
        <f>O10+ _xlfn.NORM.S.INV($Q$1)*P10</f>
        <v>37.888334978869331</v>
      </c>
      <c r="R10">
        <f>1*(L10&lt;Q10)</f>
        <v>1</v>
      </c>
      <c r="S10">
        <f>2*$Q$1^R10*(1-$Q$1)^(1-R10)</f>
        <v>1.1000000000000001</v>
      </c>
    </row>
    <row r="11" spans="1:22">
      <c r="A11">
        <v>2009</v>
      </c>
      <c r="B11">
        <v>20</v>
      </c>
      <c r="C11">
        <f t="shared" si="0"/>
        <v>34</v>
      </c>
      <c r="D11">
        <f t="shared" si="2"/>
        <v>-14</v>
      </c>
      <c r="J11" t="s">
        <v>26</v>
      </c>
      <c r="K11">
        <v>2009</v>
      </c>
      <c r="L11">
        <v>20</v>
      </c>
      <c r="O11" s="6">
        <f>O10</f>
        <v>35.714285714285715</v>
      </c>
      <c r="P11" s="12">
        <f>P10</f>
        <v>17.30085916627138</v>
      </c>
      <c r="Q11" s="6">
        <f t="shared" ref="Q11:Q12" si="4">O11+ _xlfn.NORM.S.INV($Q$1)*P11</f>
        <v>37.888334978869331</v>
      </c>
      <c r="R11">
        <f t="shared" ref="R11:R12" si="5">1*(L11&lt;Q11)</f>
        <v>1</v>
      </c>
      <c r="S11">
        <f t="shared" ref="S11:S12" si="6">2*$Q$1^R11*(1-$Q$1)^(1-R11)</f>
        <v>1.1000000000000001</v>
      </c>
    </row>
    <row r="12" spans="1:22">
      <c r="A12">
        <v>2010</v>
      </c>
      <c r="B12">
        <v>40</v>
      </c>
      <c r="C12">
        <f t="shared" si="0"/>
        <v>34</v>
      </c>
      <c r="D12">
        <f t="shared" si="2"/>
        <v>6</v>
      </c>
      <c r="J12" t="s">
        <v>26</v>
      </c>
      <c r="K12">
        <v>2010</v>
      </c>
      <c r="L12">
        <v>40</v>
      </c>
      <c r="O12" s="6">
        <f>O11</f>
        <v>35.714285714285715</v>
      </c>
      <c r="P12" s="12">
        <f>P11</f>
        <v>17.30085916627138</v>
      </c>
      <c r="Q12" s="6">
        <f t="shared" si="4"/>
        <v>37.888334978869331</v>
      </c>
      <c r="R12">
        <f t="shared" si="5"/>
        <v>0</v>
      </c>
      <c r="S12">
        <f t="shared" si="6"/>
        <v>0.89999999999999991</v>
      </c>
    </row>
    <row r="14" spans="1:22">
      <c r="F14" t="s">
        <v>60</v>
      </c>
      <c r="G14" s="6">
        <f>AVERAGE(B3:B12)</f>
        <v>34</v>
      </c>
      <c r="H14" s="6"/>
      <c r="U14" t="s">
        <v>61</v>
      </c>
      <c r="V14" s="6">
        <f>AVERAGE(L3:L9)</f>
        <v>35.714285714285715</v>
      </c>
    </row>
    <row r="15" spans="1:22">
      <c r="F15" t="s">
        <v>62</v>
      </c>
      <c r="G15">
        <f>COUNT(A3:A12)</f>
        <v>10</v>
      </c>
      <c r="U15" t="s">
        <v>63</v>
      </c>
      <c r="V15">
        <v>7</v>
      </c>
    </row>
    <row r="16" spans="1:22">
      <c r="F16" t="s">
        <v>64</v>
      </c>
      <c r="G16">
        <f>SUMSQ(D3:D12)</f>
        <v>1840</v>
      </c>
      <c r="U16" t="s">
        <v>64</v>
      </c>
      <c r="V16">
        <f>SUMSQ(N3:N9)</f>
        <v>1571.4285714285713</v>
      </c>
    </row>
    <row r="17" spans="6:22" ht="16.5">
      <c r="F17" s="13" t="s">
        <v>65</v>
      </c>
      <c r="G17" s="12">
        <f>G16/(G15-1)</f>
        <v>204.44444444444446</v>
      </c>
      <c r="H17" s="12"/>
      <c r="U17" s="13" t="s">
        <v>65</v>
      </c>
      <c r="V17" s="12">
        <f>V16/(V15-1)</f>
        <v>261.90476190476187</v>
      </c>
    </row>
    <row r="18" spans="6:22" ht="15">
      <c r="F18" s="13" t="s">
        <v>66</v>
      </c>
      <c r="G18" s="12">
        <f>SQRT(G17)</f>
        <v>14.298407059684811</v>
      </c>
      <c r="H18" s="12"/>
      <c r="U18" s="13" t="s">
        <v>66</v>
      </c>
      <c r="V18" s="12">
        <f>SQRT(V17)</f>
        <v>16.18347187425374</v>
      </c>
    </row>
    <row r="19" spans="6:22">
      <c r="F19" t="s">
        <v>67</v>
      </c>
      <c r="G19" s="14">
        <f>G17*(1+1/G15)</f>
        <v>224.88888888888891</v>
      </c>
      <c r="H19" s="14"/>
      <c r="U19" t="s">
        <v>67</v>
      </c>
      <c r="V19" s="14">
        <f>V17*(1+1/V15)</f>
        <v>299.31972789115639</v>
      </c>
    </row>
    <row r="20" spans="6:22">
      <c r="F20" t="s">
        <v>68</v>
      </c>
      <c r="G20" s="12">
        <f>SQRT(G19)</f>
        <v>14.996295838935991</v>
      </c>
      <c r="H20" s="12"/>
      <c r="U20" t="s">
        <v>68</v>
      </c>
      <c r="V20" s="12">
        <f>SQRT(V19)</f>
        <v>17.30085916627138</v>
      </c>
    </row>
    <row r="22" spans="6:22">
      <c r="F22" t="s">
        <v>52</v>
      </c>
      <c r="G22">
        <v>0.9</v>
      </c>
      <c r="U22" t="s">
        <v>27</v>
      </c>
    </row>
    <row r="23" spans="6:22">
      <c r="F23" t="s">
        <v>57</v>
      </c>
      <c r="G23" s="6">
        <f>G14+_xlfn.NORM.S.INV(G22)*G20</f>
        <v>53.218526409758397</v>
      </c>
      <c r="H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DA14-2378-4FEC-8CC1-94779AC415D9}">
  <dimension ref="A1:S24"/>
  <sheetViews>
    <sheetView workbookViewId="0">
      <selection activeCell="V14" sqref="V14"/>
    </sheetView>
  </sheetViews>
  <sheetFormatPr defaultRowHeight="14.25"/>
  <cols>
    <col min="1" max="1" width="28.5" bestFit="1" customWidth="1"/>
    <col min="3" max="3" width="13.875" bestFit="1" customWidth="1"/>
    <col min="4" max="4" width="10.375" bestFit="1" customWidth="1"/>
    <col min="6" max="7" width="7.875" customWidth="1"/>
    <col min="11" max="11" width="7.875" customWidth="1"/>
  </cols>
  <sheetData>
    <row r="1" spans="1:11">
      <c r="A1" t="s">
        <v>69</v>
      </c>
      <c r="B1" t="s">
        <v>70</v>
      </c>
      <c r="C1" s="18">
        <v>73.333333333333329</v>
      </c>
    </row>
    <row r="2" spans="1:11">
      <c r="A2" t="s">
        <v>71</v>
      </c>
      <c r="B2" t="s">
        <v>72</v>
      </c>
      <c r="C2" s="18">
        <v>-3.3333333333333348</v>
      </c>
    </row>
    <row r="4" spans="1:11">
      <c r="A4" t="s">
        <v>73</v>
      </c>
      <c r="B4">
        <f>SUMSQ(I8:I17)</f>
        <v>6566.6666666666624</v>
      </c>
    </row>
    <row r="5" spans="1:11" ht="15">
      <c r="A5" t="s">
        <v>74</v>
      </c>
      <c r="B5">
        <f>E5*SUM(F8:F17)+(1-E5)*SUM(G8:G17)</f>
        <v>2.1000000000000014</v>
      </c>
      <c r="D5" t="s">
        <v>75</v>
      </c>
      <c r="E5" s="20">
        <v>0.99</v>
      </c>
      <c r="G5" t="s">
        <v>86</v>
      </c>
      <c r="I5">
        <v>11</v>
      </c>
      <c r="J5" t="s">
        <v>87</v>
      </c>
      <c r="K5" s="22">
        <f>C1+C2*I5</f>
        <v>36.666666666666643</v>
      </c>
    </row>
    <row r="7" spans="1:11">
      <c r="A7" s="8" t="s">
        <v>22</v>
      </c>
      <c r="B7" s="8" t="s">
        <v>84</v>
      </c>
      <c r="C7" s="8" t="s">
        <v>85</v>
      </c>
      <c r="D7" s="8" t="s">
        <v>78</v>
      </c>
      <c r="F7" s="8" t="s">
        <v>80</v>
      </c>
      <c r="G7" s="8" t="s">
        <v>81</v>
      </c>
      <c r="I7" s="8" t="s">
        <v>79</v>
      </c>
      <c r="K7" s="8" t="s">
        <v>82</v>
      </c>
    </row>
    <row r="8" spans="1:11" ht="18.75">
      <c r="A8" s="15">
        <v>1</v>
      </c>
      <c r="B8" s="15">
        <f>A8</f>
        <v>1</v>
      </c>
      <c r="C8">
        <v>30</v>
      </c>
      <c r="D8" s="16">
        <f>$C$1+$C$2*B8</f>
        <v>70</v>
      </c>
      <c r="F8" s="17">
        <v>0</v>
      </c>
      <c r="G8" s="17">
        <v>40</v>
      </c>
      <c r="I8" s="16">
        <f t="shared" ref="I8:I17" si="0">C8-D8</f>
        <v>-40</v>
      </c>
      <c r="J8" s="19" t="s">
        <v>83</v>
      </c>
      <c r="K8" s="8">
        <f t="shared" ref="K8:K17" si="1">F8-G8</f>
        <v>-40</v>
      </c>
    </row>
    <row r="9" spans="1:11" ht="18.75">
      <c r="A9" s="15">
        <v>2</v>
      </c>
      <c r="B9" s="15">
        <f t="shared" ref="B9:B17" si="2">A9</f>
        <v>2</v>
      </c>
      <c r="C9">
        <v>50</v>
      </c>
      <c r="D9" s="16">
        <f t="shared" ref="D9:D17" si="3">$C$1+$C$2*B9</f>
        <v>66.666666666666657</v>
      </c>
      <c r="F9" s="17">
        <v>0</v>
      </c>
      <c r="G9" s="17">
        <v>16.666666666666664</v>
      </c>
      <c r="I9" s="16">
        <f t="shared" si="0"/>
        <v>-16.666666666666657</v>
      </c>
      <c r="J9" s="19" t="s">
        <v>83</v>
      </c>
      <c r="K9" s="8">
        <f t="shared" si="1"/>
        <v>-16.666666666666664</v>
      </c>
    </row>
    <row r="10" spans="1:11" ht="18.75">
      <c r="A10" s="15">
        <v>3</v>
      </c>
      <c r="B10" s="15">
        <f t="shared" si="2"/>
        <v>3</v>
      </c>
      <c r="C10">
        <v>30</v>
      </c>
      <c r="D10" s="16">
        <f t="shared" si="3"/>
        <v>63.333333333333329</v>
      </c>
      <c r="F10" s="17">
        <v>0</v>
      </c>
      <c r="G10" s="17">
        <v>33.333333333333329</v>
      </c>
      <c r="I10" s="16">
        <f t="shared" si="0"/>
        <v>-33.333333333333329</v>
      </c>
      <c r="J10" s="19" t="s">
        <v>83</v>
      </c>
      <c r="K10" s="8">
        <f t="shared" si="1"/>
        <v>-33.333333333333329</v>
      </c>
    </row>
    <row r="11" spans="1:11" ht="18.75">
      <c r="A11" s="15">
        <v>4</v>
      </c>
      <c r="B11" s="15">
        <f t="shared" si="2"/>
        <v>4</v>
      </c>
      <c r="C11">
        <v>60</v>
      </c>
      <c r="D11" s="16">
        <f t="shared" si="3"/>
        <v>59.999999999999986</v>
      </c>
      <c r="F11" s="17">
        <v>0</v>
      </c>
      <c r="G11" s="17">
        <v>0</v>
      </c>
      <c r="I11" s="16">
        <f t="shared" si="0"/>
        <v>0</v>
      </c>
      <c r="J11" s="19" t="s">
        <v>83</v>
      </c>
      <c r="K11" s="8">
        <f t="shared" si="1"/>
        <v>0</v>
      </c>
    </row>
    <row r="12" spans="1:11" ht="18.75">
      <c r="A12" s="15">
        <v>5</v>
      </c>
      <c r="B12" s="15">
        <f t="shared" si="2"/>
        <v>5</v>
      </c>
      <c r="C12">
        <v>10</v>
      </c>
      <c r="D12" s="16">
        <f t="shared" si="3"/>
        <v>56.666666666666657</v>
      </c>
      <c r="F12" s="17">
        <v>0</v>
      </c>
      <c r="G12" s="17">
        <v>46.666666666666657</v>
      </c>
      <c r="I12" s="16">
        <f t="shared" si="0"/>
        <v>-46.666666666666657</v>
      </c>
      <c r="J12" s="19" t="s">
        <v>83</v>
      </c>
      <c r="K12" s="8">
        <f t="shared" si="1"/>
        <v>-46.666666666666657</v>
      </c>
    </row>
    <row r="13" spans="1:11" ht="18.75">
      <c r="A13" s="15">
        <v>6</v>
      </c>
      <c r="B13" s="15">
        <f t="shared" si="2"/>
        <v>6</v>
      </c>
      <c r="C13">
        <v>40</v>
      </c>
      <c r="D13" s="16">
        <f t="shared" si="3"/>
        <v>53.333333333333321</v>
      </c>
      <c r="F13" s="17">
        <v>0</v>
      </c>
      <c r="G13" s="17">
        <v>13.333333333333325</v>
      </c>
      <c r="I13" s="16">
        <f t="shared" si="0"/>
        <v>-13.333333333333321</v>
      </c>
      <c r="J13" s="19" t="s">
        <v>83</v>
      </c>
      <c r="K13" s="8">
        <f t="shared" si="1"/>
        <v>-13.333333333333325</v>
      </c>
    </row>
    <row r="14" spans="1:11" ht="18.75">
      <c r="A14" s="15">
        <v>7</v>
      </c>
      <c r="B14" s="15">
        <f t="shared" si="2"/>
        <v>7</v>
      </c>
      <c r="C14">
        <v>30</v>
      </c>
      <c r="D14" s="16">
        <f t="shared" si="3"/>
        <v>49.999999999999986</v>
      </c>
      <c r="F14" s="17">
        <v>0</v>
      </c>
      <c r="G14" s="17">
        <v>20</v>
      </c>
      <c r="I14" s="16">
        <f t="shared" si="0"/>
        <v>-19.999999999999986</v>
      </c>
      <c r="J14" s="19" t="s">
        <v>83</v>
      </c>
      <c r="K14" s="8">
        <f t="shared" si="1"/>
        <v>-20</v>
      </c>
    </row>
    <row r="15" spans="1:11" ht="18.75">
      <c r="A15" s="15">
        <v>8</v>
      </c>
      <c r="B15" s="15">
        <f t="shared" si="2"/>
        <v>8</v>
      </c>
      <c r="C15">
        <v>30</v>
      </c>
      <c r="D15" s="16">
        <f t="shared" si="3"/>
        <v>46.66666666666665</v>
      </c>
      <c r="F15" s="17">
        <v>0</v>
      </c>
      <c r="G15" s="17">
        <v>16.666666666666654</v>
      </c>
      <c r="I15" s="16">
        <f t="shared" si="0"/>
        <v>-16.66666666666665</v>
      </c>
      <c r="J15" s="19" t="s">
        <v>83</v>
      </c>
      <c r="K15" s="8">
        <f t="shared" si="1"/>
        <v>-16.666666666666654</v>
      </c>
    </row>
    <row r="16" spans="1:11" ht="18.75">
      <c r="A16" s="15">
        <v>9</v>
      </c>
      <c r="B16" s="15">
        <f t="shared" si="2"/>
        <v>9</v>
      </c>
      <c r="C16">
        <v>20</v>
      </c>
      <c r="D16" s="16">
        <f t="shared" si="3"/>
        <v>43.333333333333314</v>
      </c>
      <c r="F16" s="17">
        <v>0</v>
      </c>
      <c r="G16" s="17">
        <v>23.333333333333321</v>
      </c>
      <c r="I16" s="16">
        <f t="shared" si="0"/>
        <v>-23.333333333333314</v>
      </c>
      <c r="J16" s="19" t="s">
        <v>83</v>
      </c>
      <c r="K16" s="8">
        <f t="shared" si="1"/>
        <v>-23.333333333333321</v>
      </c>
    </row>
    <row r="17" spans="1:19" ht="18.75">
      <c r="A17" s="15">
        <v>10</v>
      </c>
      <c r="B17" s="15">
        <f t="shared" si="2"/>
        <v>10</v>
      </c>
      <c r="C17">
        <v>40</v>
      </c>
      <c r="D17" s="16">
        <f t="shared" si="3"/>
        <v>39.999999999999979</v>
      </c>
      <c r="F17" s="17">
        <v>0</v>
      </c>
      <c r="G17" s="17">
        <v>0</v>
      </c>
      <c r="I17" s="16">
        <f t="shared" si="0"/>
        <v>0</v>
      </c>
      <c r="J17" s="19" t="s">
        <v>83</v>
      </c>
      <c r="K17" s="8">
        <f t="shared" si="1"/>
        <v>0</v>
      </c>
    </row>
    <row r="19" spans="1:19">
      <c r="P19" s="21" t="s">
        <v>88</v>
      </c>
      <c r="Q19" s="21" t="s">
        <v>70</v>
      </c>
      <c r="R19" s="21" t="s">
        <v>72</v>
      </c>
      <c r="S19" s="21" t="s">
        <v>89</v>
      </c>
    </row>
    <row r="20" spans="1:19">
      <c r="P20">
        <v>0.5</v>
      </c>
      <c r="Q20">
        <v>30</v>
      </c>
      <c r="R20">
        <v>0</v>
      </c>
      <c r="S20" s="1">
        <v>30</v>
      </c>
    </row>
    <row r="21" spans="1:19">
      <c r="P21">
        <v>0.6</v>
      </c>
      <c r="Q21" s="23">
        <v>28</v>
      </c>
      <c r="R21" s="23">
        <v>1.1100000000000001</v>
      </c>
      <c r="S21" s="23">
        <v>41.11</v>
      </c>
    </row>
    <row r="22" spans="1:19">
      <c r="P22">
        <v>0.7</v>
      </c>
      <c r="Q22" s="23">
        <v>55</v>
      </c>
      <c r="R22" s="23">
        <v>-2.5</v>
      </c>
      <c r="S22" s="23">
        <v>27.5</v>
      </c>
    </row>
    <row r="23" spans="1:19">
      <c r="P23">
        <v>0.8</v>
      </c>
      <c r="Q23" s="23">
        <v>52.5</v>
      </c>
      <c r="R23" s="23">
        <v>-1.25</v>
      </c>
      <c r="S23" s="23">
        <v>38.75</v>
      </c>
    </row>
    <row r="24" spans="1:19">
      <c r="P24">
        <v>0.9</v>
      </c>
      <c r="Q24" s="23">
        <v>73.33</v>
      </c>
      <c r="R24" s="23">
        <v>-3.33</v>
      </c>
      <c r="S24" s="23">
        <v>36.67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FAAB-3061-4F22-991D-4328F9138B0E}">
  <dimension ref="A1:K17"/>
  <sheetViews>
    <sheetView workbookViewId="0">
      <selection activeCell="J30" sqref="J30"/>
    </sheetView>
  </sheetViews>
  <sheetFormatPr defaultRowHeight="14.25"/>
  <cols>
    <col min="1" max="1" width="28.5" bestFit="1" customWidth="1"/>
    <col min="4" max="4" width="10.375" bestFit="1" customWidth="1"/>
    <col min="6" max="7" width="7.875" customWidth="1"/>
    <col min="11" max="11" width="7.875" customWidth="1"/>
  </cols>
  <sheetData>
    <row r="1" spans="1:11">
      <c r="A1" t="s">
        <v>69</v>
      </c>
      <c r="B1" t="s">
        <v>70</v>
      </c>
      <c r="C1" s="18">
        <v>28.666666666666668</v>
      </c>
    </row>
    <row r="2" spans="1:11">
      <c r="A2" t="s">
        <v>71</v>
      </c>
      <c r="B2" t="s">
        <v>72</v>
      </c>
      <c r="C2" s="18">
        <v>-11.66666666666667</v>
      </c>
    </row>
    <row r="4" spans="1:11">
      <c r="A4" t="s">
        <v>73</v>
      </c>
      <c r="B4">
        <f>SUMSQ(I8:I17)</f>
        <v>70.6666666666666</v>
      </c>
    </row>
    <row r="5" spans="1:11">
      <c r="A5" t="s">
        <v>74</v>
      </c>
      <c r="B5">
        <f>E5*SUM(F8:F17)+(1-E5)*SUM(G8:G17)</f>
        <v>9.3333333333333357</v>
      </c>
      <c r="D5" t="s">
        <v>75</v>
      </c>
      <c r="E5">
        <v>0.5</v>
      </c>
    </row>
    <row r="7" spans="1:11">
      <c r="A7" s="8" t="s">
        <v>22</v>
      </c>
      <c r="B7" s="8" t="s">
        <v>76</v>
      </c>
      <c r="C7" s="8" t="s">
        <v>77</v>
      </c>
      <c r="D7" s="8" t="s">
        <v>78</v>
      </c>
      <c r="F7" s="8" t="s">
        <v>80</v>
      </c>
      <c r="G7" s="8" t="s">
        <v>81</v>
      </c>
      <c r="I7" s="8" t="s">
        <v>79</v>
      </c>
      <c r="K7" s="8" t="s">
        <v>82</v>
      </c>
    </row>
    <row r="8" spans="1:11" ht="18.75">
      <c r="A8" s="15">
        <v>1</v>
      </c>
      <c r="B8" s="15">
        <v>1.3</v>
      </c>
      <c r="C8" s="15">
        <v>10</v>
      </c>
      <c r="D8" s="16">
        <f>$C$1+$C$2*B8</f>
        <v>13.499999999999996</v>
      </c>
      <c r="F8" s="17">
        <v>0</v>
      </c>
      <c r="G8" s="17">
        <v>3.5000000000000036</v>
      </c>
      <c r="I8" s="16">
        <f t="shared" ref="I8:I17" si="0">C8-D8</f>
        <v>-3.4999999999999964</v>
      </c>
      <c r="J8" s="19" t="s">
        <v>83</v>
      </c>
      <c r="K8" s="8">
        <f t="shared" ref="K8:K17" si="1">F8-G8</f>
        <v>-3.5000000000000036</v>
      </c>
    </row>
    <row r="9" spans="1:11" ht="18.75">
      <c r="A9" s="15">
        <v>2</v>
      </c>
      <c r="B9" s="15">
        <v>2</v>
      </c>
      <c r="C9" s="15">
        <v>6</v>
      </c>
      <c r="D9" s="16">
        <f t="shared" ref="D9:D17" si="2">$C$1+$C$2*B9</f>
        <v>5.3333333333333286</v>
      </c>
      <c r="F9" s="17">
        <v>0.66666666666666574</v>
      </c>
      <c r="G9" s="17">
        <v>0</v>
      </c>
      <c r="I9" s="16">
        <f t="shared" si="0"/>
        <v>0.6666666666666714</v>
      </c>
      <c r="J9" s="19" t="s">
        <v>83</v>
      </c>
      <c r="K9" s="8">
        <f t="shared" si="1"/>
        <v>0.66666666666666574</v>
      </c>
    </row>
    <row r="10" spans="1:11" ht="18.75">
      <c r="A10" s="15">
        <v>3</v>
      </c>
      <c r="B10" s="15">
        <v>1.7</v>
      </c>
      <c r="C10" s="15">
        <v>5</v>
      </c>
      <c r="D10" s="16">
        <f t="shared" si="2"/>
        <v>8.8333333333333286</v>
      </c>
      <c r="F10" s="17">
        <v>0</v>
      </c>
      <c r="G10" s="17">
        <v>3.8333333333333321</v>
      </c>
      <c r="I10" s="16">
        <f t="shared" si="0"/>
        <v>-3.8333333333333286</v>
      </c>
      <c r="J10" s="19" t="s">
        <v>83</v>
      </c>
      <c r="K10" s="8">
        <f t="shared" si="1"/>
        <v>-3.8333333333333321</v>
      </c>
    </row>
    <row r="11" spans="1:11" ht="18.75">
      <c r="A11" s="15">
        <v>4</v>
      </c>
      <c r="B11" s="15">
        <v>1.5</v>
      </c>
      <c r="C11" s="15">
        <v>12</v>
      </c>
      <c r="D11" s="16">
        <f t="shared" si="2"/>
        <v>11.166666666666664</v>
      </c>
      <c r="F11" s="17">
        <v>0.83333333333333282</v>
      </c>
      <c r="G11" s="17">
        <v>0</v>
      </c>
      <c r="I11" s="16">
        <f t="shared" si="0"/>
        <v>0.8333333333333357</v>
      </c>
      <c r="J11" s="19" t="s">
        <v>83</v>
      </c>
      <c r="K11" s="8">
        <f t="shared" si="1"/>
        <v>0.83333333333333282</v>
      </c>
    </row>
    <row r="12" spans="1:11" ht="18.75">
      <c r="A12" s="15">
        <v>5</v>
      </c>
      <c r="B12" s="15">
        <v>1.6</v>
      </c>
      <c r="C12" s="15">
        <v>10</v>
      </c>
      <c r="D12" s="16">
        <f t="shared" si="2"/>
        <v>9.9999999999999964</v>
      </c>
      <c r="F12" s="17">
        <v>0</v>
      </c>
      <c r="G12" s="17">
        <v>0</v>
      </c>
      <c r="I12" s="16">
        <f t="shared" si="0"/>
        <v>0</v>
      </c>
      <c r="J12" s="19" t="s">
        <v>83</v>
      </c>
      <c r="K12" s="8">
        <f t="shared" si="1"/>
        <v>0</v>
      </c>
    </row>
    <row r="13" spans="1:11" ht="18.75">
      <c r="A13" s="15">
        <v>6</v>
      </c>
      <c r="B13" s="15">
        <v>1.2</v>
      </c>
      <c r="C13" s="15">
        <v>15</v>
      </c>
      <c r="D13" s="16">
        <f t="shared" si="2"/>
        <v>14.666666666666664</v>
      </c>
      <c r="F13" s="17">
        <v>0.33333333333332427</v>
      </c>
      <c r="G13" s="17">
        <v>0</v>
      </c>
      <c r="I13" s="16">
        <f t="shared" si="0"/>
        <v>0.3333333333333357</v>
      </c>
      <c r="J13" s="19" t="s">
        <v>83</v>
      </c>
      <c r="K13" s="8">
        <f t="shared" si="1"/>
        <v>0.33333333333332427</v>
      </c>
    </row>
    <row r="14" spans="1:11" ht="18.75">
      <c r="A14" s="15">
        <v>7</v>
      </c>
      <c r="B14" s="15">
        <v>1.6</v>
      </c>
      <c r="C14" s="15">
        <v>5</v>
      </c>
      <c r="D14" s="16">
        <f t="shared" si="2"/>
        <v>9.9999999999999964</v>
      </c>
      <c r="F14" s="17">
        <v>0</v>
      </c>
      <c r="G14" s="17">
        <v>5</v>
      </c>
      <c r="I14" s="16">
        <f t="shared" si="0"/>
        <v>-4.9999999999999964</v>
      </c>
      <c r="J14" s="19" t="s">
        <v>83</v>
      </c>
      <c r="K14" s="8">
        <f t="shared" si="1"/>
        <v>-5</v>
      </c>
    </row>
    <row r="15" spans="1:11" ht="18.75">
      <c r="A15" s="15">
        <v>8</v>
      </c>
      <c r="B15" s="15">
        <v>1.4</v>
      </c>
      <c r="C15" s="15">
        <v>12</v>
      </c>
      <c r="D15" s="16">
        <f t="shared" si="2"/>
        <v>12.333333333333332</v>
      </c>
      <c r="F15" s="17">
        <v>0</v>
      </c>
      <c r="G15" s="17">
        <v>0.3333333333333301</v>
      </c>
      <c r="I15" s="16">
        <f t="shared" si="0"/>
        <v>-0.33333333333333215</v>
      </c>
      <c r="J15" s="19" t="s">
        <v>83</v>
      </c>
      <c r="K15" s="8">
        <f t="shared" si="1"/>
        <v>-0.3333333333333301</v>
      </c>
    </row>
    <row r="16" spans="1:11" ht="18.75">
      <c r="A16" s="15">
        <v>9</v>
      </c>
      <c r="B16" s="15">
        <v>1</v>
      </c>
      <c r="C16" s="15">
        <v>17</v>
      </c>
      <c r="D16" s="16">
        <f t="shared" si="2"/>
        <v>17</v>
      </c>
      <c r="F16" s="17">
        <v>0</v>
      </c>
      <c r="G16" s="17">
        <v>0</v>
      </c>
      <c r="I16" s="16">
        <f t="shared" si="0"/>
        <v>0</v>
      </c>
      <c r="J16" s="19" t="s">
        <v>83</v>
      </c>
      <c r="K16" s="8">
        <f t="shared" si="1"/>
        <v>0</v>
      </c>
    </row>
    <row r="17" spans="1:11" ht="18.75">
      <c r="A17" s="15">
        <v>10</v>
      </c>
      <c r="B17" s="15">
        <v>1.1000000000000001</v>
      </c>
      <c r="C17" s="15">
        <v>20</v>
      </c>
      <c r="D17" s="16">
        <f t="shared" si="2"/>
        <v>15.83333333333333</v>
      </c>
      <c r="F17" s="17">
        <v>4.1666666666666812</v>
      </c>
      <c r="G17" s="17">
        <v>0</v>
      </c>
      <c r="I17" s="16">
        <f t="shared" si="0"/>
        <v>4.1666666666666696</v>
      </c>
      <c r="J17" s="19" t="s">
        <v>83</v>
      </c>
      <c r="K17" s="8">
        <f t="shared" si="1"/>
        <v>4.1666666666666812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729F-2C94-4C7D-B10E-BDBC9F82F052}">
  <dimension ref="A1:J1003"/>
  <sheetViews>
    <sheetView workbookViewId="0">
      <selection activeCell="Y10" sqref="Y10"/>
    </sheetView>
  </sheetViews>
  <sheetFormatPr defaultRowHeight="14.25"/>
  <cols>
    <col min="11" max="11" width="11.875" bestFit="1" customWidth="1"/>
  </cols>
  <sheetData>
    <row r="1" spans="1:10">
      <c r="I1" t="s">
        <v>5</v>
      </c>
      <c r="J1">
        <v>0</v>
      </c>
    </row>
    <row r="2" spans="1:10">
      <c r="I2" t="s">
        <v>6</v>
      </c>
      <c r="J2">
        <f>SQRT(2)</f>
        <v>1.4142135623730951</v>
      </c>
    </row>
    <row r="3" spans="1:10">
      <c r="A3" t="s">
        <v>0</v>
      </c>
      <c r="B3" t="s">
        <v>3</v>
      </c>
      <c r="C3" t="s">
        <v>4</v>
      </c>
      <c r="D3" t="s">
        <v>1</v>
      </c>
      <c r="E3" t="s">
        <v>2</v>
      </c>
      <c r="I3" t="s">
        <v>2</v>
      </c>
      <c r="J3" t="s">
        <v>7</v>
      </c>
    </row>
    <row r="4" spans="1:10">
      <c r="A4">
        <v>1</v>
      </c>
      <c r="B4">
        <v>1.3428144169438765E-2</v>
      </c>
      <c r="C4">
        <v>1.3733329264198737E-3</v>
      </c>
      <c r="D4" s="1">
        <f>_xlfn.NORM.INV(B4, 0, 1)</f>
        <v>-2.2136002758083513</v>
      </c>
      <c r="E4" s="1">
        <f>_xlfn.NORM.INV(C4,D4,1)</f>
        <v>-5.2083539176969502</v>
      </c>
      <c r="I4" s="1">
        <v>-5.2083539176969502</v>
      </c>
      <c r="J4">
        <f t="shared" ref="J4:J67" si="0">_xlfn.NORM.DIST(I4,$J$1,$J$2,TRUE)</f>
        <v>1.1531484263282071E-4</v>
      </c>
    </row>
    <row r="5" spans="1:10">
      <c r="A5">
        <v>2</v>
      </c>
      <c r="B5">
        <v>0.58146916104617452</v>
      </c>
      <c r="C5">
        <v>0.89162877285073394</v>
      </c>
      <c r="D5" s="1">
        <f t="shared" ref="D5:D68" si="1">_xlfn.NORM.INV(B5, 0, 1)</f>
        <v>0.20565337937757949</v>
      </c>
      <c r="E5" s="1">
        <f t="shared" ref="E5:E68" si="2">_xlfn.NORM.INV(C5,D5,1)</f>
        <v>1.440889998791258</v>
      </c>
      <c r="I5" s="1">
        <v>-5.1322694458204969</v>
      </c>
      <c r="J5">
        <f t="shared" si="0"/>
        <v>1.4222617079262423E-4</v>
      </c>
    </row>
    <row r="6" spans="1:10">
      <c r="A6">
        <v>3</v>
      </c>
      <c r="B6">
        <v>0.70421460615863518</v>
      </c>
      <c r="C6">
        <v>0.73848689230018005</v>
      </c>
      <c r="D6" s="1">
        <f t="shared" si="1"/>
        <v>0.53656114734233418</v>
      </c>
      <c r="E6" s="1">
        <f t="shared" si="2"/>
        <v>1.1752486944716973</v>
      </c>
      <c r="I6" s="1">
        <v>-4.4664884390079944</v>
      </c>
      <c r="J6">
        <f t="shared" si="0"/>
        <v>7.9350362317749906E-4</v>
      </c>
    </row>
    <row r="7" spans="1:10">
      <c r="A7">
        <v>4</v>
      </c>
      <c r="B7">
        <v>0.39991454817346722</v>
      </c>
      <c r="C7">
        <v>0.54307687612537003</v>
      </c>
      <c r="D7" s="1">
        <f t="shared" si="1"/>
        <v>-0.25356829084899785</v>
      </c>
      <c r="E7" s="1">
        <f t="shared" si="2"/>
        <v>-0.145379892545072</v>
      </c>
      <c r="I7" s="1">
        <v>-4.2797589325544241</v>
      </c>
      <c r="J7">
        <f t="shared" si="0"/>
        <v>1.2380514960948098E-3</v>
      </c>
    </row>
    <row r="8" spans="1:10">
      <c r="A8">
        <v>5</v>
      </c>
      <c r="B8">
        <v>0.98767052217169715</v>
      </c>
      <c r="C8">
        <v>0.89980773339030118</v>
      </c>
      <c r="D8" s="1">
        <f t="shared" si="1"/>
        <v>2.2467039186171904</v>
      </c>
      <c r="E8" s="1">
        <f t="shared" si="2"/>
        <v>3.5271607056471743</v>
      </c>
      <c r="I8" s="1">
        <v>-4.1521312734487363</v>
      </c>
      <c r="J8">
        <f t="shared" si="0"/>
        <v>1.6623706486716767E-3</v>
      </c>
    </row>
    <row r="9" spans="1:10">
      <c r="A9">
        <v>6</v>
      </c>
      <c r="B9">
        <v>9.9642933439130832E-2</v>
      </c>
      <c r="C9">
        <v>0.59968871120334488</v>
      </c>
      <c r="D9" s="1">
        <f t="shared" si="1"/>
        <v>-1.2835888107298259</v>
      </c>
      <c r="E9" s="1">
        <f t="shared" si="2"/>
        <v>-1.0310473581138746</v>
      </c>
      <c r="I9" s="1">
        <v>-4.1164330288884914</v>
      </c>
      <c r="J9">
        <f t="shared" si="0"/>
        <v>1.8027674592243901E-3</v>
      </c>
    </row>
    <row r="10" spans="1:10">
      <c r="A10">
        <v>7</v>
      </c>
      <c r="B10">
        <v>0.93841364787743764</v>
      </c>
      <c r="C10">
        <v>0.44526505325479904</v>
      </c>
      <c r="D10" s="1">
        <f t="shared" si="1"/>
        <v>1.5415922737843344</v>
      </c>
      <c r="E10" s="1">
        <f t="shared" si="2"/>
        <v>1.4039588094705968</v>
      </c>
      <c r="I10" s="1">
        <v>-3.938788177992377</v>
      </c>
      <c r="J10">
        <f t="shared" si="0"/>
        <v>2.6751992080890834E-3</v>
      </c>
    </row>
    <row r="11" spans="1:10">
      <c r="A11">
        <v>8</v>
      </c>
      <c r="B11">
        <v>0.99728385265663622</v>
      </c>
      <c r="C11">
        <v>0.80663472396008173</v>
      </c>
      <c r="D11" s="1">
        <f t="shared" si="1"/>
        <v>2.7802148366767283</v>
      </c>
      <c r="E11" s="1">
        <f t="shared" si="2"/>
        <v>3.645776563054747</v>
      </c>
      <c r="I11" s="1">
        <v>-3.5358971147153175</v>
      </c>
      <c r="J11">
        <f t="shared" si="0"/>
        <v>6.205165023009415E-3</v>
      </c>
    </row>
    <row r="12" spans="1:10">
      <c r="A12">
        <v>9</v>
      </c>
      <c r="B12">
        <v>0.29786065248573262</v>
      </c>
      <c r="C12">
        <v>0.32670064394054993</v>
      </c>
      <c r="D12" s="1">
        <f t="shared" si="1"/>
        <v>-0.53056348507151208</v>
      </c>
      <c r="E12" s="1">
        <f t="shared" si="2"/>
        <v>-0.97960558372610573</v>
      </c>
      <c r="I12" s="1">
        <v>-3.4697081357077755</v>
      </c>
      <c r="J12">
        <f t="shared" si="0"/>
        <v>7.0745787634511528E-3</v>
      </c>
    </row>
    <row r="13" spans="1:10">
      <c r="A13">
        <v>10</v>
      </c>
      <c r="B13">
        <v>0.85647144993438518</v>
      </c>
      <c r="C13">
        <v>0.55897701956236456</v>
      </c>
      <c r="D13" s="1">
        <f t="shared" si="1"/>
        <v>1.0645997342777413</v>
      </c>
      <c r="E13" s="1">
        <f t="shared" si="2"/>
        <v>1.2129758340800223</v>
      </c>
      <c r="I13" s="1">
        <v>-3.317181993190645</v>
      </c>
      <c r="J13">
        <f t="shared" si="0"/>
        <v>9.4981930393683023E-3</v>
      </c>
    </row>
    <row r="14" spans="1:10">
      <c r="A14">
        <v>11</v>
      </c>
      <c r="B14">
        <v>0.62346263008514669</v>
      </c>
      <c r="C14">
        <v>0.16959135715811641</v>
      </c>
      <c r="D14" s="1">
        <f t="shared" si="1"/>
        <v>0.3145876729937922</v>
      </c>
      <c r="E14" s="1">
        <f t="shared" si="2"/>
        <v>-0.64119367361283441</v>
      </c>
      <c r="I14" s="1">
        <v>-3.2714772775147267</v>
      </c>
      <c r="J14">
        <f t="shared" si="0"/>
        <v>1.0353521286194168E-2</v>
      </c>
    </row>
    <row r="15" spans="1:10">
      <c r="A15">
        <v>12</v>
      </c>
      <c r="B15">
        <v>2.2888882106997896E-2</v>
      </c>
      <c r="C15">
        <v>0.86028626361888483</v>
      </c>
      <c r="D15" s="1">
        <f t="shared" si="1"/>
        <v>-1.9974367016311332</v>
      </c>
      <c r="E15" s="1">
        <f t="shared" si="2"/>
        <v>-0.91583033148244475</v>
      </c>
      <c r="I15" s="1">
        <v>-3.1333983818916575</v>
      </c>
      <c r="J15">
        <f t="shared" si="0"/>
        <v>1.3357835297400786E-2</v>
      </c>
    </row>
    <row r="16" spans="1:10">
      <c r="A16">
        <v>13</v>
      </c>
      <c r="B16">
        <v>0.13672292245246742</v>
      </c>
      <c r="C16">
        <v>0.38612018189031649</v>
      </c>
      <c r="D16" s="1">
        <f t="shared" si="1"/>
        <v>-1.0951616013265835</v>
      </c>
      <c r="E16" s="1">
        <f t="shared" si="2"/>
        <v>-1.3846072536727783</v>
      </c>
      <c r="I16" s="1">
        <v>-3.1115768323600088</v>
      </c>
      <c r="J16">
        <f t="shared" si="0"/>
        <v>1.389574858620818E-2</v>
      </c>
    </row>
    <row r="17" spans="1:10">
      <c r="A17">
        <v>14</v>
      </c>
      <c r="B17">
        <v>0.11789300210577715</v>
      </c>
      <c r="C17">
        <v>1.84942167424543E-2</v>
      </c>
      <c r="D17" s="1">
        <f t="shared" si="1"/>
        <v>-1.1855855684871874</v>
      </c>
      <c r="E17" s="1">
        <f t="shared" si="2"/>
        <v>-3.2714772775147267</v>
      </c>
      <c r="I17" s="1">
        <v>-2.9197676232250198</v>
      </c>
      <c r="J17">
        <f t="shared" si="0"/>
        <v>1.9481024164103952E-2</v>
      </c>
    </row>
    <row r="18" spans="1:10">
      <c r="A18">
        <v>15</v>
      </c>
      <c r="B18">
        <v>0.92864772484511859</v>
      </c>
      <c r="C18">
        <v>0.9812616351817377</v>
      </c>
      <c r="D18" s="1">
        <f t="shared" si="1"/>
        <v>1.4657935076975821</v>
      </c>
      <c r="E18" s="1">
        <f t="shared" si="2"/>
        <v>3.5463258792130734</v>
      </c>
      <c r="I18" s="1">
        <v>-2.8550355364201363</v>
      </c>
      <c r="J18">
        <f t="shared" si="0"/>
        <v>2.175322631337763E-2</v>
      </c>
    </row>
    <row r="19" spans="1:10">
      <c r="A19">
        <v>16</v>
      </c>
      <c r="B19">
        <v>0.56721701712088379</v>
      </c>
      <c r="C19">
        <v>0.54411450544755391</v>
      </c>
      <c r="D19" s="1">
        <f t="shared" si="1"/>
        <v>0.16929327455567084</v>
      </c>
      <c r="E19" s="1">
        <f t="shared" si="2"/>
        <v>0.28009826350831185</v>
      </c>
      <c r="I19" s="1">
        <v>-2.8402338366015631</v>
      </c>
      <c r="J19">
        <f t="shared" si="0"/>
        <v>2.2303130082206735E-2</v>
      </c>
    </row>
    <row r="20" spans="1:10">
      <c r="A20">
        <v>17</v>
      </c>
      <c r="B20">
        <v>0.93868831446272161</v>
      </c>
      <c r="C20">
        <v>0.9098483230079043</v>
      </c>
      <c r="D20" s="1">
        <f t="shared" si="1"/>
        <v>1.5438553822815184</v>
      </c>
      <c r="E20" s="1">
        <f t="shared" si="2"/>
        <v>2.8836769746589832</v>
      </c>
      <c r="I20" s="1">
        <v>-2.7581739724717989</v>
      </c>
      <c r="J20">
        <f t="shared" si="0"/>
        <v>2.5568785545154724E-2</v>
      </c>
    </row>
    <row r="21" spans="1:10">
      <c r="A21">
        <v>18</v>
      </c>
      <c r="B21">
        <v>0.96423230689413131</v>
      </c>
      <c r="C21">
        <v>0.92675557725760671</v>
      </c>
      <c r="D21" s="1">
        <f t="shared" si="1"/>
        <v>1.8020636862706116</v>
      </c>
      <c r="E21" s="1">
        <f t="shared" si="2"/>
        <v>3.2541095774447157</v>
      </c>
      <c r="I21" s="1">
        <v>-2.7508557712308774</v>
      </c>
      <c r="J21">
        <f t="shared" si="0"/>
        <v>2.5878537797937043E-2</v>
      </c>
    </row>
    <row r="22" spans="1:10">
      <c r="A22">
        <v>19</v>
      </c>
      <c r="B22">
        <v>0.96337778862880341</v>
      </c>
      <c r="C22">
        <v>0.2031922360911893</v>
      </c>
      <c r="D22" s="1">
        <f t="shared" si="1"/>
        <v>1.7913046350725379</v>
      </c>
      <c r="E22" s="1">
        <f t="shared" si="2"/>
        <v>0.96103167439178261</v>
      </c>
      <c r="I22" s="1">
        <v>-2.7233602450011971</v>
      </c>
      <c r="J22">
        <f t="shared" si="0"/>
        <v>2.707051610519887E-2</v>
      </c>
    </row>
    <row r="23" spans="1:10">
      <c r="A23">
        <v>20</v>
      </c>
      <c r="B23">
        <v>0.7516708883938108</v>
      </c>
      <c r="C23">
        <v>0.88384655293435466</v>
      </c>
      <c r="D23" s="1">
        <f t="shared" si="1"/>
        <v>0.67975718089545212</v>
      </c>
      <c r="E23" s="1">
        <f t="shared" si="2"/>
        <v>1.874194632589943</v>
      </c>
      <c r="I23" s="1">
        <v>-2.7199388564033979</v>
      </c>
      <c r="J23">
        <f t="shared" si="0"/>
        <v>2.7221994989405574E-2</v>
      </c>
    </row>
    <row r="24" spans="1:10">
      <c r="A24">
        <v>21</v>
      </c>
      <c r="B24">
        <v>0.49009674367503892</v>
      </c>
      <c r="C24">
        <v>0.33689382610553298</v>
      </c>
      <c r="D24" s="1">
        <f t="shared" si="1"/>
        <v>-2.4826332350964306E-2</v>
      </c>
      <c r="E24" s="1">
        <f t="shared" si="2"/>
        <v>-0.44578172918660697</v>
      </c>
      <c r="I24" s="1">
        <v>-2.6552815121109878</v>
      </c>
      <c r="J24">
        <f t="shared" si="0"/>
        <v>3.0220173292339284E-2</v>
      </c>
    </row>
    <row r="25" spans="1:10">
      <c r="A25">
        <v>22</v>
      </c>
      <c r="B25">
        <v>8.3437604907376325E-2</v>
      </c>
      <c r="C25">
        <v>0.91814935758537553</v>
      </c>
      <c r="D25" s="1">
        <f t="shared" si="1"/>
        <v>-1.3823143236904707</v>
      </c>
      <c r="E25" s="1">
        <f t="shared" si="2"/>
        <v>1.0416232623775334E-2</v>
      </c>
      <c r="I25" s="1">
        <v>-2.6449595296410289</v>
      </c>
      <c r="J25">
        <f t="shared" si="0"/>
        <v>3.0723248600999647E-2</v>
      </c>
    </row>
    <row r="26" spans="1:10">
      <c r="A26">
        <v>23</v>
      </c>
      <c r="B26">
        <v>2.1454512161626027E-2</v>
      </c>
      <c r="C26">
        <v>0.57731864375743891</v>
      </c>
      <c r="D26" s="1">
        <f t="shared" si="1"/>
        <v>-2.0245944529280866</v>
      </c>
      <c r="E26" s="1">
        <f t="shared" si="2"/>
        <v>-1.8295558313044864</v>
      </c>
      <c r="I26" s="1">
        <v>-2.6400446286303776</v>
      </c>
      <c r="J26">
        <f t="shared" si="0"/>
        <v>3.0965218107711367E-2</v>
      </c>
    </row>
    <row r="27" spans="1:10">
      <c r="A27">
        <v>24</v>
      </c>
      <c r="B27">
        <v>0.12103640858180487</v>
      </c>
      <c r="C27">
        <v>0.21872615741447188</v>
      </c>
      <c r="D27" s="1">
        <f t="shared" si="1"/>
        <v>-1.1698214811541361</v>
      </c>
      <c r="E27" s="1">
        <f t="shared" si="2"/>
        <v>-1.9463240327357152</v>
      </c>
      <c r="I27" s="1">
        <v>-2.5992935043355727</v>
      </c>
      <c r="J27">
        <f t="shared" si="0"/>
        <v>3.3032818930977773E-2</v>
      </c>
    </row>
    <row r="28" spans="1:10">
      <c r="A28">
        <v>25</v>
      </c>
      <c r="B28">
        <v>0.3779107028412732</v>
      </c>
      <c r="C28">
        <v>0.45457319864497819</v>
      </c>
      <c r="D28" s="1">
        <f t="shared" si="1"/>
        <v>-0.31097266047291278</v>
      </c>
      <c r="E28" s="1">
        <f t="shared" si="2"/>
        <v>-0.42508795608064354</v>
      </c>
      <c r="I28" s="1">
        <v>-2.5392617466543372</v>
      </c>
      <c r="J28">
        <f t="shared" si="0"/>
        <v>3.6284712347843799E-2</v>
      </c>
    </row>
    <row r="29" spans="1:10">
      <c r="A29">
        <v>26</v>
      </c>
      <c r="B29">
        <v>0.55131687368388926</v>
      </c>
      <c r="C29">
        <v>0.71535386211737417</v>
      </c>
      <c r="D29" s="1">
        <f t="shared" si="1"/>
        <v>0.12898912664294099</v>
      </c>
      <c r="E29" s="1">
        <f t="shared" si="2"/>
        <v>0.69808323597773092</v>
      </c>
      <c r="I29" s="1">
        <v>-2.4914956052949981</v>
      </c>
      <c r="J29">
        <f t="shared" si="0"/>
        <v>3.9055482422021288E-2</v>
      </c>
    </row>
    <row r="30" spans="1:10">
      <c r="A30">
        <v>27</v>
      </c>
      <c r="B30">
        <v>0.8664815210425123</v>
      </c>
      <c r="C30">
        <v>0.18195135349589525</v>
      </c>
      <c r="D30" s="1">
        <f t="shared" si="1"/>
        <v>1.1099119792533259</v>
      </c>
      <c r="E30" s="1">
        <f t="shared" si="2"/>
        <v>0.20195832255451895</v>
      </c>
      <c r="I30" s="1">
        <v>-2.4846021627724277</v>
      </c>
      <c r="J30">
        <f t="shared" si="0"/>
        <v>3.9469214668955241E-2</v>
      </c>
    </row>
    <row r="31" spans="1:10">
      <c r="A31">
        <v>28</v>
      </c>
      <c r="B31">
        <v>0.91256447035126809</v>
      </c>
      <c r="C31">
        <v>7.3976866969817201E-2</v>
      </c>
      <c r="D31" s="1">
        <f t="shared" si="1"/>
        <v>1.3567172813915709</v>
      </c>
      <c r="E31" s="1">
        <f t="shared" si="2"/>
        <v>-9.0079908926586238E-2</v>
      </c>
      <c r="I31" s="1">
        <v>-2.4431454334053351</v>
      </c>
      <c r="J31">
        <f t="shared" si="0"/>
        <v>4.2033147756620502E-2</v>
      </c>
    </row>
    <row r="32" spans="1:10">
      <c r="A32">
        <v>29</v>
      </c>
      <c r="B32">
        <v>0.8070009460737938</v>
      </c>
      <c r="C32">
        <v>0.90673543504135257</v>
      </c>
      <c r="D32" s="1">
        <f t="shared" si="1"/>
        <v>0.86689761968703483</v>
      </c>
      <c r="E32" s="1">
        <f t="shared" si="2"/>
        <v>2.1878143521935352</v>
      </c>
      <c r="I32" s="1">
        <v>-2.4354131961914556</v>
      </c>
      <c r="J32">
        <f t="shared" si="0"/>
        <v>4.2525957390857787E-2</v>
      </c>
    </row>
    <row r="33" spans="1:10">
      <c r="A33">
        <v>30</v>
      </c>
      <c r="B33">
        <v>0.50370799890133366</v>
      </c>
      <c r="C33">
        <v>0.22925504318369092</v>
      </c>
      <c r="D33" s="1">
        <f t="shared" si="1"/>
        <v>9.2947087174580396E-3</v>
      </c>
      <c r="E33" s="1">
        <f t="shared" si="2"/>
        <v>-0.73200772506329459</v>
      </c>
      <c r="I33" s="1">
        <v>-2.416209301309646</v>
      </c>
      <c r="J33">
        <f t="shared" si="0"/>
        <v>4.377013637551435E-2</v>
      </c>
    </row>
    <row r="34" spans="1:10">
      <c r="A34">
        <v>31</v>
      </c>
      <c r="B34">
        <v>0.33918271431623281</v>
      </c>
      <c r="C34">
        <v>0.25782036805322428</v>
      </c>
      <c r="D34" s="1">
        <f t="shared" si="1"/>
        <v>-0.41469467827578793</v>
      </c>
      <c r="E34" s="1">
        <f t="shared" si="2"/>
        <v>-1.0647743860859764</v>
      </c>
      <c r="I34" s="1">
        <v>-2.397656818286996</v>
      </c>
      <c r="J34">
        <f t="shared" si="0"/>
        <v>4.4999840294273639E-2</v>
      </c>
    </row>
    <row r="35" spans="1:10">
      <c r="A35">
        <v>32</v>
      </c>
      <c r="B35">
        <v>0.35819574571977902</v>
      </c>
      <c r="C35">
        <v>0.30808435316019167</v>
      </c>
      <c r="D35" s="1">
        <f t="shared" si="1"/>
        <v>-0.36328567726577593</v>
      </c>
      <c r="E35" s="1">
        <f t="shared" si="2"/>
        <v>-0.86457331213527699</v>
      </c>
      <c r="I35" s="1">
        <v>-2.3918374144281902</v>
      </c>
      <c r="J35">
        <f t="shared" si="0"/>
        <v>4.5391243741332583E-2</v>
      </c>
    </row>
    <row r="36" spans="1:10">
      <c r="A36">
        <v>33</v>
      </c>
      <c r="B36">
        <v>0.31803338724936675</v>
      </c>
      <c r="C36">
        <v>0.87594225898007139</v>
      </c>
      <c r="D36" s="1">
        <f t="shared" si="1"/>
        <v>-0.47320521925838294</v>
      </c>
      <c r="E36" s="1">
        <f t="shared" si="2"/>
        <v>0.68173359802165145</v>
      </c>
      <c r="I36" s="1">
        <v>-2.3782178497006017</v>
      </c>
      <c r="J36">
        <f t="shared" si="0"/>
        <v>4.6317979451481632E-2</v>
      </c>
    </row>
    <row r="37" spans="1:10">
      <c r="A37">
        <v>34</v>
      </c>
      <c r="B37">
        <v>0.10806604205450605</v>
      </c>
      <c r="C37">
        <v>0.13699758903775139</v>
      </c>
      <c r="D37" s="1">
        <f t="shared" si="1"/>
        <v>-1.2368787934277499</v>
      </c>
      <c r="E37" s="1">
        <f t="shared" si="2"/>
        <v>-2.3307871392234505</v>
      </c>
      <c r="I37" s="1">
        <v>-2.3673380014223664</v>
      </c>
      <c r="J37">
        <f t="shared" si="0"/>
        <v>4.7069156336579251E-2</v>
      </c>
    </row>
    <row r="38" spans="1:10">
      <c r="A38">
        <v>35</v>
      </c>
      <c r="B38">
        <v>6.8697164830469684E-2</v>
      </c>
      <c r="C38">
        <v>0.59813226722006896</v>
      </c>
      <c r="D38" s="1">
        <f t="shared" si="1"/>
        <v>-1.4855645801273081</v>
      </c>
      <c r="E38" s="1">
        <f t="shared" si="2"/>
        <v>-1.2370489336130903</v>
      </c>
      <c r="I38" s="1">
        <v>-2.3507759443418821</v>
      </c>
      <c r="J38">
        <f t="shared" si="0"/>
        <v>4.8231368206462823E-2</v>
      </c>
    </row>
    <row r="39" spans="1:10">
      <c r="A39">
        <v>36</v>
      </c>
      <c r="B39">
        <v>0.67671742912076172</v>
      </c>
      <c r="C39">
        <v>0.56727805413983579</v>
      </c>
      <c r="D39" s="1">
        <f t="shared" si="1"/>
        <v>0.45853915073237944</v>
      </c>
      <c r="E39" s="1">
        <f t="shared" si="2"/>
        <v>0.62798763269465041</v>
      </c>
      <c r="I39" s="1">
        <v>-2.3307871392234505</v>
      </c>
      <c r="J39">
        <f t="shared" si="0"/>
        <v>4.9664497217089716E-2</v>
      </c>
    </row>
    <row r="40" spans="1:10">
      <c r="A40">
        <v>37</v>
      </c>
      <c r="B40">
        <v>0.43714712973418379</v>
      </c>
      <c r="C40">
        <v>0.84606463820307021</v>
      </c>
      <c r="D40" s="1">
        <f t="shared" si="1"/>
        <v>-0.1582062747769607</v>
      </c>
      <c r="E40" s="1">
        <f t="shared" si="2"/>
        <v>0.86149380551582155</v>
      </c>
      <c r="I40" s="1">
        <v>-2.324245676025658</v>
      </c>
      <c r="J40">
        <f t="shared" si="0"/>
        <v>5.0140808879425319E-2</v>
      </c>
    </row>
    <row r="41" spans="1:10">
      <c r="A41">
        <v>38</v>
      </c>
      <c r="B41">
        <v>0.73970763267921991</v>
      </c>
      <c r="C41">
        <v>0.22009949034089174</v>
      </c>
      <c r="D41" s="1">
        <f t="shared" si="1"/>
        <v>0.64244431424726611</v>
      </c>
      <c r="E41" s="1">
        <f t="shared" si="2"/>
        <v>-0.12941293373565932</v>
      </c>
      <c r="I41" s="1">
        <v>-2.3026443623012649</v>
      </c>
      <c r="J41">
        <f t="shared" si="0"/>
        <v>5.1739605666542197E-2</v>
      </c>
    </row>
    <row r="42" spans="1:10">
      <c r="A42">
        <v>39</v>
      </c>
      <c r="B42">
        <v>0.56822412793359167</v>
      </c>
      <c r="C42">
        <v>0.65962706381420333</v>
      </c>
      <c r="D42" s="1">
        <f t="shared" si="1"/>
        <v>0.17185472119684617</v>
      </c>
      <c r="E42" s="1">
        <f t="shared" si="2"/>
        <v>0.58330025380988038</v>
      </c>
      <c r="I42" s="1">
        <v>-2.2474941810800084</v>
      </c>
      <c r="J42">
        <f t="shared" si="0"/>
        <v>5.6005549572286567E-2</v>
      </c>
    </row>
    <row r="43" spans="1:10">
      <c r="A43">
        <v>40</v>
      </c>
      <c r="B43">
        <v>0.91091647083956417</v>
      </c>
      <c r="C43">
        <v>0.57744071779534289</v>
      </c>
      <c r="D43" s="1">
        <f t="shared" si="1"/>
        <v>1.3464201432326091</v>
      </c>
      <c r="E43" s="1">
        <f t="shared" si="2"/>
        <v>1.5417706443028663</v>
      </c>
      <c r="I43" s="1">
        <v>-2.1892253576402103</v>
      </c>
      <c r="J43">
        <f t="shared" si="0"/>
        <v>6.0809210629458162E-2</v>
      </c>
    </row>
    <row r="44" spans="1:10">
      <c r="A44">
        <v>41</v>
      </c>
      <c r="B44">
        <v>0.7882625812555315</v>
      </c>
      <c r="C44">
        <v>0.85067293313394576</v>
      </c>
      <c r="D44" s="1">
        <f t="shared" si="1"/>
        <v>0.80040732656730662</v>
      </c>
      <c r="E44" s="1">
        <f t="shared" si="2"/>
        <v>1.8397312037130884</v>
      </c>
      <c r="I44" s="1">
        <v>-2.1862568876456123</v>
      </c>
      <c r="J44">
        <f t="shared" si="0"/>
        <v>6.1062298634196897E-2</v>
      </c>
    </row>
    <row r="45" spans="1:10">
      <c r="A45">
        <v>42</v>
      </c>
      <c r="B45">
        <v>0.7695242164372692</v>
      </c>
      <c r="C45">
        <v>0.2434156315805536</v>
      </c>
      <c r="D45" s="1">
        <f t="shared" si="1"/>
        <v>0.73728086346415977</v>
      </c>
      <c r="E45" s="1">
        <f t="shared" si="2"/>
        <v>4.1923324060641476E-2</v>
      </c>
      <c r="I45" s="1">
        <v>-2.1786644105612054</v>
      </c>
      <c r="J45">
        <f t="shared" si="0"/>
        <v>6.1713369890700857E-2</v>
      </c>
    </row>
    <row r="46" spans="1:10">
      <c r="A46">
        <v>43</v>
      </c>
      <c r="B46">
        <v>0.49696340830713825</v>
      </c>
      <c r="C46">
        <v>5.0477614673299358E-2</v>
      </c>
      <c r="D46" s="1">
        <f t="shared" si="1"/>
        <v>-7.6116800957046144E-3</v>
      </c>
      <c r="E46" s="1">
        <f t="shared" si="2"/>
        <v>-1.6478519018795303</v>
      </c>
      <c r="I46" s="1">
        <v>-2.1752365347607929</v>
      </c>
      <c r="J46">
        <f t="shared" si="0"/>
        <v>6.2009087779010395E-2</v>
      </c>
    </row>
    <row r="47" spans="1:10">
      <c r="A47">
        <v>44</v>
      </c>
      <c r="B47">
        <v>0.26725058748130742</v>
      </c>
      <c r="C47">
        <v>0.30555131687368386</v>
      </c>
      <c r="D47" s="1">
        <f t="shared" si="1"/>
        <v>-0.62114963350357755</v>
      </c>
      <c r="E47" s="1">
        <f t="shared" si="2"/>
        <v>-1.1296497837656188</v>
      </c>
      <c r="I47" s="1">
        <v>-2.1684704840327997</v>
      </c>
      <c r="J47">
        <f t="shared" si="0"/>
        <v>6.2596029247781293E-2</v>
      </c>
    </row>
    <row r="48" spans="1:10">
      <c r="A48">
        <v>45</v>
      </c>
      <c r="B48">
        <v>0.69963682973723562</v>
      </c>
      <c r="C48">
        <v>0.11441389202551347</v>
      </c>
      <c r="D48" s="1">
        <f t="shared" si="1"/>
        <v>0.52335628315589688</v>
      </c>
      <c r="E48" s="1">
        <f t="shared" si="2"/>
        <v>-0.68002764579967856</v>
      </c>
      <c r="I48" s="1">
        <v>-2.1505565432485563</v>
      </c>
      <c r="J48">
        <f t="shared" si="0"/>
        <v>6.4170944323347565E-2</v>
      </c>
    </row>
    <row r="49" spans="1:10">
      <c r="A49">
        <v>46</v>
      </c>
      <c r="B49">
        <v>0.86941129795220806</v>
      </c>
      <c r="C49">
        <v>0.65651417584765159</v>
      </c>
      <c r="D49" s="1">
        <f t="shared" si="1"/>
        <v>1.1236126102757169</v>
      </c>
      <c r="E49" s="1">
        <f t="shared" si="2"/>
        <v>1.5265807696629183</v>
      </c>
      <c r="I49" s="1">
        <v>-2.146880496234894</v>
      </c>
      <c r="J49">
        <f t="shared" si="0"/>
        <v>6.4497902969446089E-2</v>
      </c>
    </row>
    <row r="50" spans="1:10">
      <c r="A50">
        <v>47</v>
      </c>
      <c r="B50">
        <v>0.36918240913113803</v>
      </c>
      <c r="C50">
        <v>0.55149998474074524</v>
      </c>
      <c r="D50" s="1">
        <f t="shared" si="1"/>
        <v>-0.33401953416630731</v>
      </c>
      <c r="E50" s="1">
        <f t="shared" si="2"/>
        <v>-0.20456756801785708</v>
      </c>
      <c r="I50" s="1">
        <v>-2.1465567576703455</v>
      </c>
      <c r="J50">
        <f t="shared" si="0"/>
        <v>6.4526759142884665E-2</v>
      </c>
    </row>
    <row r="51" spans="1:10">
      <c r="A51">
        <v>48</v>
      </c>
      <c r="B51">
        <v>0.11358989226966155</v>
      </c>
      <c r="C51">
        <v>0.521225623340556</v>
      </c>
      <c r="D51" s="1">
        <f t="shared" si="1"/>
        <v>-1.2076555443189008</v>
      </c>
      <c r="E51" s="1">
        <f t="shared" si="2"/>
        <v>-1.1544256702930404</v>
      </c>
      <c r="I51" s="1">
        <v>-2.1228192839672531</v>
      </c>
      <c r="J51">
        <f t="shared" si="0"/>
        <v>6.667003324799585E-2</v>
      </c>
    </row>
    <row r="52" spans="1:10">
      <c r="A52">
        <v>49</v>
      </c>
      <c r="B52">
        <v>0.83596301156651509</v>
      </c>
      <c r="C52">
        <v>0.4931485946226386</v>
      </c>
      <c r="D52" s="1">
        <f t="shared" si="1"/>
        <v>0.97800070203559941</v>
      </c>
      <c r="E52" s="1">
        <f t="shared" si="2"/>
        <v>0.96082593128487659</v>
      </c>
      <c r="I52" s="1">
        <v>-2.0814275366731918</v>
      </c>
      <c r="J52">
        <f t="shared" si="0"/>
        <v>7.0538591354588315E-2</v>
      </c>
    </row>
    <row r="53" spans="1:10">
      <c r="A53">
        <v>50</v>
      </c>
      <c r="B53">
        <v>0.24115726187932982</v>
      </c>
      <c r="C53">
        <v>0.89840388195440535</v>
      </c>
      <c r="D53" s="1">
        <f t="shared" si="1"/>
        <v>-0.70258482250318099</v>
      </c>
      <c r="E53" s="1">
        <f t="shared" si="2"/>
        <v>0.56992443748378063</v>
      </c>
      <c r="I53" s="1">
        <v>-2.0618229915832686</v>
      </c>
      <c r="J53">
        <f t="shared" si="0"/>
        <v>7.243005448740307E-2</v>
      </c>
    </row>
    <row r="54" spans="1:10">
      <c r="A54">
        <v>51</v>
      </c>
      <c r="B54">
        <v>0.49189733573412275</v>
      </c>
      <c r="C54">
        <v>0.32648701437421795</v>
      </c>
      <c r="D54" s="1">
        <f t="shared" si="1"/>
        <v>-2.0311763925397939E-2</v>
      </c>
      <c r="E54" s="1">
        <f t="shared" si="2"/>
        <v>-0.46994623439790234</v>
      </c>
      <c r="I54" s="1">
        <v>-2.0542596953697756</v>
      </c>
      <c r="J54">
        <f t="shared" si="0"/>
        <v>7.3170067704484504E-2</v>
      </c>
    </row>
    <row r="55" spans="1:10">
      <c r="A55">
        <v>52</v>
      </c>
      <c r="B55">
        <v>0.29117709891048921</v>
      </c>
      <c r="C55">
        <v>0.7899410992767113</v>
      </c>
      <c r="D55" s="1">
        <f t="shared" si="1"/>
        <v>-0.54994922819352421</v>
      </c>
      <c r="E55" s="1">
        <f t="shared" si="2"/>
        <v>0.25626766209851404</v>
      </c>
      <c r="I55" s="1">
        <v>-2.0212307061374872</v>
      </c>
      <c r="J55">
        <f t="shared" si="0"/>
        <v>7.6469652352509354E-2</v>
      </c>
    </row>
    <row r="56" spans="1:10">
      <c r="A56">
        <v>53</v>
      </c>
      <c r="B56">
        <v>0.88677632984405041</v>
      </c>
      <c r="C56">
        <v>0.61882381664479502</v>
      </c>
      <c r="D56" s="1">
        <f t="shared" si="1"/>
        <v>1.2095611316268833</v>
      </c>
      <c r="E56" s="1">
        <f t="shared" si="2"/>
        <v>1.5119542937974866</v>
      </c>
      <c r="I56" s="1">
        <v>-2.017898628332512</v>
      </c>
      <c r="J56">
        <f t="shared" si="0"/>
        <v>7.6808713039652005E-2</v>
      </c>
    </row>
    <row r="57" spans="1:10">
      <c r="A57">
        <v>54</v>
      </c>
      <c r="B57">
        <v>0.67595446638386181</v>
      </c>
      <c r="C57">
        <v>0.58717612231818594</v>
      </c>
      <c r="D57" s="1">
        <f t="shared" si="1"/>
        <v>0.45641571501977712</v>
      </c>
      <c r="E57" s="1">
        <f t="shared" si="2"/>
        <v>0.67670257202515494</v>
      </c>
      <c r="I57" s="1">
        <v>-2.0105624562095161</v>
      </c>
      <c r="J57">
        <f t="shared" si="0"/>
        <v>7.7559243574962175E-2</v>
      </c>
    </row>
    <row r="58" spans="1:10">
      <c r="A58">
        <v>55</v>
      </c>
      <c r="B58">
        <v>0.41215247047334208</v>
      </c>
      <c r="C58">
        <v>0.47871333964049195</v>
      </c>
      <c r="D58" s="1">
        <f t="shared" si="1"/>
        <v>-0.22201148724079414</v>
      </c>
      <c r="E58" s="1">
        <f t="shared" si="2"/>
        <v>-0.27539457591565253</v>
      </c>
      <c r="I58" s="1">
        <v>-2.0090018857565859</v>
      </c>
      <c r="J58">
        <f t="shared" si="0"/>
        <v>7.7719614360357347E-2</v>
      </c>
    </row>
    <row r="59" spans="1:10">
      <c r="A59">
        <v>56</v>
      </c>
      <c r="B59">
        <v>0.89757988219855345</v>
      </c>
      <c r="C59">
        <v>0.42936490981780451</v>
      </c>
      <c r="D59" s="1">
        <f t="shared" si="1"/>
        <v>1.2678816008409879</v>
      </c>
      <c r="E59" s="1">
        <f t="shared" si="2"/>
        <v>1.089890315352674</v>
      </c>
      <c r="I59" s="1">
        <v>-2.00781738499699</v>
      </c>
      <c r="J59">
        <f t="shared" si="0"/>
        <v>7.7841506585672182E-2</v>
      </c>
    </row>
    <row r="60" spans="1:10">
      <c r="A60">
        <v>57</v>
      </c>
      <c r="B60">
        <v>0.84310434278389845</v>
      </c>
      <c r="C60">
        <v>0.15619373149815363</v>
      </c>
      <c r="D60" s="1">
        <f t="shared" si="1"/>
        <v>1.0072985748776624</v>
      </c>
      <c r="E60" s="1">
        <f t="shared" si="2"/>
        <v>-2.9265113464105319E-3</v>
      </c>
      <c r="I60" s="1">
        <v>-2.0060936537388643</v>
      </c>
      <c r="J60">
        <f t="shared" si="0"/>
        <v>7.8019147980327469E-2</v>
      </c>
    </row>
    <row r="61" spans="1:10">
      <c r="A61">
        <v>58</v>
      </c>
      <c r="B61">
        <v>0.84963530381176189</v>
      </c>
      <c r="C61">
        <v>0.37559129612109743</v>
      </c>
      <c r="D61" s="1">
        <f t="shared" si="1"/>
        <v>1.0348705015295152</v>
      </c>
      <c r="E61" s="1">
        <f t="shared" si="2"/>
        <v>0.71779009570848584</v>
      </c>
      <c r="I61" s="1">
        <v>-1.9935548106345606</v>
      </c>
      <c r="J61">
        <f t="shared" si="0"/>
        <v>7.9320622913632094E-2</v>
      </c>
    </row>
    <row r="62" spans="1:10">
      <c r="A62">
        <v>59</v>
      </c>
      <c r="B62">
        <v>0.65553758354441971</v>
      </c>
      <c r="C62">
        <v>0.60911893063142797</v>
      </c>
      <c r="D62" s="1">
        <f t="shared" si="1"/>
        <v>0.40031457675145615</v>
      </c>
      <c r="E62" s="1">
        <f t="shared" si="2"/>
        <v>0.6773379763426387</v>
      </c>
      <c r="I62" s="1">
        <v>-1.9814909760156585</v>
      </c>
      <c r="J62">
        <f t="shared" si="0"/>
        <v>8.0588242908776656E-2</v>
      </c>
    </row>
    <row r="63" spans="1:10">
      <c r="A63">
        <v>60</v>
      </c>
      <c r="B63">
        <v>0.19638660847804193</v>
      </c>
      <c r="C63">
        <v>0.4595782341990417</v>
      </c>
      <c r="D63" s="1">
        <f t="shared" si="1"/>
        <v>-0.85459893580726676</v>
      </c>
      <c r="E63" s="1">
        <f t="shared" si="2"/>
        <v>-0.95609526877249906</v>
      </c>
      <c r="I63" s="1">
        <v>-1.9591642578608512</v>
      </c>
      <c r="J63">
        <f t="shared" si="0"/>
        <v>8.297451894023268E-2</v>
      </c>
    </row>
    <row r="64" spans="1:10">
      <c r="A64">
        <v>61</v>
      </c>
      <c r="B64">
        <v>0.89306314279610588</v>
      </c>
      <c r="C64">
        <v>7.6815088351084929E-2</v>
      </c>
      <c r="D64" s="1">
        <f t="shared" si="1"/>
        <v>1.2429840410023636</v>
      </c>
      <c r="E64" s="1">
        <f t="shared" si="2"/>
        <v>-0.18384153658251878</v>
      </c>
      <c r="I64" s="1">
        <v>-1.9463240327357152</v>
      </c>
      <c r="J64">
        <f t="shared" si="0"/>
        <v>8.4370742867024145E-2</v>
      </c>
    </row>
    <row r="65" spans="1:10">
      <c r="A65">
        <v>62</v>
      </c>
      <c r="B65">
        <v>0.76100955229346601</v>
      </c>
      <c r="C65">
        <v>0.75386822107608265</v>
      </c>
      <c r="D65" s="1">
        <f t="shared" si="1"/>
        <v>0.70955377161087618</v>
      </c>
      <c r="E65" s="1">
        <f t="shared" si="2"/>
        <v>1.3962668435641563</v>
      </c>
      <c r="I65" s="1">
        <v>-1.9371799480310723</v>
      </c>
      <c r="J65">
        <f t="shared" si="0"/>
        <v>8.5375751780216502E-2</v>
      </c>
    </row>
    <row r="66" spans="1:10">
      <c r="A66">
        <v>63</v>
      </c>
      <c r="B66">
        <v>3.671376689962462E-2</v>
      </c>
      <c r="C66">
        <v>0.53260902737510296</v>
      </c>
      <c r="D66" s="1">
        <f t="shared" si="1"/>
        <v>-1.790164104484254</v>
      </c>
      <c r="E66" s="1">
        <f t="shared" si="2"/>
        <v>-1.7083341619941852</v>
      </c>
      <c r="I66" s="1">
        <v>-1.9298403671660211</v>
      </c>
      <c r="J66">
        <f t="shared" si="0"/>
        <v>8.6188897626981287E-2</v>
      </c>
    </row>
    <row r="67" spans="1:10">
      <c r="A67">
        <v>64</v>
      </c>
      <c r="B67">
        <v>0.81038850062562939</v>
      </c>
      <c r="C67">
        <v>7.8768272957548749E-2</v>
      </c>
      <c r="D67" s="1">
        <f t="shared" si="1"/>
        <v>0.8793288479253244</v>
      </c>
      <c r="E67" s="1">
        <f t="shared" si="2"/>
        <v>-0.53407659578292022</v>
      </c>
      <c r="I67" s="1">
        <v>-1.9116839726808925</v>
      </c>
      <c r="J67">
        <f t="shared" si="0"/>
        <v>8.8225299903501059E-2</v>
      </c>
    </row>
    <row r="68" spans="1:10">
      <c r="A68">
        <v>65</v>
      </c>
      <c r="B68">
        <v>0.46772667622913294</v>
      </c>
      <c r="C68">
        <v>0.35682241279335919</v>
      </c>
      <c r="D68" s="1">
        <f t="shared" si="1"/>
        <v>-8.098566533929652E-2</v>
      </c>
      <c r="E68" s="1">
        <f t="shared" si="2"/>
        <v>-0.4479510672712293</v>
      </c>
      <c r="I68" s="1">
        <v>-1.9114171013496903</v>
      </c>
      <c r="J68">
        <f t="shared" ref="J68:J131" si="3">_xlfn.NORM.DIST(I68,$J$1,$J$2,TRUE)</f>
        <v>8.8255497071662262E-2</v>
      </c>
    </row>
    <row r="69" spans="1:10">
      <c r="A69">
        <v>66</v>
      </c>
      <c r="B69">
        <v>0.71864986114078189</v>
      </c>
      <c r="C69">
        <v>0.58107242042298657</v>
      </c>
      <c r="D69" s="1">
        <f t="shared" ref="D69:D132" si="4">_xlfn.NORM.INV(B69, 0, 1)</f>
        <v>0.57883534773171075</v>
      </c>
      <c r="E69" s="1">
        <f t="shared" ref="E69:E132" si="5">_xlfn.NORM.INV(C69,D69,1)</f>
        <v>0.78347309785858987</v>
      </c>
      <c r="I69" s="1">
        <v>-1.9034645796135388</v>
      </c>
      <c r="J69">
        <f t="shared" si="3"/>
        <v>8.9158883746131221E-2</v>
      </c>
    </row>
    <row r="70" spans="1:10">
      <c r="A70">
        <v>67</v>
      </c>
      <c r="B70">
        <v>0.32383190404980622</v>
      </c>
      <c r="C70">
        <v>0.80910672322763755</v>
      </c>
      <c r="D70" s="1">
        <f t="shared" si="4"/>
        <v>-0.45701006919391135</v>
      </c>
      <c r="E70" s="1">
        <f t="shared" si="5"/>
        <v>0.41759917986316758</v>
      </c>
      <c r="I70" s="1">
        <v>-1.9025238666253179</v>
      </c>
      <c r="J70">
        <f t="shared" si="3"/>
        <v>8.9266199903978119E-2</v>
      </c>
    </row>
    <row r="71" spans="1:10">
      <c r="A71">
        <v>68</v>
      </c>
      <c r="B71">
        <v>0.8537858211004975</v>
      </c>
      <c r="C71">
        <v>0.69569994201483198</v>
      </c>
      <c r="D71" s="1">
        <f t="shared" si="4"/>
        <v>1.0528093959017533</v>
      </c>
      <c r="E71" s="1">
        <f t="shared" si="5"/>
        <v>1.5648821160926902</v>
      </c>
      <c r="I71" s="1">
        <v>-1.8999118700355062</v>
      </c>
      <c r="J71">
        <f t="shared" si="3"/>
        <v>8.9564679277602532E-2</v>
      </c>
    </row>
    <row r="72" spans="1:10">
      <c r="A72">
        <v>69</v>
      </c>
      <c r="B72">
        <v>0.46903897213660084</v>
      </c>
      <c r="C72">
        <v>4.9745170445875423E-3</v>
      </c>
      <c r="D72" s="1">
        <f t="shared" si="4"/>
        <v>-7.7685857389056118E-2</v>
      </c>
      <c r="E72" s="1">
        <f t="shared" si="5"/>
        <v>-2.6552815121109878</v>
      </c>
      <c r="I72" s="1">
        <v>-1.8797218657635142</v>
      </c>
      <c r="J72">
        <f t="shared" si="3"/>
        <v>9.1896921761776787E-2</v>
      </c>
    </row>
    <row r="73" spans="1:10">
      <c r="A73">
        <v>70</v>
      </c>
      <c r="B73">
        <v>0.78298287911618392</v>
      </c>
      <c r="C73">
        <v>0.62636188848536634</v>
      </c>
      <c r="D73" s="1">
        <f t="shared" si="4"/>
        <v>0.78230688465875586</v>
      </c>
      <c r="E73" s="1">
        <f t="shared" si="5"/>
        <v>1.1045398361346195</v>
      </c>
      <c r="I73" s="1">
        <v>-1.8786954482274381</v>
      </c>
      <c r="J73">
        <f t="shared" si="3"/>
        <v>9.2016678379474651E-2</v>
      </c>
    </row>
    <row r="74" spans="1:10">
      <c r="A74">
        <v>71</v>
      </c>
      <c r="B74">
        <v>0.53721732230597863</v>
      </c>
      <c r="C74">
        <v>0.24497207556382947</v>
      </c>
      <c r="D74" s="1">
        <f t="shared" si="4"/>
        <v>9.3425723625829696E-2</v>
      </c>
      <c r="E74" s="1">
        <f t="shared" si="5"/>
        <v>-0.59697193120031056</v>
      </c>
      <c r="I74" s="1">
        <v>-1.8737877276074362</v>
      </c>
      <c r="J74">
        <f t="shared" si="3"/>
        <v>9.2590881105219375E-2</v>
      </c>
    </row>
    <row r="75" spans="1:10">
      <c r="A75">
        <v>72</v>
      </c>
      <c r="B75">
        <v>0.16049684133426922</v>
      </c>
      <c r="C75">
        <v>4.9714651936399429E-2</v>
      </c>
      <c r="D75" s="1">
        <f t="shared" si="4"/>
        <v>-0.99241795740815875</v>
      </c>
      <c r="E75" s="1">
        <f t="shared" si="5"/>
        <v>-2.6400446286303776</v>
      </c>
      <c r="I75" s="1">
        <v>-1.8650089340862395</v>
      </c>
      <c r="J75">
        <f t="shared" si="3"/>
        <v>9.3624602744918461E-2</v>
      </c>
    </row>
    <row r="76" spans="1:10">
      <c r="A76">
        <v>73</v>
      </c>
      <c r="B76">
        <v>0.21021149327066865</v>
      </c>
      <c r="C76">
        <v>0.82696005127109595</v>
      </c>
      <c r="D76" s="1">
        <f t="shared" si="4"/>
        <v>-0.80568762524618565</v>
      </c>
      <c r="E76" s="1">
        <f t="shared" si="5"/>
        <v>0.13653260710404735</v>
      </c>
      <c r="I76" s="1">
        <v>-1.8401048526328507</v>
      </c>
      <c r="J76">
        <f t="shared" si="3"/>
        <v>9.6603452002010329E-2</v>
      </c>
    </row>
    <row r="77" spans="1:10">
      <c r="A77">
        <v>74</v>
      </c>
      <c r="B77">
        <v>6.9612720114749602E-2</v>
      </c>
      <c r="C77">
        <v>0.90099795525986515</v>
      </c>
      <c r="D77" s="1">
        <f t="shared" si="4"/>
        <v>-1.4786815701965423</v>
      </c>
      <c r="E77" s="1">
        <f t="shared" si="5"/>
        <v>-0.19142274395002468</v>
      </c>
      <c r="I77" s="1">
        <v>-1.8295558313044864</v>
      </c>
      <c r="J77">
        <f t="shared" si="3"/>
        <v>9.7886029797194948E-2</v>
      </c>
    </row>
    <row r="78" spans="1:10">
      <c r="A78">
        <v>75</v>
      </c>
      <c r="B78">
        <v>0.66451002533036285</v>
      </c>
      <c r="C78">
        <v>2.1759697256385997E-2</v>
      </c>
      <c r="D78" s="1">
        <f t="shared" si="4"/>
        <v>0.42480346802181679</v>
      </c>
      <c r="E78" s="1">
        <f t="shared" si="5"/>
        <v>-1.5938870656168094</v>
      </c>
      <c r="I78" s="1">
        <v>-1.8176731893590667</v>
      </c>
      <c r="J78">
        <f t="shared" si="3"/>
        <v>9.9345649655466994E-2</v>
      </c>
    </row>
    <row r="79" spans="1:10">
      <c r="A79">
        <v>76</v>
      </c>
      <c r="B79">
        <v>0.26422925504318368</v>
      </c>
      <c r="C79">
        <v>0.45039216284676659</v>
      </c>
      <c r="D79" s="1">
        <f t="shared" si="4"/>
        <v>-0.63036086393419433</v>
      </c>
      <c r="E79" s="1">
        <f t="shared" si="5"/>
        <v>-0.7550314738854933</v>
      </c>
      <c r="I79" s="1">
        <v>-1.7950013523128734</v>
      </c>
      <c r="J79">
        <f t="shared" si="3"/>
        <v>0.10217459663257263</v>
      </c>
    </row>
    <row r="80" spans="1:10">
      <c r="A80">
        <v>77</v>
      </c>
      <c r="B80">
        <v>0.10034485915707878</v>
      </c>
      <c r="C80">
        <v>0.83208716086306345</v>
      </c>
      <c r="D80" s="1">
        <f t="shared" si="4"/>
        <v>-1.2795890062707842</v>
      </c>
      <c r="E80" s="1">
        <f t="shared" si="5"/>
        <v>-0.31714312978600223</v>
      </c>
      <c r="I80" s="1">
        <v>-1.7947386080488501</v>
      </c>
      <c r="J80">
        <f t="shared" si="3"/>
        <v>0.10220772134142569</v>
      </c>
    </row>
    <row r="81" spans="1:10">
      <c r="A81">
        <v>78</v>
      </c>
      <c r="B81">
        <v>0.82030701620532853</v>
      </c>
      <c r="C81">
        <v>6.2807092501602227E-2</v>
      </c>
      <c r="D81" s="1">
        <f t="shared" si="4"/>
        <v>0.91653574630531642</v>
      </c>
      <c r="E81" s="1">
        <f t="shared" si="5"/>
        <v>-0.61509255304436017</v>
      </c>
      <c r="I81" s="1">
        <v>-1.7860800424237135</v>
      </c>
      <c r="J81">
        <f t="shared" si="3"/>
        <v>0.10330369867435057</v>
      </c>
    </row>
    <row r="82" spans="1:10">
      <c r="A82">
        <v>79</v>
      </c>
      <c r="B82">
        <v>7.2817163609729299E-2</v>
      </c>
      <c r="C82">
        <v>0.60780663472396013</v>
      </c>
      <c r="D82" s="1">
        <f t="shared" si="4"/>
        <v>-1.4551261995286353</v>
      </c>
      <c r="E82" s="1">
        <f t="shared" si="5"/>
        <v>-1.1815192991437338</v>
      </c>
      <c r="I82" s="1">
        <v>-1.7822087260217649</v>
      </c>
      <c r="J82">
        <f t="shared" si="3"/>
        <v>0.10379646996307965</v>
      </c>
    </row>
    <row r="83" spans="1:10">
      <c r="A83">
        <v>80</v>
      </c>
      <c r="B83">
        <v>0.28678243354594563</v>
      </c>
      <c r="C83">
        <v>0.66713461714529865</v>
      </c>
      <c r="D83" s="1">
        <f t="shared" si="4"/>
        <v>-0.56280912343464984</v>
      </c>
      <c r="E83" s="1">
        <f t="shared" si="5"/>
        <v>-0.13079447362066571</v>
      </c>
      <c r="I83" s="1">
        <v>-1.7789729418404745</v>
      </c>
      <c r="J83">
        <f t="shared" si="3"/>
        <v>0.10420965216295826</v>
      </c>
    </row>
    <row r="84" spans="1:10">
      <c r="A84">
        <v>81</v>
      </c>
      <c r="B84">
        <v>0.60478530228583638</v>
      </c>
      <c r="C84">
        <v>0.68926053651539654</v>
      </c>
      <c r="D84" s="1">
        <f t="shared" si="4"/>
        <v>0.26575306103679064</v>
      </c>
      <c r="E84" s="1">
        <f t="shared" si="5"/>
        <v>0.75950847189118842</v>
      </c>
      <c r="I84" s="1">
        <v>-1.7777158389543009</v>
      </c>
      <c r="J84">
        <f t="shared" si="3"/>
        <v>0.1043704946844225</v>
      </c>
    </row>
    <row r="85" spans="1:10">
      <c r="A85">
        <v>82</v>
      </c>
      <c r="B85">
        <v>0.64760277108066044</v>
      </c>
      <c r="C85">
        <v>0.67430646687215801</v>
      </c>
      <c r="D85" s="1">
        <f t="shared" si="4"/>
        <v>0.37885646027304337</v>
      </c>
      <c r="E85" s="1">
        <f t="shared" si="5"/>
        <v>0.8306925529797583</v>
      </c>
      <c r="I85" s="1">
        <v>-1.7743552827421527</v>
      </c>
      <c r="J85">
        <f t="shared" si="3"/>
        <v>0.10480135080721417</v>
      </c>
    </row>
    <row r="86" spans="1:10">
      <c r="A86">
        <v>83</v>
      </c>
      <c r="B86">
        <v>0.39951780755027927</v>
      </c>
      <c r="C86">
        <v>0.10928678243354595</v>
      </c>
      <c r="D86" s="1">
        <f t="shared" si="4"/>
        <v>-0.25459539651333224</v>
      </c>
      <c r="E86" s="1">
        <f t="shared" si="5"/>
        <v>-1.4849253689613438</v>
      </c>
      <c r="I86" s="1">
        <v>-1.7545879225216208</v>
      </c>
      <c r="J86">
        <f t="shared" si="3"/>
        <v>0.10736180459278652</v>
      </c>
    </row>
    <row r="87" spans="1:10">
      <c r="A87">
        <v>84</v>
      </c>
      <c r="B87">
        <v>0.39075899533066805</v>
      </c>
      <c r="C87">
        <v>0.50062562944425792</v>
      </c>
      <c r="D87" s="1">
        <f t="shared" si="4"/>
        <v>-0.27734137730692904</v>
      </c>
      <c r="E87" s="1">
        <f t="shared" si="5"/>
        <v>-0.27577315620971843</v>
      </c>
      <c r="I87" s="1">
        <v>-1.7541782822046859</v>
      </c>
      <c r="J87">
        <f t="shared" si="3"/>
        <v>0.10741533781086213</v>
      </c>
    </row>
    <row r="88" spans="1:10">
      <c r="A88">
        <v>85</v>
      </c>
      <c r="B88">
        <v>0.51145970030823695</v>
      </c>
      <c r="C88">
        <v>0.13745536667989136</v>
      </c>
      <c r="D88" s="1">
        <f t="shared" si="4"/>
        <v>2.872916032777037E-2</v>
      </c>
      <c r="E88" s="1">
        <f t="shared" si="5"/>
        <v>-1.0630942358441313</v>
      </c>
      <c r="I88" s="1">
        <v>-1.7522424661594687</v>
      </c>
      <c r="J88">
        <f t="shared" si="3"/>
        <v>0.10766857726742846</v>
      </c>
    </row>
    <row r="89" spans="1:10">
      <c r="A89">
        <v>86</v>
      </c>
      <c r="B89">
        <v>0.85976744895779289</v>
      </c>
      <c r="C89">
        <v>0.59492782372508923</v>
      </c>
      <c r="D89" s="1">
        <f t="shared" si="4"/>
        <v>1.0792751168297392</v>
      </c>
      <c r="E89" s="1">
        <f t="shared" si="5"/>
        <v>1.3195149277653193</v>
      </c>
      <c r="I89" s="1">
        <v>-1.7476642183243047</v>
      </c>
      <c r="J89">
        <f t="shared" si="3"/>
        <v>0.10826920514376878</v>
      </c>
    </row>
    <row r="90" spans="1:10">
      <c r="A90">
        <v>87</v>
      </c>
      <c r="B90">
        <v>0.20270393993957336</v>
      </c>
      <c r="C90">
        <v>0.21756645405438399</v>
      </c>
      <c r="D90" s="1">
        <f t="shared" si="4"/>
        <v>-0.83200188613510362</v>
      </c>
      <c r="E90" s="1">
        <f t="shared" si="5"/>
        <v>-1.6124402258633967</v>
      </c>
      <c r="I90" s="1">
        <v>-1.7316338949689432</v>
      </c>
      <c r="J90">
        <f t="shared" si="3"/>
        <v>0.11039124548743522</v>
      </c>
    </row>
    <row r="91" spans="1:10">
      <c r="A91">
        <v>88</v>
      </c>
      <c r="B91">
        <v>0.95306253242591632</v>
      </c>
      <c r="C91">
        <v>0.5671559801019318</v>
      </c>
      <c r="D91" s="1">
        <f t="shared" si="4"/>
        <v>1.6753022962622557</v>
      </c>
      <c r="E91" s="1">
        <f t="shared" si="5"/>
        <v>1.8444403674893823</v>
      </c>
      <c r="I91" s="1">
        <v>-1.7210906015036578</v>
      </c>
      <c r="J91">
        <f t="shared" si="3"/>
        <v>0.11180309043976921</v>
      </c>
    </row>
    <row r="92" spans="1:10">
      <c r="A92">
        <v>89</v>
      </c>
      <c r="B92">
        <v>3.5828730124820705E-2</v>
      </c>
      <c r="C92">
        <v>0.75801873836481826</v>
      </c>
      <c r="D92" s="1">
        <f t="shared" si="4"/>
        <v>-1.801288241188318</v>
      </c>
      <c r="E92" s="1">
        <f t="shared" si="5"/>
        <v>-1.1013446345997995</v>
      </c>
      <c r="I92" s="1">
        <v>-1.7182922358949706</v>
      </c>
      <c r="J92">
        <f t="shared" si="3"/>
        <v>0.1121799769564132</v>
      </c>
    </row>
    <row r="93" spans="1:10">
      <c r="A93">
        <v>90</v>
      </c>
      <c r="B93">
        <v>0.27191991943113497</v>
      </c>
      <c r="C93">
        <v>0.29032258064516131</v>
      </c>
      <c r="D93" s="1">
        <f t="shared" si="4"/>
        <v>-0.60701668576149936</v>
      </c>
      <c r="E93" s="1">
        <f t="shared" si="5"/>
        <v>-1.1594592704082736</v>
      </c>
      <c r="I93" s="1">
        <v>-1.7083341619941852</v>
      </c>
      <c r="J93">
        <f t="shared" si="3"/>
        <v>0.11352850273889913</v>
      </c>
    </row>
    <row r="94" spans="1:10">
      <c r="A94">
        <v>91</v>
      </c>
      <c r="B94">
        <v>0.15280617694631793</v>
      </c>
      <c r="C94">
        <v>0.40754417554246652</v>
      </c>
      <c r="D94" s="1">
        <f t="shared" si="4"/>
        <v>-1.0244720753447043</v>
      </c>
      <c r="E94" s="1">
        <f t="shared" si="5"/>
        <v>-1.2583389232572963</v>
      </c>
      <c r="I94" s="1">
        <v>-1.7016350717991449</v>
      </c>
      <c r="J94">
        <f t="shared" si="3"/>
        <v>0.11444217521767244</v>
      </c>
    </row>
    <row r="95" spans="1:10">
      <c r="A95">
        <v>92</v>
      </c>
      <c r="B95">
        <v>0.11529892880031739</v>
      </c>
      <c r="C95">
        <v>0.32706686605426188</v>
      </c>
      <c r="D95" s="1">
        <f t="shared" si="4"/>
        <v>-1.1988202222575446</v>
      </c>
      <c r="E95" s="1">
        <f t="shared" si="5"/>
        <v>-1.6468471927016588</v>
      </c>
      <c r="I95" s="1">
        <v>-1.7009651617641128</v>
      </c>
      <c r="J95">
        <f t="shared" si="3"/>
        <v>0.11453382969138934</v>
      </c>
    </row>
    <row r="96" spans="1:10">
      <c r="A96">
        <v>93</v>
      </c>
      <c r="B96">
        <v>0.79457991271706285</v>
      </c>
      <c r="C96">
        <v>1.4191106906338695E-2</v>
      </c>
      <c r="D96" s="1">
        <f t="shared" si="4"/>
        <v>0.82241600290530059</v>
      </c>
      <c r="E96" s="1">
        <f t="shared" si="5"/>
        <v>-1.3695465065140384</v>
      </c>
      <c r="I96" s="1">
        <v>-1.690333446637466</v>
      </c>
      <c r="J96">
        <f t="shared" si="3"/>
        <v>0.11599541809704726</v>
      </c>
    </row>
    <row r="97" spans="1:10">
      <c r="A97">
        <v>94</v>
      </c>
      <c r="B97">
        <v>0.40974150822473832</v>
      </c>
      <c r="C97">
        <v>0.33787041840876492</v>
      </c>
      <c r="D97" s="1">
        <f t="shared" si="4"/>
        <v>-0.2282099629801374</v>
      </c>
      <c r="E97" s="1">
        <f t="shared" si="5"/>
        <v>-0.64649211578407839</v>
      </c>
      <c r="I97" s="1">
        <v>-1.6851183104831948</v>
      </c>
      <c r="J97">
        <f t="shared" si="3"/>
        <v>0.11671718622282909</v>
      </c>
    </row>
    <row r="98" spans="1:10">
      <c r="A98">
        <v>95</v>
      </c>
      <c r="B98">
        <v>4.6296578875087743E-2</v>
      </c>
      <c r="C98">
        <v>0.54503006073183391</v>
      </c>
      <c r="D98" s="1">
        <f t="shared" si="4"/>
        <v>-1.6818746063522676</v>
      </c>
      <c r="E98" s="1">
        <f t="shared" si="5"/>
        <v>-1.5687602313539355</v>
      </c>
      <c r="I98" s="1">
        <v>-1.6756510964460354</v>
      </c>
      <c r="J98">
        <f t="shared" si="3"/>
        <v>0.11803556150715364</v>
      </c>
    </row>
    <row r="99" spans="1:10">
      <c r="A99">
        <v>96</v>
      </c>
      <c r="B99">
        <v>0.86751915036469618</v>
      </c>
      <c r="C99">
        <v>0.8885464033936582</v>
      </c>
      <c r="D99" s="1">
        <f t="shared" si="4"/>
        <v>1.1147403624568366</v>
      </c>
      <c r="E99" s="1">
        <f t="shared" si="5"/>
        <v>2.333574390810699</v>
      </c>
      <c r="I99" s="1">
        <v>-1.6622763949087962</v>
      </c>
      <c r="J99">
        <f t="shared" si="3"/>
        <v>0.11991597993771044</v>
      </c>
    </row>
    <row r="100" spans="1:10">
      <c r="A100">
        <v>97</v>
      </c>
      <c r="B100">
        <v>0.17947935422833949</v>
      </c>
      <c r="C100">
        <v>0.96478164006469924</v>
      </c>
      <c r="D100" s="1">
        <f t="shared" si="4"/>
        <v>-0.91735106139954992</v>
      </c>
      <c r="E100" s="1">
        <f t="shared" si="5"/>
        <v>0.89174088620649394</v>
      </c>
      <c r="I100" s="1">
        <v>-1.6558608923732103</v>
      </c>
      <c r="J100">
        <f t="shared" si="3"/>
        <v>0.12082542411583161</v>
      </c>
    </row>
    <row r="101" spans="1:10">
      <c r="A101">
        <v>98</v>
      </c>
      <c r="B101">
        <v>0.51207007049775688</v>
      </c>
      <c r="C101">
        <v>0.9115268410290841</v>
      </c>
      <c r="D101" s="1">
        <f t="shared" si="4"/>
        <v>3.0259797276388212E-2</v>
      </c>
      <c r="E101" s="1">
        <f t="shared" si="5"/>
        <v>1.3804770117132898</v>
      </c>
      <c r="I101" s="1">
        <v>-1.6518611390844431</v>
      </c>
      <c r="J101">
        <f t="shared" si="3"/>
        <v>0.1213948689406236</v>
      </c>
    </row>
    <row r="102" spans="1:10">
      <c r="A102">
        <v>99</v>
      </c>
      <c r="B102">
        <v>0.4230475783562731</v>
      </c>
      <c r="C102">
        <v>0.55812250129703667</v>
      </c>
      <c r="D102" s="1">
        <f t="shared" si="4"/>
        <v>-0.19410309697320791</v>
      </c>
      <c r="E102" s="1">
        <f t="shared" si="5"/>
        <v>-4.7892319000969741E-2</v>
      </c>
      <c r="I102" s="1">
        <v>-1.6478519018795303</v>
      </c>
      <c r="J102">
        <f t="shared" si="3"/>
        <v>0.12196755497977514</v>
      </c>
    </row>
    <row r="103" spans="1:10">
      <c r="A103">
        <v>100</v>
      </c>
      <c r="B103">
        <v>0.32099368266853845</v>
      </c>
      <c r="C103">
        <v>0.61806085390789511</v>
      </c>
      <c r="D103" s="1">
        <f t="shared" si="4"/>
        <v>-0.46492192995226622</v>
      </c>
      <c r="E103" s="1">
        <f t="shared" si="5"/>
        <v>-0.16453009649631262</v>
      </c>
      <c r="I103" s="1">
        <v>-1.6468471927016588</v>
      </c>
      <c r="J103">
        <f t="shared" si="3"/>
        <v>0.12211136615481502</v>
      </c>
    </row>
    <row r="104" spans="1:10">
      <c r="A104">
        <v>101</v>
      </c>
      <c r="B104">
        <v>0.16364024781029696</v>
      </c>
      <c r="C104">
        <v>0.55748161259804074</v>
      </c>
      <c r="D104" s="1">
        <f t="shared" si="4"/>
        <v>-0.97960629659331999</v>
      </c>
      <c r="E104" s="1">
        <f t="shared" si="5"/>
        <v>-0.83501905968021373</v>
      </c>
      <c r="I104" s="1">
        <v>-1.6466570910396323</v>
      </c>
      <c r="J104">
        <f t="shared" si="3"/>
        <v>0.12213859014876474</v>
      </c>
    </row>
    <row r="105" spans="1:10">
      <c r="A105">
        <v>102</v>
      </c>
      <c r="B105">
        <v>0.23850215155491805</v>
      </c>
      <c r="C105">
        <v>0.52571184423352768</v>
      </c>
      <c r="D105" s="1">
        <f t="shared" si="4"/>
        <v>-0.7111289961649393</v>
      </c>
      <c r="E105" s="1">
        <f t="shared" si="5"/>
        <v>-0.64663427659522987</v>
      </c>
      <c r="I105" s="1">
        <v>-1.6352683143728295</v>
      </c>
      <c r="J105">
        <f t="shared" si="3"/>
        <v>0.12377732994924458</v>
      </c>
    </row>
    <row r="106" spans="1:10">
      <c r="A106">
        <v>103</v>
      </c>
      <c r="B106">
        <v>6.8300424207281718E-2</v>
      </c>
      <c r="C106">
        <v>0.3295083468123417</v>
      </c>
      <c r="D106" s="1">
        <f t="shared" si="4"/>
        <v>-1.488569195271225</v>
      </c>
      <c r="E106" s="1">
        <f t="shared" si="5"/>
        <v>-1.9298403671660211</v>
      </c>
      <c r="I106" s="1">
        <v>-1.6344103598790434</v>
      </c>
      <c r="J106">
        <f t="shared" si="3"/>
        <v>0.12390140219557719</v>
      </c>
    </row>
    <row r="107" spans="1:10">
      <c r="A107">
        <v>104</v>
      </c>
      <c r="B107">
        <v>0.3273720511490219</v>
      </c>
      <c r="C107">
        <v>8.890041810357982E-2</v>
      </c>
      <c r="D107" s="1">
        <f t="shared" si="4"/>
        <v>-0.44718138284681863</v>
      </c>
      <c r="E107" s="1">
        <f t="shared" si="5"/>
        <v>-1.7947386080488501</v>
      </c>
      <c r="I107" s="1">
        <v>-1.6323255811067738</v>
      </c>
      <c r="J107">
        <f t="shared" si="3"/>
        <v>0.12420325309929615</v>
      </c>
    </row>
    <row r="108" spans="1:10">
      <c r="A108">
        <v>105</v>
      </c>
      <c r="B108">
        <v>6.979583117160558E-2</v>
      </c>
      <c r="C108">
        <v>0.90911587878048039</v>
      </c>
      <c r="D108" s="1">
        <f t="shared" si="4"/>
        <v>-1.4773133452487739</v>
      </c>
      <c r="E108" s="1">
        <f t="shared" si="5"/>
        <v>-0.14198297360348233</v>
      </c>
      <c r="I108" s="1">
        <v>-1.6286763149535506</v>
      </c>
      <c r="J108">
        <f t="shared" si="3"/>
        <v>0.12473286051391411</v>
      </c>
    </row>
    <row r="109" spans="1:10">
      <c r="A109">
        <v>106</v>
      </c>
      <c r="B109">
        <v>0.48841822565385906</v>
      </c>
      <c r="C109">
        <v>0.82097842341380045</v>
      </c>
      <c r="D109" s="1">
        <f t="shared" si="4"/>
        <v>-2.9035282218142482E-2</v>
      </c>
      <c r="E109" s="1">
        <f t="shared" si="5"/>
        <v>0.89006493976696088</v>
      </c>
      <c r="I109" s="1">
        <v>-1.6262967611902133</v>
      </c>
      <c r="J109">
        <f t="shared" si="3"/>
        <v>0.12507904715736878</v>
      </c>
    </row>
    <row r="110" spans="1:10">
      <c r="A110">
        <v>107</v>
      </c>
      <c r="B110">
        <v>0.18103579821161533</v>
      </c>
      <c r="C110">
        <v>0.46552934354686115</v>
      </c>
      <c r="D110" s="1">
        <f t="shared" si="4"/>
        <v>-0.91142479066477033</v>
      </c>
      <c r="E110" s="1">
        <f t="shared" si="5"/>
        <v>-0.99793770916832247</v>
      </c>
      <c r="I110" s="1">
        <v>-1.6257842638802544</v>
      </c>
      <c r="J110">
        <f t="shared" si="3"/>
        <v>0.12515369498354231</v>
      </c>
    </row>
    <row r="111" spans="1:10">
      <c r="A111">
        <v>108</v>
      </c>
      <c r="B111">
        <v>9.9063081759086888E-2</v>
      </c>
      <c r="C111">
        <v>0.39848017822809534</v>
      </c>
      <c r="D111" s="1">
        <f t="shared" si="4"/>
        <v>-1.286908553792897</v>
      </c>
      <c r="E111" s="1">
        <f t="shared" si="5"/>
        <v>-1.5441914999285371</v>
      </c>
      <c r="I111" s="1">
        <v>-1.6234012237020496</v>
      </c>
      <c r="J111">
        <f t="shared" si="3"/>
        <v>0.12550120547501636</v>
      </c>
    </row>
    <row r="112" spans="1:10">
      <c r="A112">
        <v>109</v>
      </c>
      <c r="B112">
        <v>0.33329264198736536</v>
      </c>
      <c r="C112">
        <v>0.47779778435621206</v>
      </c>
      <c r="D112" s="1">
        <f t="shared" si="4"/>
        <v>-0.43083921445508205</v>
      </c>
      <c r="E112" s="1">
        <f t="shared" si="5"/>
        <v>-0.48652067527064036</v>
      </c>
      <c r="I112" s="1">
        <v>-1.6232366510564566</v>
      </c>
      <c r="J112">
        <f t="shared" si="3"/>
        <v>0.12552522936787361</v>
      </c>
    </row>
    <row r="113" spans="1:10">
      <c r="A113">
        <v>110</v>
      </c>
      <c r="B113">
        <v>0.23746452223273415</v>
      </c>
      <c r="C113">
        <v>0.67131565294351025</v>
      </c>
      <c r="D113" s="1">
        <f t="shared" si="4"/>
        <v>-0.7144822236004913</v>
      </c>
      <c r="E113" s="1">
        <f t="shared" si="5"/>
        <v>-0.27093323590636048</v>
      </c>
      <c r="I113" s="1">
        <v>-1.6124402258633967</v>
      </c>
      <c r="J113">
        <f t="shared" si="3"/>
        <v>0.12710827942425179</v>
      </c>
    </row>
    <row r="114" spans="1:10">
      <c r="A114">
        <v>111</v>
      </c>
      <c r="B114">
        <v>0.488967558824427</v>
      </c>
      <c r="C114">
        <v>9.8605304116946929E-2</v>
      </c>
      <c r="D114" s="1">
        <f t="shared" si="4"/>
        <v>-2.7657754724015379E-2</v>
      </c>
      <c r="E114" s="1">
        <f t="shared" si="5"/>
        <v>-1.3171972116311956</v>
      </c>
      <c r="I114" s="1">
        <v>-1.6096940802151951</v>
      </c>
      <c r="J114">
        <f t="shared" si="3"/>
        <v>0.12751314585231241</v>
      </c>
    </row>
    <row r="115" spans="1:10">
      <c r="A115">
        <v>112</v>
      </c>
      <c r="B115">
        <v>0.98843348490859706</v>
      </c>
      <c r="C115">
        <v>0.38633381145664847</v>
      </c>
      <c r="D115" s="1">
        <f t="shared" si="4"/>
        <v>2.2712304635820342</v>
      </c>
      <c r="E115" s="1">
        <f t="shared" si="5"/>
        <v>1.9823431638496567</v>
      </c>
      <c r="I115" s="1">
        <v>-1.5938870656168094</v>
      </c>
      <c r="J115">
        <f t="shared" si="3"/>
        <v>0.12986101904151379</v>
      </c>
    </row>
    <row r="116" spans="1:10">
      <c r="A116">
        <v>113</v>
      </c>
      <c r="B116">
        <v>0.79030732139042326</v>
      </c>
      <c r="C116">
        <v>0.53453169347209084</v>
      </c>
      <c r="D116" s="1">
        <f t="shared" si="4"/>
        <v>0.80748804886774816</v>
      </c>
      <c r="E116" s="1">
        <f t="shared" si="5"/>
        <v>0.89415453913454956</v>
      </c>
      <c r="I116" s="1">
        <v>-1.5821879020573972</v>
      </c>
      <c r="J116">
        <f t="shared" si="3"/>
        <v>0.13161790026779938</v>
      </c>
    </row>
    <row r="117" spans="1:10">
      <c r="A117">
        <v>114</v>
      </c>
      <c r="B117">
        <v>0.79802850428785055</v>
      </c>
      <c r="C117">
        <v>0.39527573473311561</v>
      </c>
      <c r="D117" s="1">
        <f t="shared" si="4"/>
        <v>0.83459994804382798</v>
      </c>
      <c r="E117" s="1">
        <f t="shared" si="5"/>
        <v>0.5690053799978303</v>
      </c>
      <c r="I117" s="1">
        <v>-1.5687602313539355</v>
      </c>
      <c r="J117">
        <f t="shared" si="3"/>
        <v>0.13365448998953933</v>
      </c>
    </row>
    <row r="118" spans="1:10">
      <c r="A118">
        <v>115</v>
      </c>
      <c r="B118">
        <v>9.2684713278603476E-2</v>
      </c>
      <c r="C118">
        <v>0.37907040620136112</v>
      </c>
      <c r="D118" s="1">
        <f t="shared" si="4"/>
        <v>-1.3244024343313563</v>
      </c>
      <c r="E118" s="1">
        <f t="shared" si="5"/>
        <v>-1.6323255811067738</v>
      </c>
      <c r="I118" s="1">
        <v>-1.5563270393522128</v>
      </c>
      <c r="J118">
        <f t="shared" si="3"/>
        <v>0.13555947207612867</v>
      </c>
    </row>
    <row r="119" spans="1:10">
      <c r="A119">
        <v>116</v>
      </c>
      <c r="B119">
        <v>8.0904568620868561E-2</v>
      </c>
      <c r="C119">
        <v>0.78368480483413194</v>
      </c>
      <c r="D119" s="1">
        <f t="shared" si="4"/>
        <v>-1.3990128248995404</v>
      </c>
      <c r="E119" s="1">
        <f t="shared" si="5"/>
        <v>-0.61431437241336206</v>
      </c>
      <c r="I119" s="1">
        <v>-1.5514966420011471</v>
      </c>
      <c r="J119">
        <f t="shared" si="3"/>
        <v>0.13630456689632281</v>
      </c>
    </row>
    <row r="120" spans="1:10">
      <c r="A120">
        <v>117</v>
      </c>
      <c r="B120">
        <v>0.52259895626697594</v>
      </c>
      <c r="C120">
        <v>0.83935056611835079</v>
      </c>
      <c r="D120" s="1">
        <f t="shared" si="4"/>
        <v>5.6677512717738666E-2</v>
      </c>
      <c r="E120" s="1">
        <f t="shared" si="5"/>
        <v>1.0484697857242087</v>
      </c>
      <c r="I120" s="1">
        <v>-1.5441914999285371</v>
      </c>
      <c r="J120">
        <f t="shared" si="3"/>
        <v>0.13743670873739805</v>
      </c>
    </row>
    <row r="121" spans="1:10">
      <c r="A121">
        <v>118</v>
      </c>
      <c r="B121">
        <v>0.40955839716788234</v>
      </c>
      <c r="C121">
        <v>0.35178685872981963</v>
      </c>
      <c r="D121" s="1">
        <f t="shared" si="4"/>
        <v>-0.22868108873693549</v>
      </c>
      <c r="E121" s="1">
        <f t="shared" si="5"/>
        <v>-0.6091818690005284</v>
      </c>
      <c r="I121" s="1">
        <v>-1.537924440531637</v>
      </c>
      <c r="J121">
        <f t="shared" si="3"/>
        <v>0.13841307290648225</v>
      </c>
    </row>
    <row r="122" spans="1:10">
      <c r="A122">
        <v>119</v>
      </c>
      <c r="B122">
        <v>0.31913205359050262</v>
      </c>
      <c r="C122">
        <v>0.81267738883632923</v>
      </c>
      <c r="D122" s="1">
        <f t="shared" si="4"/>
        <v>-0.47012724896094721</v>
      </c>
      <c r="E122" s="1">
        <f t="shared" si="5"/>
        <v>0.41767855137901816</v>
      </c>
      <c r="I122" s="1">
        <v>-1.5063209146086052</v>
      </c>
      <c r="J122">
        <f t="shared" si="3"/>
        <v>0.14340861286254433</v>
      </c>
    </row>
    <row r="123" spans="1:10">
      <c r="A123">
        <v>120</v>
      </c>
      <c r="B123">
        <v>0.75942258980071409</v>
      </c>
      <c r="C123">
        <v>0.82570879238257999</v>
      </c>
      <c r="D123" s="1">
        <f t="shared" si="4"/>
        <v>0.70444639727420222</v>
      </c>
      <c r="E123" s="1">
        <f t="shared" si="5"/>
        <v>1.6417888832443031</v>
      </c>
      <c r="I123" s="1">
        <v>-1.504137748212544</v>
      </c>
      <c r="J123">
        <f t="shared" si="3"/>
        <v>0.1437581432949103</v>
      </c>
    </row>
    <row r="124" spans="1:10">
      <c r="A124">
        <v>121</v>
      </c>
      <c r="B124">
        <v>0.79039887691885125</v>
      </c>
      <c r="C124">
        <v>0.92922757652516252</v>
      </c>
      <c r="D124" s="1">
        <f t="shared" si="4"/>
        <v>0.80780604240711229</v>
      </c>
      <c r="E124" s="1">
        <f t="shared" si="5"/>
        <v>2.2778684705991017</v>
      </c>
      <c r="I124" s="1">
        <v>-1.5014963251211333</v>
      </c>
      <c r="J124">
        <f t="shared" si="3"/>
        <v>0.14418180964468977</v>
      </c>
    </row>
    <row r="125" spans="1:10">
      <c r="A125">
        <v>122</v>
      </c>
      <c r="B125">
        <v>0.56544694357127601</v>
      </c>
      <c r="C125">
        <v>0.70198675496688745</v>
      </c>
      <c r="D125" s="1">
        <f t="shared" si="4"/>
        <v>0.16479401769004021</v>
      </c>
      <c r="E125" s="1">
        <f t="shared" si="5"/>
        <v>0.69491725315268571</v>
      </c>
      <c r="I125" s="1">
        <v>-1.4965303614352452</v>
      </c>
      <c r="J125">
        <f t="shared" si="3"/>
        <v>0.14498059346204156</v>
      </c>
    </row>
    <row r="126" spans="1:10">
      <c r="A126">
        <v>123</v>
      </c>
      <c r="B126">
        <v>0.36640522476882231</v>
      </c>
      <c r="C126">
        <v>9.9948118533890809E-2</v>
      </c>
      <c r="D126" s="1">
        <f t="shared" si="4"/>
        <v>-0.34138940579452925</v>
      </c>
      <c r="E126" s="1">
        <f t="shared" si="5"/>
        <v>-1.6232366510564566</v>
      </c>
      <c r="I126" s="1">
        <v>-1.4849253689613438</v>
      </c>
      <c r="J126">
        <f t="shared" si="3"/>
        <v>0.14685887294186295</v>
      </c>
    </row>
    <row r="127" spans="1:10">
      <c r="A127">
        <v>124</v>
      </c>
      <c r="B127">
        <v>0.89513840144047363</v>
      </c>
      <c r="C127">
        <v>0.35828730124820701</v>
      </c>
      <c r="D127" s="1">
        <f t="shared" si="4"/>
        <v>1.2543269364286627</v>
      </c>
      <c r="E127" s="1">
        <f t="shared" si="5"/>
        <v>0.89128639877974569</v>
      </c>
      <c r="I127" s="1">
        <v>-1.4847602998114242</v>
      </c>
      <c r="J127">
        <f t="shared" si="3"/>
        <v>0.14688570675542703</v>
      </c>
    </row>
    <row r="128" spans="1:10">
      <c r="A128">
        <v>125</v>
      </c>
      <c r="B128">
        <v>8.4047975096896266E-2</v>
      </c>
      <c r="C128">
        <v>0.92324594866786702</v>
      </c>
      <c r="D128" s="1">
        <f t="shared" si="4"/>
        <v>-1.3783477400484161</v>
      </c>
      <c r="E128" s="1">
        <f t="shared" si="5"/>
        <v>4.8901372837460322E-2</v>
      </c>
      <c r="I128" s="1">
        <v>-1.4812418148436723</v>
      </c>
      <c r="J128">
        <f t="shared" si="3"/>
        <v>0.1474584575091234</v>
      </c>
    </row>
    <row r="129" spans="1:10">
      <c r="A129">
        <v>126</v>
      </c>
      <c r="B129">
        <v>0.98239082003234957</v>
      </c>
      <c r="C129">
        <v>0.61836603900265508</v>
      </c>
      <c r="D129" s="1">
        <f t="shared" si="4"/>
        <v>2.1058387689160116</v>
      </c>
      <c r="E129" s="1">
        <f t="shared" si="5"/>
        <v>2.407030989035063</v>
      </c>
      <c r="I129" s="1">
        <v>-1.4806184264212319</v>
      </c>
      <c r="J129">
        <f t="shared" si="3"/>
        <v>0.14756009059873465</v>
      </c>
    </row>
    <row r="130" spans="1:10">
      <c r="A130">
        <v>127</v>
      </c>
      <c r="B130">
        <v>2.0477919858394117E-2</v>
      </c>
      <c r="C130">
        <v>0.63420514542069761</v>
      </c>
      <c r="D130" s="1">
        <f t="shared" si="4"/>
        <v>-2.0439767940609985</v>
      </c>
      <c r="E130" s="1">
        <f t="shared" si="5"/>
        <v>-1.7009651617641128</v>
      </c>
      <c r="I130" s="1">
        <v>-1.4792899500900749</v>
      </c>
      <c r="J130">
        <f t="shared" si="3"/>
        <v>0.14777683303718375</v>
      </c>
    </row>
    <row r="131" spans="1:10">
      <c r="A131">
        <v>128</v>
      </c>
      <c r="B131">
        <v>0.82180242316965235</v>
      </c>
      <c r="C131">
        <v>0.96996978667561873</v>
      </c>
      <c r="D131" s="1">
        <f t="shared" si="4"/>
        <v>0.92225581853699512</v>
      </c>
      <c r="E131" s="1">
        <f t="shared" si="5"/>
        <v>2.8026055723383747</v>
      </c>
      <c r="I131" s="1">
        <v>-1.4658789709810445</v>
      </c>
      <c r="J131">
        <f t="shared" si="3"/>
        <v>0.14997678527891081</v>
      </c>
    </row>
    <row r="132" spans="1:10">
      <c r="A132">
        <v>129</v>
      </c>
      <c r="B132">
        <v>0.82665486617633599</v>
      </c>
      <c r="C132">
        <v>0.25174718466750085</v>
      </c>
      <c r="D132" s="1">
        <f t="shared" si="4"/>
        <v>0.94102847386778821</v>
      </c>
      <c r="E132" s="1">
        <f t="shared" si="5"/>
        <v>0.27202673593645343</v>
      </c>
      <c r="I132" s="1">
        <v>-1.4611430189515016</v>
      </c>
      <c r="J132">
        <f t="shared" ref="J132:J195" si="6">_xlfn.NORM.DIST(I132,$J$1,$J$2,TRUE)</f>
        <v>0.1507588674781821</v>
      </c>
    </row>
    <row r="133" spans="1:10">
      <c r="A133">
        <v>130</v>
      </c>
      <c r="B133">
        <v>0.61845759453108307</v>
      </c>
      <c r="C133">
        <v>0.72234260078737755</v>
      </c>
      <c r="D133" s="1">
        <f t="shared" ref="D133:D196" si="7">_xlfn.NORM.INV(B133, 0, 1)</f>
        <v>0.30143237372461712</v>
      </c>
      <c r="E133" s="1">
        <f t="shared" ref="E133:E196" si="8">_xlfn.NORM.INV(C133,D133,1)</f>
        <v>0.89124720479671704</v>
      </c>
      <c r="I133" s="1">
        <v>-1.4546910200004839</v>
      </c>
      <c r="J133">
        <f t="shared" si="6"/>
        <v>0.15182869497730656</v>
      </c>
    </row>
    <row r="134" spans="1:10">
      <c r="A134">
        <v>131</v>
      </c>
      <c r="B134">
        <v>0.22586748863185521</v>
      </c>
      <c r="C134">
        <v>0.31327249977111116</v>
      </c>
      <c r="D134" s="1">
        <f t="shared" si="7"/>
        <v>-0.75252570552946585</v>
      </c>
      <c r="E134" s="1">
        <f t="shared" si="8"/>
        <v>-1.2391212247518064</v>
      </c>
      <c r="I134" s="1">
        <v>-1.4282163082847272</v>
      </c>
      <c r="J134">
        <f t="shared" si="6"/>
        <v>0.15627125716969789</v>
      </c>
    </row>
    <row r="135" spans="1:10">
      <c r="A135">
        <v>132</v>
      </c>
      <c r="B135">
        <v>0.74953459273049106</v>
      </c>
      <c r="C135">
        <v>0.18030335398419142</v>
      </c>
      <c r="D135" s="1">
        <f t="shared" si="7"/>
        <v>0.67302589869509766</v>
      </c>
      <c r="E135" s="1">
        <f t="shared" si="8"/>
        <v>-0.24118372559824985</v>
      </c>
      <c r="I135" s="1">
        <v>-1.4238436421941696</v>
      </c>
      <c r="J135">
        <f t="shared" si="6"/>
        <v>0.15701316550786029</v>
      </c>
    </row>
    <row r="136" spans="1:10">
      <c r="A136">
        <v>133</v>
      </c>
      <c r="B136">
        <v>0.75753044221320232</v>
      </c>
      <c r="C136">
        <v>0.21567430646687216</v>
      </c>
      <c r="D136" s="1">
        <f t="shared" si="7"/>
        <v>0.69838074378535464</v>
      </c>
      <c r="E136" s="1">
        <f t="shared" si="8"/>
        <v>-8.850524042370822E-2</v>
      </c>
      <c r="I136" s="1">
        <v>-1.4190584725831266</v>
      </c>
      <c r="J136">
        <f t="shared" si="6"/>
        <v>0.15782771391168857</v>
      </c>
    </row>
    <row r="137" spans="1:10">
      <c r="A137">
        <v>134</v>
      </c>
      <c r="B137">
        <v>0.64656514175847657</v>
      </c>
      <c r="C137">
        <v>3.1678212836085087E-2</v>
      </c>
      <c r="D137" s="1">
        <f t="shared" si="7"/>
        <v>0.37606346264859314</v>
      </c>
      <c r="E137" s="1">
        <f t="shared" si="8"/>
        <v>-1.4806184264212319</v>
      </c>
      <c r="I137" s="1">
        <v>-1.4068300771689393</v>
      </c>
      <c r="J137">
        <f t="shared" si="6"/>
        <v>0.15992185969640393</v>
      </c>
    </row>
    <row r="138" spans="1:10">
      <c r="A138">
        <v>135</v>
      </c>
      <c r="B138">
        <v>0.79067354350413521</v>
      </c>
      <c r="C138">
        <v>0.82265694143498036</v>
      </c>
      <c r="D138" s="1">
        <f t="shared" si="7"/>
        <v>0.8087605135595779</v>
      </c>
      <c r="E138" s="1">
        <f t="shared" si="8"/>
        <v>1.7342985321837017</v>
      </c>
      <c r="I138" s="1">
        <v>-1.4051240572192714</v>
      </c>
      <c r="J138">
        <f t="shared" si="6"/>
        <v>0.16021545826437683</v>
      </c>
    </row>
    <row r="139" spans="1:10">
      <c r="A139">
        <v>136</v>
      </c>
      <c r="B139">
        <v>0.77404095583971677</v>
      </c>
      <c r="C139">
        <v>0.21674245429853206</v>
      </c>
      <c r="D139" s="1">
        <f t="shared" si="7"/>
        <v>0.75222113061808771</v>
      </c>
      <c r="E139" s="1">
        <f t="shared" si="8"/>
        <v>-3.1021051369300334E-2</v>
      </c>
      <c r="I139" s="1">
        <v>-1.404670945593534</v>
      </c>
      <c r="J139">
        <f t="shared" si="6"/>
        <v>0.16029349597182152</v>
      </c>
    </row>
    <row r="140" spans="1:10">
      <c r="A140">
        <v>137</v>
      </c>
      <c r="B140">
        <v>0.52940458388012335</v>
      </c>
      <c r="C140">
        <v>0.78194524979400004</v>
      </c>
      <c r="D140" s="1">
        <f t="shared" si="7"/>
        <v>7.3773225087191321E-2</v>
      </c>
      <c r="E140" s="1">
        <f t="shared" si="8"/>
        <v>0.85255292065269295</v>
      </c>
      <c r="I140" s="1">
        <v>-1.4017240886254361</v>
      </c>
      <c r="J140">
        <f t="shared" si="6"/>
        <v>0.16080162809690801</v>
      </c>
    </row>
    <row r="141" spans="1:10">
      <c r="A141">
        <v>138</v>
      </c>
      <c r="B141">
        <v>0.78884243293557543</v>
      </c>
      <c r="C141">
        <v>0.1989501632740257</v>
      </c>
      <c r="D141" s="1">
        <f t="shared" si="7"/>
        <v>0.80241120409239797</v>
      </c>
      <c r="E141" s="1">
        <f t="shared" si="8"/>
        <v>-4.2965895079260519E-2</v>
      </c>
      <c r="I141" s="1">
        <v>-1.4014527430577477</v>
      </c>
      <c r="J141">
        <f t="shared" si="6"/>
        <v>0.16084846954812654</v>
      </c>
    </row>
    <row r="142" spans="1:10">
      <c r="A142">
        <v>139</v>
      </c>
      <c r="B142">
        <v>7.7211828974272896E-3</v>
      </c>
      <c r="C142">
        <v>4.5075838496047856E-2</v>
      </c>
      <c r="D142" s="1">
        <f t="shared" si="7"/>
        <v>-2.4218348721650429</v>
      </c>
      <c r="E142" s="1">
        <f t="shared" si="8"/>
        <v>-4.1164330288884914</v>
      </c>
      <c r="I142" s="1">
        <v>-1.40064120856856</v>
      </c>
      <c r="J142">
        <f t="shared" si="6"/>
        <v>0.16098861510938461</v>
      </c>
    </row>
    <row r="143" spans="1:10">
      <c r="A143">
        <v>140</v>
      </c>
      <c r="B143">
        <v>0.13815729239783928</v>
      </c>
      <c r="C143">
        <v>0.4098635822626423</v>
      </c>
      <c r="D143" s="1">
        <f t="shared" si="7"/>
        <v>-1.088635660098723</v>
      </c>
      <c r="E143" s="1">
        <f t="shared" si="8"/>
        <v>-1.3165315673858549</v>
      </c>
      <c r="I143" s="1">
        <v>-1.3999781881227225</v>
      </c>
      <c r="J143">
        <f t="shared" si="6"/>
        <v>0.16110317261067283</v>
      </c>
    </row>
    <row r="144" spans="1:10">
      <c r="A144">
        <v>141</v>
      </c>
      <c r="B144">
        <v>0.54908902249214153</v>
      </c>
      <c r="C144">
        <v>0.52153080843531607</v>
      </c>
      <c r="D144" s="1">
        <f t="shared" si="7"/>
        <v>0.12336009527832401</v>
      </c>
      <c r="E144" s="1">
        <f t="shared" si="8"/>
        <v>0.17735605511698607</v>
      </c>
      <c r="I144" s="1">
        <v>-1.3964835391502954</v>
      </c>
      <c r="J144">
        <f t="shared" si="6"/>
        <v>0.16170786125999276</v>
      </c>
    </row>
    <row r="145" spans="1:10">
      <c r="A145">
        <v>142</v>
      </c>
      <c r="B145">
        <v>0.91903439436017942</v>
      </c>
      <c r="C145">
        <v>0.32206183050019838</v>
      </c>
      <c r="D145" s="1">
        <f t="shared" si="7"/>
        <v>1.3986058494530216</v>
      </c>
      <c r="E145" s="1">
        <f t="shared" si="8"/>
        <v>0.93666489121433361</v>
      </c>
      <c r="I145" s="1">
        <v>-1.3891388312658044</v>
      </c>
      <c r="J145">
        <f t="shared" si="6"/>
        <v>0.16298355116153673</v>
      </c>
    </row>
    <row r="146" spans="1:10">
      <c r="A146">
        <v>143</v>
      </c>
      <c r="B146">
        <v>0.47337260048219243</v>
      </c>
      <c r="C146">
        <v>0.75374614703817866</v>
      </c>
      <c r="D146" s="1">
        <f t="shared" si="7"/>
        <v>-6.6794626908186869E-2</v>
      </c>
      <c r="E146" s="1">
        <f t="shared" si="8"/>
        <v>0.61953113685970562</v>
      </c>
      <c r="I146" s="1">
        <v>-1.3852050149318365</v>
      </c>
      <c r="J146">
        <f t="shared" si="6"/>
        <v>0.16366949221028493</v>
      </c>
    </row>
    <row r="147" spans="1:10">
      <c r="A147">
        <v>144</v>
      </c>
      <c r="B147">
        <v>0.90130314035462511</v>
      </c>
      <c r="C147">
        <v>0.73970763267921991</v>
      </c>
      <c r="D147" s="1">
        <f t="shared" si="7"/>
        <v>1.2890125623241633</v>
      </c>
      <c r="E147" s="1">
        <f t="shared" si="8"/>
        <v>1.9314568765714295</v>
      </c>
      <c r="I147" s="1">
        <v>-1.3846072536727783</v>
      </c>
      <c r="J147">
        <f t="shared" si="6"/>
        <v>0.16377388786654667</v>
      </c>
    </row>
    <row r="148" spans="1:10">
      <c r="A148">
        <v>145</v>
      </c>
      <c r="B148">
        <v>0.59398174993133335</v>
      </c>
      <c r="C148">
        <v>9.656056398205512E-2</v>
      </c>
      <c r="D148" s="1">
        <f t="shared" si="7"/>
        <v>0.23779963711555996</v>
      </c>
      <c r="E148" s="1">
        <f t="shared" si="8"/>
        <v>-1.0636016656348557</v>
      </c>
      <c r="I148" s="1">
        <v>-1.3836244226731109</v>
      </c>
      <c r="J148">
        <f t="shared" si="6"/>
        <v>0.16394562772733354</v>
      </c>
    </row>
    <row r="149" spans="1:10">
      <c r="A149">
        <v>146</v>
      </c>
      <c r="B149">
        <v>0.33823664052247687</v>
      </c>
      <c r="C149">
        <v>0.10849330118717002</v>
      </c>
      <c r="D149" s="1">
        <f t="shared" si="7"/>
        <v>-0.4172804574528679</v>
      </c>
      <c r="E149" s="1">
        <f t="shared" si="8"/>
        <v>-1.6518611390844431</v>
      </c>
      <c r="I149" s="1">
        <v>-1.3695465065140384</v>
      </c>
      <c r="J149">
        <f t="shared" si="6"/>
        <v>0.16641842031452136</v>
      </c>
    </row>
    <row r="150" spans="1:10">
      <c r="A150">
        <v>147</v>
      </c>
      <c r="B150">
        <v>0.88418225653859062</v>
      </c>
      <c r="C150">
        <v>0.24442274239326151</v>
      </c>
      <c r="D150" s="1">
        <f t="shared" si="7"/>
        <v>1.1961565145325814</v>
      </c>
      <c r="E150" s="1">
        <f t="shared" si="8"/>
        <v>0.50401025719349546</v>
      </c>
      <c r="I150" s="1">
        <v>-1.3578647814129823</v>
      </c>
      <c r="J150">
        <f t="shared" si="6"/>
        <v>0.1684885061435665</v>
      </c>
    </row>
    <row r="151" spans="1:10">
      <c r="A151">
        <v>148</v>
      </c>
      <c r="B151">
        <v>0.673421430097354</v>
      </c>
      <c r="C151">
        <v>0.56318857387005217</v>
      </c>
      <c r="D151" s="1">
        <f t="shared" si="7"/>
        <v>0.44938057752829208</v>
      </c>
      <c r="E151" s="1">
        <f t="shared" si="8"/>
        <v>0.60843899101070753</v>
      </c>
      <c r="I151" s="1">
        <v>-1.3566930294278614</v>
      </c>
      <c r="J151">
        <f t="shared" si="6"/>
        <v>0.16869705882924743</v>
      </c>
    </row>
    <row r="152" spans="1:10">
      <c r="A152">
        <v>149</v>
      </c>
      <c r="B152">
        <v>0.2349314859462264</v>
      </c>
      <c r="C152">
        <v>0.20224616229743339</v>
      </c>
      <c r="D152" s="1">
        <f t="shared" si="7"/>
        <v>-0.72270202387514959</v>
      </c>
      <c r="E152" s="1">
        <f t="shared" si="8"/>
        <v>-1.5563270393522128</v>
      </c>
      <c r="I152" s="1">
        <v>-1.3446256690842426</v>
      </c>
      <c r="J152">
        <f t="shared" si="6"/>
        <v>0.17085449758323817</v>
      </c>
    </row>
    <row r="153" spans="1:10">
      <c r="A153">
        <v>150</v>
      </c>
      <c r="B153">
        <v>0.63124485000152597</v>
      </c>
      <c r="C153">
        <v>0.67436750389111</v>
      </c>
      <c r="D153" s="1">
        <f t="shared" si="7"/>
        <v>0.33515217037666101</v>
      </c>
      <c r="E153" s="1">
        <f t="shared" si="8"/>
        <v>0.78715770925319606</v>
      </c>
      <c r="I153" s="1">
        <v>-1.3386082990694379</v>
      </c>
      <c r="J153">
        <f t="shared" si="6"/>
        <v>0.17193686863963964</v>
      </c>
    </row>
    <row r="154" spans="1:10">
      <c r="A154">
        <v>151</v>
      </c>
      <c r="B154">
        <v>9.3722342600787378E-2</v>
      </c>
      <c r="C154">
        <v>6.3997314371166111E-2</v>
      </c>
      <c r="D154" s="1">
        <f t="shared" si="7"/>
        <v>-1.3181761568257597</v>
      </c>
      <c r="E154" s="1">
        <f t="shared" si="8"/>
        <v>-2.8402338366015631</v>
      </c>
      <c r="I154" s="1">
        <v>-1.3244172638341667</v>
      </c>
      <c r="J154">
        <f t="shared" si="6"/>
        <v>0.1745067668008852</v>
      </c>
    </row>
    <row r="155" spans="1:10">
      <c r="A155">
        <v>152</v>
      </c>
      <c r="B155">
        <v>0.56987212744529558</v>
      </c>
      <c r="C155">
        <v>5.4811243018890961E-2</v>
      </c>
      <c r="D155" s="1">
        <f t="shared" si="7"/>
        <v>0.17604862070360067</v>
      </c>
      <c r="E155" s="1">
        <f t="shared" si="8"/>
        <v>-1.4238436421941696</v>
      </c>
      <c r="I155" s="1">
        <v>-1.3199798646325893</v>
      </c>
      <c r="J155">
        <f t="shared" si="6"/>
        <v>0.17531533035425317</v>
      </c>
    </row>
    <row r="156" spans="1:10">
      <c r="A156">
        <v>153</v>
      </c>
      <c r="B156">
        <v>0.59718619342631307</v>
      </c>
      <c r="C156">
        <v>0.37022003845332196</v>
      </c>
      <c r="D156" s="1">
        <f t="shared" si="7"/>
        <v>0.24607055879443415</v>
      </c>
      <c r="E156" s="1">
        <f t="shared" si="8"/>
        <v>-8.5200067209119795E-2</v>
      </c>
      <c r="I156" s="1">
        <v>-1.3171972116311956</v>
      </c>
      <c r="J156">
        <f t="shared" si="6"/>
        <v>0.17582358316913629</v>
      </c>
    </row>
    <row r="157" spans="1:10">
      <c r="A157">
        <v>154</v>
      </c>
      <c r="B157">
        <v>0.50883510849330116</v>
      </c>
      <c r="C157">
        <v>0.75923947874385811</v>
      </c>
      <c r="D157" s="1">
        <f t="shared" si="7"/>
        <v>2.2148143384830166E-2</v>
      </c>
      <c r="E157" s="1">
        <f t="shared" si="8"/>
        <v>0.72600641147111034</v>
      </c>
      <c r="I157" s="1">
        <v>-1.3165315673858549</v>
      </c>
      <c r="J157">
        <f t="shared" si="6"/>
        <v>0.17594530158153307</v>
      </c>
    </row>
    <row r="158" spans="1:10">
      <c r="A158">
        <v>155</v>
      </c>
      <c r="B158">
        <v>0.21054719687490464</v>
      </c>
      <c r="C158">
        <v>0.49031037324137089</v>
      </c>
      <c r="D158" s="1">
        <f t="shared" si="7"/>
        <v>-0.80452403575811027</v>
      </c>
      <c r="E158" s="1">
        <f t="shared" si="8"/>
        <v>-0.8288147166846549</v>
      </c>
      <c r="I158" s="1">
        <v>-1.316371348689954</v>
      </c>
      <c r="J158">
        <f t="shared" si="6"/>
        <v>0.17597460682615748</v>
      </c>
    </row>
    <row r="159" spans="1:10">
      <c r="A159">
        <v>156</v>
      </c>
      <c r="B159">
        <v>4.2909024323252054E-2</v>
      </c>
      <c r="C159">
        <v>0.39139988402966397</v>
      </c>
      <c r="D159" s="1">
        <f t="shared" si="7"/>
        <v>-1.7178825043264967</v>
      </c>
      <c r="E159" s="1">
        <f t="shared" si="8"/>
        <v>-1.9935548106345606</v>
      </c>
      <c r="I159" s="1">
        <v>-1.3158702052732134</v>
      </c>
      <c r="J159">
        <f t="shared" si="6"/>
        <v>0.17606628980296615</v>
      </c>
    </row>
    <row r="160" spans="1:10">
      <c r="A160">
        <v>157</v>
      </c>
      <c r="B160">
        <v>0.49034089175084689</v>
      </c>
      <c r="C160">
        <v>0.53947569200720236</v>
      </c>
      <c r="D160" s="1">
        <f t="shared" si="7"/>
        <v>-2.4214159867008235E-2</v>
      </c>
      <c r="E160" s="1">
        <f t="shared" si="8"/>
        <v>7.4898757534876875E-2</v>
      </c>
      <c r="I160" s="1">
        <v>-1.3091099161796718</v>
      </c>
      <c r="J160">
        <f t="shared" si="6"/>
        <v>0.17730602258626185</v>
      </c>
    </row>
    <row r="161" spans="1:10">
      <c r="A161">
        <v>158</v>
      </c>
      <c r="B161">
        <v>0.54264961699270609</v>
      </c>
      <c r="C161">
        <v>0.63844721823786121</v>
      </c>
      <c r="D161" s="1">
        <f t="shared" si="7"/>
        <v>0.10711119490359421</v>
      </c>
      <c r="E161" s="1">
        <f t="shared" si="8"/>
        <v>0.4614225438017836</v>
      </c>
      <c r="I161" s="1">
        <v>-1.3074454033017557</v>
      </c>
      <c r="J161">
        <f t="shared" si="6"/>
        <v>0.17761211224248774</v>
      </c>
    </row>
    <row r="162" spans="1:10">
      <c r="A162">
        <v>159</v>
      </c>
      <c r="B162">
        <v>1.8097476119266334E-2</v>
      </c>
      <c r="C162">
        <v>0.92049928281502735</v>
      </c>
      <c r="D162" s="1">
        <f t="shared" si="7"/>
        <v>-2.0947305461103607</v>
      </c>
      <c r="E162" s="1">
        <f t="shared" si="8"/>
        <v>-0.68629261602007108</v>
      </c>
      <c r="I162" s="1">
        <v>-1.2856095795976981</v>
      </c>
      <c r="J162">
        <f t="shared" si="6"/>
        <v>0.1816583694933161</v>
      </c>
    </row>
    <row r="163" spans="1:10">
      <c r="A163">
        <v>160</v>
      </c>
      <c r="B163">
        <v>0.74678792687765128</v>
      </c>
      <c r="C163">
        <v>0.2119815668202765</v>
      </c>
      <c r="D163" s="1">
        <f t="shared" si="7"/>
        <v>0.66441592014594653</v>
      </c>
      <c r="E163" s="1">
        <f t="shared" si="8"/>
        <v>-0.13514862957964047</v>
      </c>
      <c r="I163" s="1">
        <v>-1.2847055856073033</v>
      </c>
      <c r="J163">
        <f t="shared" si="6"/>
        <v>0.18182711692046247</v>
      </c>
    </row>
    <row r="164" spans="1:10">
      <c r="A164">
        <v>161</v>
      </c>
      <c r="B164">
        <v>0.43873409222693566</v>
      </c>
      <c r="C164">
        <v>0.80108035523545029</v>
      </c>
      <c r="D164" s="1">
        <f t="shared" si="7"/>
        <v>-0.15417952674331059</v>
      </c>
      <c r="E164" s="1">
        <f t="shared" si="8"/>
        <v>0.691306932882778</v>
      </c>
      <c r="I164" s="1">
        <v>-1.2845148490205944</v>
      </c>
      <c r="J164">
        <f t="shared" si="6"/>
        <v>0.18186273400312267</v>
      </c>
    </row>
    <row r="165" spans="1:10">
      <c r="A165">
        <v>162</v>
      </c>
      <c r="B165">
        <v>0.19919431134983367</v>
      </c>
      <c r="C165">
        <v>0.51377910702841278</v>
      </c>
      <c r="D165" s="1">
        <f t="shared" si="7"/>
        <v>-0.84450257921264849</v>
      </c>
      <c r="E165" s="1">
        <f t="shared" si="8"/>
        <v>-0.8099566098344545</v>
      </c>
      <c r="I165" s="1">
        <v>-1.2762893913900646</v>
      </c>
      <c r="J165">
        <f t="shared" si="6"/>
        <v>0.18340285989200464</v>
      </c>
    </row>
    <row r="166" spans="1:10">
      <c r="A166">
        <v>163</v>
      </c>
      <c r="B166">
        <v>0.49824518570513016</v>
      </c>
      <c r="C166">
        <v>0.82381664479506822</v>
      </c>
      <c r="D166" s="1">
        <f t="shared" si="7"/>
        <v>-4.3986813127785129E-3</v>
      </c>
      <c r="E166" s="1">
        <f t="shared" si="8"/>
        <v>0.92560976678788043</v>
      </c>
      <c r="I166" s="1">
        <v>-1.2737528243293492</v>
      </c>
      <c r="J166">
        <f t="shared" si="6"/>
        <v>0.1838794396251803</v>
      </c>
    </row>
    <row r="167" spans="1:10">
      <c r="A167">
        <v>164</v>
      </c>
      <c r="B167">
        <v>9.1738639484847562E-2</v>
      </c>
      <c r="C167">
        <v>0.38465529343546861</v>
      </c>
      <c r="D167" s="1">
        <f t="shared" si="7"/>
        <v>-1.3301244257427738</v>
      </c>
      <c r="E167" s="1">
        <f t="shared" si="8"/>
        <v>-1.6234012237020496</v>
      </c>
      <c r="I167" s="1">
        <v>-1.2716274490423056</v>
      </c>
      <c r="J167">
        <f t="shared" si="6"/>
        <v>0.18427935640861504</v>
      </c>
    </row>
    <row r="168" spans="1:10">
      <c r="A168">
        <v>165</v>
      </c>
      <c r="B168">
        <v>0.64354380932035282</v>
      </c>
      <c r="C168">
        <v>0.22305978576006347</v>
      </c>
      <c r="D168" s="1">
        <f t="shared" si="7"/>
        <v>0.36794749954621314</v>
      </c>
      <c r="E168" s="1">
        <f t="shared" si="8"/>
        <v>-0.3939526989648135</v>
      </c>
      <c r="I168" s="1">
        <v>-1.2702352407088118</v>
      </c>
      <c r="J168">
        <f t="shared" si="6"/>
        <v>0.18454161152127752</v>
      </c>
    </row>
    <row r="169" spans="1:10">
      <c r="A169">
        <v>166</v>
      </c>
      <c r="B169">
        <v>7.8646198919644764E-2</v>
      </c>
      <c r="C169">
        <v>0.6641132847071749</v>
      </c>
      <c r="D169" s="1">
        <f t="shared" si="7"/>
        <v>-1.4142367607893211</v>
      </c>
      <c r="E169" s="1">
        <f t="shared" si="8"/>
        <v>-0.99052142648118513</v>
      </c>
      <c r="I169" s="1">
        <v>-1.2583389232572963</v>
      </c>
      <c r="J169">
        <f t="shared" si="6"/>
        <v>0.18679201769698658</v>
      </c>
    </row>
    <row r="170" spans="1:10">
      <c r="A170">
        <v>167</v>
      </c>
      <c r="B170">
        <v>0.73961607715079192</v>
      </c>
      <c r="C170">
        <v>0.41508224738303784</v>
      </c>
      <c r="D170" s="1">
        <f t="shared" si="7"/>
        <v>0.64216224264648725</v>
      </c>
      <c r="E170" s="1">
        <f t="shared" si="8"/>
        <v>0.42767164040503641</v>
      </c>
      <c r="I170" s="1">
        <v>-1.254861057858293</v>
      </c>
      <c r="J170">
        <f t="shared" si="6"/>
        <v>0.18745311493263311</v>
      </c>
    </row>
    <row r="171" spans="1:10">
      <c r="A171">
        <v>168</v>
      </c>
      <c r="B171">
        <v>0.64433729056672873</v>
      </c>
      <c r="C171">
        <v>0.61122470778527171</v>
      </c>
      <c r="D171" s="1">
        <f t="shared" si="7"/>
        <v>0.37007659723342062</v>
      </c>
      <c r="E171" s="1">
        <f t="shared" si="8"/>
        <v>0.65258906951591988</v>
      </c>
      <c r="I171" s="1">
        <v>-1.2456189434964382</v>
      </c>
      <c r="J171">
        <f t="shared" si="6"/>
        <v>0.18921693713372578</v>
      </c>
    </row>
    <row r="172" spans="1:10">
      <c r="A172">
        <v>169</v>
      </c>
      <c r="B172">
        <v>0.40760521256141852</v>
      </c>
      <c r="C172">
        <v>0.16153447065645313</v>
      </c>
      <c r="D172" s="1">
        <f t="shared" si="7"/>
        <v>-0.23370961196146636</v>
      </c>
      <c r="E172" s="1">
        <f t="shared" si="8"/>
        <v>-1.221880544509685</v>
      </c>
      <c r="I172" s="1">
        <v>-1.2423061753461493</v>
      </c>
      <c r="J172">
        <f t="shared" si="6"/>
        <v>0.1898516460730344</v>
      </c>
    </row>
    <row r="173" spans="1:10">
      <c r="A173">
        <v>170</v>
      </c>
      <c r="B173">
        <v>0.76509903256324963</v>
      </c>
      <c r="C173">
        <v>0.13672292245246742</v>
      </c>
      <c r="D173" s="1">
        <f t="shared" si="7"/>
        <v>0.72280135479524765</v>
      </c>
      <c r="E173" s="1">
        <f t="shared" si="8"/>
        <v>-0.37236024653133581</v>
      </c>
      <c r="I173" s="1">
        <v>-1.2422846159502114</v>
      </c>
      <c r="J173">
        <f t="shared" si="6"/>
        <v>0.18985578102264333</v>
      </c>
    </row>
    <row r="174" spans="1:10">
      <c r="A174">
        <v>171</v>
      </c>
      <c r="B174">
        <v>1.1993774224066897E-2</v>
      </c>
      <c r="C174">
        <v>0.70506912442396308</v>
      </c>
      <c r="D174" s="1">
        <f t="shared" si="7"/>
        <v>-2.2573286175640366</v>
      </c>
      <c r="E174" s="1">
        <f t="shared" si="8"/>
        <v>-1.7182922358949706</v>
      </c>
      <c r="I174" s="1">
        <v>-1.2407180844210508</v>
      </c>
      <c r="J174">
        <f t="shared" si="6"/>
        <v>0.19015637958703235</v>
      </c>
    </row>
    <row r="175" spans="1:10">
      <c r="A175">
        <v>172</v>
      </c>
      <c r="B175">
        <v>2.9236732078005312E-2</v>
      </c>
      <c r="C175">
        <v>0.90081484420300917</v>
      </c>
      <c r="D175" s="1">
        <f t="shared" si="7"/>
        <v>-1.8921314858900717</v>
      </c>
      <c r="E175" s="1">
        <f t="shared" si="8"/>
        <v>-0.60592300372736063</v>
      </c>
      <c r="I175" s="1">
        <v>-1.2391212247518064</v>
      </c>
      <c r="J175">
        <f t="shared" si="6"/>
        <v>0.19046309856576249</v>
      </c>
    </row>
    <row r="176" spans="1:10">
      <c r="A176">
        <v>173</v>
      </c>
      <c r="B176">
        <v>5.4567094943082983E-2</v>
      </c>
      <c r="C176">
        <v>0.96453749198889127</v>
      </c>
      <c r="D176" s="1">
        <f t="shared" si="7"/>
        <v>-1.60209687075035</v>
      </c>
      <c r="E176" s="1">
        <f t="shared" si="8"/>
        <v>0.20386038828054498</v>
      </c>
      <c r="I176" s="1">
        <v>-1.2390962802148799</v>
      </c>
      <c r="J176">
        <f t="shared" si="6"/>
        <v>0.19046789222996774</v>
      </c>
    </row>
    <row r="177" spans="1:10">
      <c r="A177">
        <v>174</v>
      </c>
      <c r="B177">
        <v>0.19425031281472213</v>
      </c>
      <c r="C177">
        <v>0.26136051515243997</v>
      </c>
      <c r="D177" s="1">
        <f t="shared" si="7"/>
        <v>-0.86233967584463556</v>
      </c>
      <c r="E177" s="1">
        <f t="shared" si="8"/>
        <v>-1.5014963251211333</v>
      </c>
      <c r="I177" s="1">
        <v>-1.2370489336130903</v>
      </c>
      <c r="J177">
        <f t="shared" si="6"/>
        <v>0.19086158931909034</v>
      </c>
    </row>
    <row r="178" spans="1:10">
      <c r="A178">
        <v>175</v>
      </c>
      <c r="B178">
        <v>0.28800317392498548</v>
      </c>
      <c r="C178">
        <v>8.4109012115848258E-2</v>
      </c>
      <c r="D178" s="1">
        <f t="shared" si="7"/>
        <v>-0.55922767516086447</v>
      </c>
      <c r="E178" s="1">
        <f t="shared" si="8"/>
        <v>-1.9371799480310723</v>
      </c>
      <c r="I178" s="1">
        <v>-1.2364979392638487</v>
      </c>
      <c r="J178">
        <f t="shared" si="6"/>
        <v>0.19096762867373054</v>
      </c>
    </row>
    <row r="179" spans="1:10">
      <c r="A179">
        <v>176</v>
      </c>
      <c r="B179">
        <v>0.48954741050447098</v>
      </c>
      <c r="C179">
        <v>0.44419690542313911</v>
      </c>
      <c r="D179" s="1">
        <f t="shared" si="7"/>
        <v>-2.6203754807348479E-2</v>
      </c>
      <c r="E179" s="1">
        <f t="shared" si="8"/>
        <v>-0.16654065475840615</v>
      </c>
      <c r="I179" s="1">
        <v>-1.231806287527538</v>
      </c>
      <c r="J179">
        <f t="shared" si="6"/>
        <v>0.19187200439005064</v>
      </c>
    </row>
    <row r="180" spans="1:10">
      <c r="A180">
        <v>177</v>
      </c>
      <c r="B180">
        <v>0.87343974120303969</v>
      </c>
      <c r="C180">
        <v>0.47428815576647237</v>
      </c>
      <c r="D180" s="1">
        <f t="shared" si="7"/>
        <v>1.1428026998778593</v>
      </c>
      <c r="E180" s="1">
        <f t="shared" si="8"/>
        <v>1.0783079803081499</v>
      </c>
      <c r="I180" s="1">
        <v>-1.2275938849269687</v>
      </c>
      <c r="J180">
        <f t="shared" si="6"/>
        <v>0.19268622851322106</v>
      </c>
    </row>
    <row r="181" spans="1:10">
      <c r="A181">
        <v>178</v>
      </c>
      <c r="B181">
        <v>0.94518875698110905</v>
      </c>
      <c r="C181">
        <v>0.76732688375499736</v>
      </c>
      <c r="D181" s="1">
        <f t="shared" si="7"/>
        <v>1.5998922628977703</v>
      </c>
      <c r="E181" s="1">
        <f t="shared" si="8"/>
        <v>2.3299641695134046</v>
      </c>
      <c r="I181" s="1">
        <v>-1.221880544509685</v>
      </c>
      <c r="J181">
        <f t="shared" si="6"/>
        <v>0.19379394010655415</v>
      </c>
    </row>
    <row r="182" spans="1:10">
      <c r="A182">
        <v>179</v>
      </c>
      <c r="B182">
        <v>0.99295022431104463</v>
      </c>
      <c r="C182">
        <v>9.5248268074587236E-2</v>
      </c>
      <c r="D182" s="1">
        <f t="shared" si="7"/>
        <v>2.4547170615446894</v>
      </c>
      <c r="E182" s="1">
        <f t="shared" si="8"/>
        <v>1.1456054192662368</v>
      </c>
      <c r="I182" s="1">
        <v>-1.2211836396694822</v>
      </c>
      <c r="J182">
        <f t="shared" si="6"/>
        <v>0.19392932226528914</v>
      </c>
    </row>
    <row r="183" spans="1:10">
      <c r="A183">
        <v>180</v>
      </c>
      <c r="B183">
        <v>0.76128421887874997</v>
      </c>
      <c r="C183">
        <v>0.91946165349284337</v>
      </c>
      <c r="D183" s="1">
        <f t="shared" si="7"/>
        <v>0.710439618520877</v>
      </c>
      <c r="E183" s="1">
        <f t="shared" si="8"/>
        <v>2.1118991765736981</v>
      </c>
      <c r="I183" s="1">
        <v>-1.218599765095628</v>
      </c>
      <c r="J183">
        <f t="shared" si="6"/>
        <v>0.19443177381848062</v>
      </c>
    </row>
    <row r="184" spans="1:10">
      <c r="A184">
        <v>181</v>
      </c>
      <c r="B184">
        <v>0.11935789056062501</v>
      </c>
      <c r="C184">
        <v>0.23523667104098636</v>
      </c>
      <c r="D184" s="1">
        <f t="shared" si="7"/>
        <v>-1.1782027635348835</v>
      </c>
      <c r="E184" s="1">
        <f t="shared" si="8"/>
        <v>-1.8999118700355062</v>
      </c>
      <c r="I184" s="1">
        <v>-1.2166644756689935</v>
      </c>
      <c r="J184">
        <f t="shared" si="6"/>
        <v>0.19480862223558629</v>
      </c>
    </row>
    <row r="185" spans="1:10">
      <c r="A185">
        <v>182</v>
      </c>
      <c r="B185">
        <v>0.36198004089480268</v>
      </c>
      <c r="C185">
        <v>0.78560747093111971</v>
      </c>
      <c r="D185" s="1">
        <f t="shared" si="7"/>
        <v>-0.35317122100038495</v>
      </c>
      <c r="E185" s="1">
        <f t="shared" si="8"/>
        <v>0.43810116618343614</v>
      </c>
      <c r="I185" s="1">
        <v>-1.2158974867528389</v>
      </c>
      <c r="J185">
        <f t="shared" si="6"/>
        <v>0.19495809666946573</v>
      </c>
    </row>
    <row r="186" spans="1:10">
      <c r="A186">
        <v>183</v>
      </c>
      <c r="B186">
        <v>0.26496169927060764</v>
      </c>
      <c r="C186">
        <v>0.55296487319559318</v>
      </c>
      <c r="D186" s="1">
        <f t="shared" si="7"/>
        <v>-0.62812295198051415</v>
      </c>
      <c r="E186" s="1">
        <f t="shared" si="8"/>
        <v>-0.494967262787395</v>
      </c>
      <c r="I186" s="1">
        <v>-1.1980308643649367</v>
      </c>
      <c r="J186">
        <f t="shared" si="6"/>
        <v>0.19845973075454801</v>
      </c>
    </row>
    <row r="187" spans="1:10">
      <c r="A187">
        <v>184</v>
      </c>
      <c r="B187">
        <v>0.41877498702963345</v>
      </c>
      <c r="C187">
        <v>0.76067384868923005</v>
      </c>
      <c r="D187" s="1">
        <f t="shared" si="7"/>
        <v>-0.20502835172454231</v>
      </c>
      <c r="E187" s="1">
        <f t="shared" si="8"/>
        <v>0.50344347364668551</v>
      </c>
      <c r="I187" s="1">
        <v>-1.1950558072946382</v>
      </c>
      <c r="J187">
        <f t="shared" si="6"/>
        <v>0.19904646814064378</v>
      </c>
    </row>
    <row r="188" spans="1:10">
      <c r="A188">
        <v>185</v>
      </c>
      <c r="B188">
        <v>0.60298471022675248</v>
      </c>
      <c r="C188">
        <v>0.81276894436475722</v>
      </c>
      <c r="D188" s="1">
        <f t="shared" si="7"/>
        <v>0.26108030485310857</v>
      </c>
      <c r="E188" s="1">
        <f t="shared" si="8"/>
        <v>1.1492265097832055</v>
      </c>
      <c r="I188" s="1">
        <v>-1.1896224106345112</v>
      </c>
      <c r="J188">
        <f t="shared" si="6"/>
        <v>0.2001207302707339</v>
      </c>
    </row>
    <row r="189" spans="1:10">
      <c r="A189">
        <v>186</v>
      </c>
      <c r="B189">
        <v>0.91183202612384406</v>
      </c>
      <c r="C189">
        <v>0.51704458754234439</v>
      </c>
      <c r="D189" s="1">
        <f t="shared" si="7"/>
        <v>1.3521230718018913</v>
      </c>
      <c r="E189" s="1">
        <f t="shared" si="8"/>
        <v>1.3948605232208773</v>
      </c>
      <c r="I189" s="1">
        <v>-1.1874646667574291</v>
      </c>
      <c r="J189">
        <f t="shared" si="6"/>
        <v>0.2005483128192331</v>
      </c>
    </row>
    <row r="190" spans="1:10">
      <c r="A190">
        <v>187</v>
      </c>
      <c r="B190">
        <v>0.50587481307412951</v>
      </c>
      <c r="C190">
        <v>0.66380809961241494</v>
      </c>
      <c r="D190" s="1">
        <f t="shared" si="7"/>
        <v>1.4726504831850805E-2</v>
      </c>
      <c r="E190" s="1">
        <f t="shared" si="8"/>
        <v>0.43760515452996479</v>
      </c>
      <c r="I190" s="1">
        <v>-1.185523076885787</v>
      </c>
      <c r="J190">
        <f t="shared" si="6"/>
        <v>0.20093353041721426</v>
      </c>
    </row>
    <row r="191" spans="1:10">
      <c r="A191">
        <v>188</v>
      </c>
      <c r="B191">
        <v>0.34705648976104009</v>
      </c>
      <c r="C191">
        <v>0.42078920865504926</v>
      </c>
      <c r="D191" s="1">
        <f t="shared" si="7"/>
        <v>-0.3932796056582829</v>
      </c>
      <c r="E191" s="1">
        <f t="shared" si="8"/>
        <v>-0.59315451066713432</v>
      </c>
      <c r="I191" s="1">
        <v>-1.1822304942841924</v>
      </c>
      <c r="J191">
        <f t="shared" si="6"/>
        <v>0.2015878031382522</v>
      </c>
    </row>
    <row r="192" spans="1:10">
      <c r="A192">
        <v>189</v>
      </c>
      <c r="B192">
        <v>0.89837336344492935</v>
      </c>
      <c r="C192">
        <v>0.12979522080141606</v>
      </c>
      <c r="D192" s="1">
        <f t="shared" si="7"/>
        <v>1.2723373789740493</v>
      </c>
      <c r="E192" s="1">
        <f t="shared" si="8"/>
        <v>0.14497770495349083</v>
      </c>
      <c r="I192" s="1">
        <v>-1.1815192991437338</v>
      </c>
      <c r="J192">
        <f t="shared" si="6"/>
        <v>0.20172929294208483</v>
      </c>
    </row>
    <row r="193" spans="1:10">
      <c r="A193">
        <v>190</v>
      </c>
      <c r="B193">
        <v>0.68550675984984888</v>
      </c>
      <c r="C193">
        <v>0.84765160069582202</v>
      </c>
      <c r="D193" s="1">
        <f t="shared" si="7"/>
        <v>0.48315387891815353</v>
      </c>
      <c r="E193" s="1">
        <f t="shared" si="8"/>
        <v>1.5095672063716179</v>
      </c>
      <c r="I193" s="1">
        <v>-1.1789884882145507</v>
      </c>
      <c r="J193">
        <f t="shared" si="6"/>
        <v>0.2022332711749423</v>
      </c>
    </row>
    <row r="194" spans="1:10">
      <c r="A194">
        <v>191</v>
      </c>
      <c r="B194">
        <v>0.50428785058137759</v>
      </c>
      <c r="C194">
        <v>0.30552079836420787</v>
      </c>
      <c r="D194" s="1">
        <f t="shared" si="7"/>
        <v>1.074825444972341E-2</v>
      </c>
      <c r="E194" s="1">
        <f t="shared" si="8"/>
        <v>-0.49783895430635883</v>
      </c>
      <c r="I194" s="1">
        <v>-1.1776943149035357</v>
      </c>
      <c r="J194">
        <f t="shared" si="6"/>
        <v>0.20249127983529217</v>
      </c>
    </row>
    <row r="195" spans="1:10">
      <c r="A195">
        <v>192</v>
      </c>
      <c r="B195">
        <v>0.49717703787347028</v>
      </c>
      <c r="C195">
        <v>0.15976439710684531</v>
      </c>
      <c r="D195" s="1">
        <f t="shared" si="7"/>
        <v>-7.0761757374838124E-3</v>
      </c>
      <c r="E195" s="1">
        <f t="shared" si="8"/>
        <v>-1.0025028426117959</v>
      </c>
      <c r="I195" s="1">
        <v>-1.1603423112781268</v>
      </c>
      <c r="J195">
        <f t="shared" si="6"/>
        <v>0.2059695772252764</v>
      </c>
    </row>
    <row r="196" spans="1:10">
      <c r="A196">
        <v>193</v>
      </c>
      <c r="B196">
        <v>0.7015594958342235</v>
      </c>
      <c r="C196">
        <v>0.22721030304879911</v>
      </c>
      <c r="D196" s="1">
        <f t="shared" si="7"/>
        <v>0.5288910826265264</v>
      </c>
      <c r="E196" s="1">
        <f t="shared" si="8"/>
        <v>-0.21917449077224094</v>
      </c>
      <c r="I196" s="1">
        <v>-1.1594592704082736</v>
      </c>
      <c r="J196">
        <f t="shared" ref="J196:J259" si="9">_xlfn.NORM.DIST(I196,$J$1,$J$2,TRUE)</f>
        <v>0.20614752976692763</v>
      </c>
    </row>
    <row r="197" spans="1:10">
      <c r="A197">
        <v>194</v>
      </c>
      <c r="B197">
        <v>0.44691305276650289</v>
      </c>
      <c r="C197">
        <v>0.69237342448194827</v>
      </c>
      <c r="D197" s="1">
        <f t="shared" ref="D197:D260" si="10">_xlfn.NORM.INV(B197, 0, 1)</f>
        <v>-0.13346441454438496</v>
      </c>
      <c r="E197" s="1">
        <f t="shared" ref="E197:E260" si="11">_xlfn.NORM.INV(C197,D197,1)</f>
        <v>0.36912474701665865</v>
      </c>
      <c r="I197" s="1">
        <v>-1.1544256702930404</v>
      </c>
      <c r="J197">
        <f t="shared" si="9"/>
        <v>0.20716365254740371</v>
      </c>
    </row>
    <row r="198" spans="1:10">
      <c r="A198">
        <v>195</v>
      </c>
      <c r="B198">
        <v>0.91225928525650812</v>
      </c>
      <c r="C198">
        <v>0.12021240882595294</v>
      </c>
      <c r="D198" s="1">
        <f t="shared" si="10"/>
        <v>1.3547995517108538</v>
      </c>
      <c r="E198" s="1">
        <f t="shared" si="11"/>
        <v>0.18087392720192463</v>
      </c>
      <c r="I198" s="1">
        <v>-1.1488883397204153</v>
      </c>
      <c r="J198">
        <f t="shared" si="9"/>
        <v>0.2082848774330236</v>
      </c>
    </row>
    <row r="199" spans="1:10">
      <c r="A199">
        <v>196</v>
      </c>
      <c r="B199">
        <v>0.58131656849879454</v>
      </c>
      <c r="C199">
        <v>0.38950773644215214</v>
      </c>
      <c r="D199" s="1">
        <f t="shared" si="10"/>
        <v>0.2052627276951336</v>
      </c>
      <c r="E199" s="1">
        <f t="shared" si="11"/>
        <v>-7.5339544739209674E-2</v>
      </c>
      <c r="I199" s="1">
        <v>-1.1392609032587031</v>
      </c>
      <c r="J199">
        <f t="shared" si="9"/>
        <v>0.21024278730305926</v>
      </c>
    </row>
    <row r="200" spans="1:10">
      <c r="A200">
        <v>197</v>
      </c>
      <c r="B200">
        <v>0.37070833460493791</v>
      </c>
      <c r="C200">
        <v>0.35419782097842339</v>
      </c>
      <c r="D200" s="1">
        <f t="shared" si="10"/>
        <v>-0.32997788909434306</v>
      </c>
      <c r="E200" s="1">
        <f t="shared" si="11"/>
        <v>-0.70398954819987969</v>
      </c>
      <c r="I200" s="1">
        <v>-1.1372166865964142</v>
      </c>
      <c r="J200">
        <f t="shared" si="9"/>
        <v>0.21065990186049918</v>
      </c>
    </row>
    <row r="201" spans="1:10">
      <c r="A201">
        <v>198</v>
      </c>
      <c r="B201">
        <v>0.13760795922727134</v>
      </c>
      <c r="C201">
        <v>0.34894863734855192</v>
      </c>
      <c r="D201" s="1">
        <f t="shared" si="10"/>
        <v>-1.0911294667834077</v>
      </c>
      <c r="E201" s="1">
        <f t="shared" si="11"/>
        <v>-1.4792899500900749</v>
      </c>
      <c r="I201" s="1">
        <v>-1.1296497837656188</v>
      </c>
      <c r="J201">
        <f t="shared" si="9"/>
        <v>0.21220811828060149</v>
      </c>
    </row>
    <row r="202" spans="1:10">
      <c r="A202">
        <v>199</v>
      </c>
      <c r="B202">
        <v>0.35685293130283519</v>
      </c>
      <c r="C202">
        <v>0.57869197668385874</v>
      </c>
      <c r="D202" s="1">
        <f t="shared" si="10"/>
        <v>-0.36688357645153258</v>
      </c>
      <c r="E202" s="1">
        <f t="shared" si="11"/>
        <v>-0.16833520961943133</v>
      </c>
      <c r="I202" s="1">
        <v>-1.1275813769428549</v>
      </c>
      <c r="J202">
        <f t="shared" si="9"/>
        <v>0.21263247673151728</v>
      </c>
    </row>
    <row r="203" spans="1:10">
      <c r="A203">
        <v>200</v>
      </c>
      <c r="B203">
        <v>0.86330759605700857</v>
      </c>
      <c r="C203">
        <v>0.1065095980712302</v>
      </c>
      <c r="D203" s="1">
        <f t="shared" si="10"/>
        <v>1.0953009581444177</v>
      </c>
      <c r="E203" s="1">
        <f t="shared" si="11"/>
        <v>-0.15000530002544243</v>
      </c>
      <c r="I203" s="1">
        <v>-1.1219906779119833</v>
      </c>
      <c r="J203">
        <f t="shared" si="9"/>
        <v>0.21378195259199265</v>
      </c>
    </row>
    <row r="204" spans="1:10">
      <c r="A204">
        <v>201</v>
      </c>
      <c r="B204">
        <v>0.17923520615253152</v>
      </c>
      <c r="C204">
        <v>0.79525131992553488</v>
      </c>
      <c r="D204" s="1">
        <f t="shared" si="10"/>
        <v>-0.91828359741504151</v>
      </c>
      <c r="E204" s="1">
        <f t="shared" si="11"/>
        <v>-9.3505106364193402E-2</v>
      </c>
      <c r="I204" s="1">
        <v>-1.1214858185582013</v>
      </c>
      <c r="J204">
        <f t="shared" si="9"/>
        <v>0.2138859320731675</v>
      </c>
    </row>
    <row r="205" spans="1:10">
      <c r="A205">
        <v>202</v>
      </c>
      <c r="B205">
        <v>0.24262215033417767</v>
      </c>
      <c r="C205">
        <v>0.64238410596026485</v>
      </c>
      <c r="D205" s="1">
        <f t="shared" si="10"/>
        <v>-0.69789269895886286</v>
      </c>
      <c r="E205" s="1">
        <f t="shared" si="11"/>
        <v>-0.33305396300542617</v>
      </c>
      <c r="I205" s="1">
        <v>-1.1163088745722975</v>
      </c>
      <c r="J205">
        <f t="shared" si="9"/>
        <v>0.21495385948064238</v>
      </c>
    </row>
    <row r="206" spans="1:10">
      <c r="A206">
        <v>203</v>
      </c>
      <c r="B206">
        <v>0.96758934293649101</v>
      </c>
      <c r="C206">
        <v>0.67122409741508227</v>
      </c>
      <c r="D206" s="1">
        <f t="shared" si="10"/>
        <v>1.8464884553118046</v>
      </c>
      <c r="E206" s="1">
        <f t="shared" si="11"/>
        <v>2.2897842389021879</v>
      </c>
      <c r="I206" s="1">
        <v>-1.1137707107454902</v>
      </c>
      <c r="J206">
        <f t="shared" si="9"/>
        <v>0.21547857465308753</v>
      </c>
    </row>
    <row r="207" spans="1:10">
      <c r="A207">
        <v>204</v>
      </c>
      <c r="B207">
        <v>0.70131534775841553</v>
      </c>
      <c r="C207">
        <v>0.44380016479995116</v>
      </c>
      <c r="D207" s="1">
        <f t="shared" si="10"/>
        <v>0.52818735575768971</v>
      </c>
      <c r="E207" s="1">
        <f t="shared" si="11"/>
        <v>0.38684606233745156</v>
      </c>
      <c r="I207" s="1">
        <v>-1.1013446345997995</v>
      </c>
      <c r="J207">
        <f t="shared" si="9"/>
        <v>0.21805811910079151</v>
      </c>
    </row>
    <row r="208" spans="1:10">
      <c r="A208">
        <v>205</v>
      </c>
      <c r="B208">
        <v>0.31296731467635119</v>
      </c>
      <c r="C208">
        <v>0.33921323282570881</v>
      </c>
      <c r="D208" s="1">
        <f t="shared" si="10"/>
        <v>-0.48745682903151283</v>
      </c>
      <c r="E208" s="1">
        <f t="shared" si="11"/>
        <v>-0.9020681413154773</v>
      </c>
      <c r="I208" s="1">
        <v>-1.0927866283706682</v>
      </c>
      <c r="J208">
        <f t="shared" si="9"/>
        <v>0.21984499049259848</v>
      </c>
    </row>
    <row r="209" spans="1:10">
      <c r="A209">
        <v>206</v>
      </c>
      <c r="B209">
        <v>0.92379528183843496</v>
      </c>
      <c r="C209">
        <v>0.14185003204443494</v>
      </c>
      <c r="D209" s="1">
        <f t="shared" si="10"/>
        <v>1.4310725051421322</v>
      </c>
      <c r="E209" s="1">
        <f t="shared" si="11"/>
        <v>0.3590280473289944</v>
      </c>
      <c r="I209" s="1">
        <v>-1.0898286801608701</v>
      </c>
      <c r="J209">
        <f t="shared" si="9"/>
        <v>0.22046454509602631</v>
      </c>
    </row>
    <row r="210" spans="1:10">
      <c r="A210">
        <v>207</v>
      </c>
      <c r="B210">
        <v>0.60103152562028872</v>
      </c>
      <c r="C210">
        <v>0.38196966460158088</v>
      </c>
      <c r="D210" s="1">
        <f t="shared" si="10"/>
        <v>0.25601798659587272</v>
      </c>
      <c r="E210" s="1">
        <f t="shared" si="11"/>
        <v>-4.4293818785228145E-2</v>
      </c>
      <c r="I210" s="1">
        <v>-1.0894311915741124</v>
      </c>
      <c r="J210">
        <f t="shared" si="9"/>
        <v>0.22054787693919145</v>
      </c>
    </row>
    <row r="211" spans="1:10">
      <c r="A211">
        <v>208</v>
      </c>
      <c r="B211">
        <v>0.99859614856410417</v>
      </c>
      <c r="C211">
        <v>0.87316507461775572</v>
      </c>
      <c r="D211" s="1">
        <f t="shared" si="10"/>
        <v>2.9880427405091621</v>
      </c>
      <c r="E211" s="1">
        <f t="shared" si="11"/>
        <v>4.1295236526988797</v>
      </c>
      <c r="I211" s="1">
        <v>-1.0857492965051496</v>
      </c>
      <c r="J211">
        <f t="shared" si="9"/>
        <v>0.22132062841389813</v>
      </c>
    </row>
    <row r="212" spans="1:10">
      <c r="A212">
        <v>209</v>
      </c>
      <c r="B212">
        <v>0.14258247627185888</v>
      </c>
      <c r="C212">
        <v>0.79778435621204258</v>
      </c>
      <c r="D212" s="1">
        <f t="shared" si="10"/>
        <v>-1.0687885662548195</v>
      </c>
      <c r="E212" s="1">
        <f t="shared" si="11"/>
        <v>-0.23505526407435218</v>
      </c>
      <c r="I212" s="1">
        <v>-1.0649772498241465</v>
      </c>
      <c r="J212">
        <f t="shared" si="9"/>
        <v>0.22570914260122288</v>
      </c>
    </row>
    <row r="213" spans="1:10">
      <c r="A213">
        <v>210</v>
      </c>
      <c r="B213">
        <v>0.32712790307321388</v>
      </c>
      <c r="C213">
        <v>0.23136082033753472</v>
      </c>
      <c r="D213" s="1">
        <f t="shared" si="10"/>
        <v>-0.4478578273142631</v>
      </c>
      <c r="E213" s="1">
        <f t="shared" si="11"/>
        <v>-1.1822304942841924</v>
      </c>
      <c r="I213" s="1">
        <v>-1.0647743860859764</v>
      </c>
      <c r="J213">
        <f t="shared" si="9"/>
        <v>0.22575224300055638</v>
      </c>
    </row>
    <row r="214" spans="1:10">
      <c r="A214">
        <v>211</v>
      </c>
      <c r="B214">
        <v>0.54426709799493389</v>
      </c>
      <c r="C214">
        <v>0.60271004364146852</v>
      </c>
      <c r="D214" s="1">
        <f t="shared" si="10"/>
        <v>0.11118984525833091</v>
      </c>
      <c r="E214" s="1">
        <f t="shared" si="11"/>
        <v>0.37155786017570991</v>
      </c>
      <c r="I214" s="1">
        <v>-1.0636016656348557</v>
      </c>
      <c r="J214">
        <f t="shared" si="9"/>
        <v>0.22600149023821126</v>
      </c>
    </row>
    <row r="215" spans="1:10">
      <c r="A215">
        <v>212</v>
      </c>
      <c r="B215">
        <v>0.21875667592394787</v>
      </c>
      <c r="C215">
        <v>8.9083529160435798E-2</v>
      </c>
      <c r="D215" s="1">
        <f t="shared" si="10"/>
        <v>-0.77639914073464389</v>
      </c>
      <c r="E215" s="1">
        <f t="shared" si="11"/>
        <v>-2.1228192839672531</v>
      </c>
      <c r="I215" s="1">
        <v>-1.063312111521624</v>
      </c>
      <c r="J215">
        <f t="shared" si="9"/>
        <v>0.22606305532496976</v>
      </c>
    </row>
    <row r="216" spans="1:10">
      <c r="A216">
        <v>213</v>
      </c>
      <c r="B216">
        <v>0.80312509537034216</v>
      </c>
      <c r="C216">
        <v>0.47856074709311197</v>
      </c>
      <c r="D216" s="1">
        <f t="shared" si="10"/>
        <v>0.85283680725810984</v>
      </c>
      <c r="E216" s="1">
        <f t="shared" si="11"/>
        <v>0.79907067647025232</v>
      </c>
      <c r="I216" s="1">
        <v>-1.0630942358441313</v>
      </c>
      <c r="J216">
        <f t="shared" si="9"/>
        <v>0.22610938636939446</v>
      </c>
    </row>
    <row r="217" spans="1:10">
      <c r="A217">
        <v>214</v>
      </c>
      <c r="B217">
        <v>0.9702139347514267</v>
      </c>
      <c r="C217">
        <v>0.31461531418805505</v>
      </c>
      <c r="D217" s="1">
        <f t="shared" si="10"/>
        <v>1.8839471062678796</v>
      </c>
      <c r="E217" s="1">
        <f t="shared" si="11"/>
        <v>1.4011370761579913</v>
      </c>
      <c r="I217" s="1">
        <v>-1.0616917899237479</v>
      </c>
      <c r="J217">
        <f t="shared" si="9"/>
        <v>0.22640774350405801</v>
      </c>
    </row>
    <row r="218" spans="1:10">
      <c r="A218">
        <v>215</v>
      </c>
      <c r="B218">
        <v>0.97769096957304602</v>
      </c>
      <c r="C218">
        <v>0.64204840235602889</v>
      </c>
      <c r="D218" s="1">
        <f t="shared" si="10"/>
        <v>2.0082374905613825</v>
      </c>
      <c r="E218" s="1">
        <f t="shared" si="11"/>
        <v>2.3721769802619597</v>
      </c>
      <c r="I218" s="1">
        <v>-1.0588897424011601</v>
      </c>
      <c r="J218">
        <f t="shared" si="9"/>
        <v>0.22700451803066393</v>
      </c>
    </row>
    <row r="219" spans="1:10">
      <c r="A219">
        <v>216</v>
      </c>
      <c r="B219">
        <v>0.12186040833765679</v>
      </c>
      <c r="C219">
        <v>0.10556352427747429</v>
      </c>
      <c r="D219" s="1">
        <f t="shared" si="10"/>
        <v>-1.165736948231537</v>
      </c>
      <c r="E219" s="1">
        <f t="shared" si="11"/>
        <v>-2.416209301309646</v>
      </c>
      <c r="I219" s="1">
        <v>-1.0507603000694712</v>
      </c>
      <c r="J219">
        <f t="shared" si="9"/>
        <v>0.22874092086477268</v>
      </c>
    </row>
    <row r="220" spans="1:10">
      <c r="A220">
        <v>217</v>
      </c>
      <c r="B220">
        <v>0.61076693014313177</v>
      </c>
      <c r="C220">
        <v>1.9745475630970184E-2</v>
      </c>
      <c r="D220" s="1">
        <f t="shared" si="10"/>
        <v>0.28131847702258922</v>
      </c>
      <c r="E220" s="1">
        <f t="shared" si="11"/>
        <v>-1.7777158389543009</v>
      </c>
      <c r="I220" s="1">
        <v>-1.049088476812335</v>
      </c>
      <c r="J220">
        <f t="shared" si="9"/>
        <v>0.22909893505589535</v>
      </c>
    </row>
    <row r="221" spans="1:10">
      <c r="A221">
        <v>218</v>
      </c>
      <c r="B221">
        <v>0.61555833613086341</v>
      </c>
      <c r="C221">
        <v>0.93658253730887786</v>
      </c>
      <c r="D221" s="1">
        <f t="shared" si="10"/>
        <v>0.29383586518223875</v>
      </c>
      <c r="E221" s="1">
        <f t="shared" si="11"/>
        <v>1.8205386871587779</v>
      </c>
      <c r="I221" s="1">
        <v>-1.048671373492807</v>
      </c>
      <c r="J221">
        <f t="shared" si="9"/>
        <v>0.22918830501164875</v>
      </c>
    </row>
    <row r="222" spans="1:10">
      <c r="A222">
        <v>219</v>
      </c>
      <c r="B222">
        <v>0.97918637653736995</v>
      </c>
      <c r="C222">
        <v>0.98693807794427324</v>
      </c>
      <c r="D222" s="1">
        <f t="shared" si="10"/>
        <v>2.0372275232292769</v>
      </c>
      <c r="E222" s="1">
        <f t="shared" si="11"/>
        <v>4.2615933053702548</v>
      </c>
      <c r="I222" s="1">
        <v>-1.0453338785763384</v>
      </c>
      <c r="J222">
        <f t="shared" si="9"/>
        <v>0.2299041115456</v>
      </c>
    </row>
    <row r="223" spans="1:10">
      <c r="A223">
        <v>220</v>
      </c>
      <c r="B223">
        <v>0.87707144383068336</v>
      </c>
      <c r="C223">
        <v>0.59709463789788508</v>
      </c>
      <c r="D223" s="1">
        <f t="shared" si="10"/>
        <v>1.1604709555195234</v>
      </c>
      <c r="E223" s="1">
        <f t="shared" si="11"/>
        <v>1.4063049712084865</v>
      </c>
      <c r="I223" s="1">
        <v>-1.0366567928919712</v>
      </c>
      <c r="J223">
        <f t="shared" si="9"/>
        <v>0.2317709662849842</v>
      </c>
    </row>
    <row r="224" spans="1:10">
      <c r="A224">
        <v>221</v>
      </c>
      <c r="B224">
        <v>0.34940641499069186</v>
      </c>
      <c r="C224">
        <v>0.49229407635731071</v>
      </c>
      <c r="D224" s="1">
        <f t="shared" si="10"/>
        <v>-0.38692351771361411</v>
      </c>
      <c r="E224" s="1">
        <f t="shared" si="11"/>
        <v>-0.40624060509271043</v>
      </c>
      <c r="I224" s="1">
        <v>-1.0337844927807343</v>
      </c>
      <c r="J224">
        <f t="shared" si="9"/>
        <v>0.23239079041229044</v>
      </c>
    </row>
    <row r="225" spans="1:10">
      <c r="A225">
        <v>222</v>
      </c>
      <c r="B225">
        <v>0.53718680379650263</v>
      </c>
      <c r="C225">
        <v>0.10162663655507065</v>
      </c>
      <c r="D225" s="1">
        <f t="shared" si="10"/>
        <v>9.3348890759498593E-2</v>
      </c>
      <c r="E225" s="1">
        <f t="shared" si="11"/>
        <v>-1.1789884882145507</v>
      </c>
      <c r="I225" s="1">
        <v>-1.0313832938787624</v>
      </c>
      <c r="J225">
        <f t="shared" si="9"/>
        <v>0.2329096606770398</v>
      </c>
    </row>
    <row r="226" spans="1:10">
      <c r="A226">
        <v>223</v>
      </c>
      <c r="B226">
        <v>0.35029145176549575</v>
      </c>
      <c r="C226">
        <v>0.47212134159367658</v>
      </c>
      <c r="D226" s="1">
        <f t="shared" si="10"/>
        <v>-0.38453372665401331</v>
      </c>
      <c r="E226" s="1">
        <f t="shared" si="11"/>
        <v>-0.45447213416326293</v>
      </c>
      <c r="I226" s="1">
        <v>-1.0310473581138746</v>
      </c>
      <c r="J226">
        <f t="shared" si="9"/>
        <v>0.23298230364406203</v>
      </c>
    </row>
    <row r="227" spans="1:10">
      <c r="A227">
        <v>224</v>
      </c>
      <c r="B227">
        <v>0.70897549363689072</v>
      </c>
      <c r="C227">
        <v>1.4770958586382641E-2</v>
      </c>
      <c r="D227" s="1">
        <f t="shared" si="10"/>
        <v>0.55039421929345211</v>
      </c>
      <c r="E227" s="1">
        <f t="shared" si="11"/>
        <v>-1.6257842638802544</v>
      </c>
      <c r="I227" s="1">
        <v>-1.0260353911248812</v>
      </c>
      <c r="J227">
        <f t="shared" si="9"/>
        <v>0.23406758768410774</v>
      </c>
    </row>
    <row r="228" spans="1:10">
      <c r="A228">
        <v>225</v>
      </c>
      <c r="B228">
        <v>0.95712149418622394</v>
      </c>
      <c r="C228">
        <v>0.17590868861964781</v>
      </c>
      <c r="D228" s="1">
        <f t="shared" si="10"/>
        <v>1.7182171658052035</v>
      </c>
      <c r="E228" s="1">
        <f t="shared" si="11"/>
        <v>0.78714720729356946</v>
      </c>
      <c r="I228" s="1">
        <v>-1.0255675080039302</v>
      </c>
      <c r="J228">
        <f t="shared" si="9"/>
        <v>0.23416904510826414</v>
      </c>
    </row>
    <row r="229" spans="1:10">
      <c r="A229">
        <v>226</v>
      </c>
      <c r="B229">
        <v>0.58549760429700615</v>
      </c>
      <c r="C229">
        <v>0.57081820123905147</v>
      </c>
      <c r="D229" s="1">
        <f t="shared" si="10"/>
        <v>0.21597813459070442</v>
      </c>
      <c r="E229" s="1">
        <f t="shared" si="11"/>
        <v>0.3944357593213067</v>
      </c>
      <c r="I229" s="1">
        <v>-1.023489423355711</v>
      </c>
      <c r="J229">
        <f t="shared" si="9"/>
        <v>0.23461995841467675</v>
      </c>
    </row>
    <row r="230" spans="1:10">
      <c r="A230">
        <v>227</v>
      </c>
      <c r="B230">
        <v>4.6235541856135744E-2</v>
      </c>
      <c r="C230">
        <v>0.51429792168950472</v>
      </c>
      <c r="D230" s="1">
        <f t="shared" si="10"/>
        <v>-1.682504341773239</v>
      </c>
      <c r="E230" s="1">
        <f t="shared" si="11"/>
        <v>-1.6466570910396323</v>
      </c>
      <c r="I230" s="1">
        <v>-1.0227329123559605</v>
      </c>
      <c r="J230">
        <f t="shared" si="9"/>
        <v>0.23478422913964656</v>
      </c>
    </row>
    <row r="231" spans="1:10">
      <c r="A231">
        <v>228</v>
      </c>
      <c r="B231">
        <v>0.73311563463240459</v>
      </c>
      <c r="C231">
        <v>0.50962858973967706</v>
      </c>
      <c r="D231" s="1">
        <f t="shared" si="10"/>
        <v>0.62226332790388783</v>
      </c>
      <c r="E231" s="1">
        <f t="shared" si="11"/>
        <v>0.64640096685314463</v>
      </c>
      <c r="I231" s="1">
        <v>-1.0199329493121976</v>
      </c>
      <c r="J231">
        <f t="shared" si="9"/>
        <v>0.23539277304113601</v>
      </c>
    </row>
    <row r="232" spans="1:10">
      <c r="A232">
        <v>229</v>
      </c>
      <c r="B232">
        <v>0.64439832758568072</v>
      </c>
      <c r="C232">
        <v>0.91509750663777578</v>
      </c>
      <c r="D232" s="1">
        <f t="shared" si="10"/>
        <v>0.37024044336206241</v>
      </c>
      <c r="E232" s="1">
        <f t="shared" si="11"/>
        <v>1.7430711358971793</v>
      </c>
      <c r="I232" s="1">
        <v>-1.0147358694135034</v>
      </c>
      <c r="J232">
        <f t="shared" si="9"/>
        <v>0.23652461028257532</v>
      </c>
    </row>
    <row r="233" spans="1:10">
      <c r="A233">
        <v>230</v>
      </c>
      <c r="B233">
        <v>0.9574877162999359</v>
      </c>
      <c r="C233">
        <v>0.41850032044434948</v>
      </c>
      <c r="D233" s="1">
        <f t="shared" si="10"/>
        <v>1.7222481968438494</v>
      </c>
      <c r="E233" s="1">
        <f t="shared" si="11"/>
        <v>1.5165166833654071</v>
      </c>
      <c r="I233" s="1">
        <v>-1.0025028426117959</v>
      </c>
      <c r="J233">
        <f t="shared" si="9"/>
        <v>0.23920054167103127</v>
      </c>
    </row>
    <row r="234" spans="1:10">
      <c r="A234">
        <v>231</v>
      </c>
      <c r="B234">
        <v>0.49027985473189489</v>
      </c>
      <c r="C234">
        <v>0.56666768395031586</v>
      </c>
      <c r="D234" s="1">
        <f t="shared" si="10"/>
        <v>-2.4367202128314669E-2</v>
      </c>
      <c r="E234" s="1">
        <f t="shared" si="11"/>
        <v>0.14352938880630303</v>
      </c>
      <c r="I234" s="1">
        <v>-1.0019969653063934</v>
      </c>
      <c r="J234">
        <f t="shared" si="9"/>
        <v>0.2393115556152271</v>
      </c>
    </row>
    <row r="235" spans="1:10">
      <c r="A235">
        <v>232</v>
      </c>
      <c r="B235">
        <v>0.13721121860408339</v>
      </c>
      <c r="C235">
        <v>0.19318216498306223</v>
      </c>
      <c r="D235" s="1">
        <f t="shared" si="10"/>
        <v>-1.0929347780636602</v>
      </c>
      <c r="E235" s="1">
        <f t="shared" si="11"/>
        <v>-1.9591642578608512</v>
      </c>
      <c r="I235" s="1">
        <v>-0.99805699286126837</v>
      </c>
      <c r="J235">
        <f t="shared" si="9"/>
        <v>0.24017713858527773</v>
      </c>
    </row>
    <row r="236" spans="1:10">
      <c r="A236">
        <v>233</v>
      </c>
      <c r="B236">
        <v>0.97549363689077428</v>
      </c>
      <c r="C236">
        <v>0.46156193731498152</v>
      </c>
      <c r="D236" s="1">
        <f t="shared" si="10"/>
        <v>1.9684809471085842</v>
      </c>
      <c r="E236" s="1">
        <f t="shared" si="11"/>
        <v>1.8719814516586777</v>
      </c>
      <c r="I236" s="1">
        <v>-0.99793770916832247</v>
      </c>
      <c r="J236">
        <f t="shared" si="9"/>
        <v>0.24020337092075972</v>
      </c>
    </row>
    <row r="237" spans="1:10">
      <c r="A237">
        <v>234</v>
      </c>
      <c r="B237">
        <v>7.8096865749076816E-2</v>
      </c>
      <c r="C237">
        <v>0.63014618366038999</v>
      </c>
      <c r="D237" s="1">
        <f t="shared" si="10"/>
        <v>-1.4179898385081546</v>
      </c>
      <c r="E237" s="1">
        <f t="shared" si="11"/>
        <v>-1.0857492965051496</v>
      </c>
      <c r="I237" s="1">
        <v>-0.99052142648118513</v>
      </c>
      <c r="J237">
        <f t="shared" si="9"/>
        <v>0.24183738912076747</v>
      </c>
    </row>
    <row r="238" spans="1:10">
      <c r="A238">
        <v>235</v>
      </c>
      <c r="B238">
        <v>0.55433820612201301</v>
      </c>
      <c r="C238">
        <v>0.45066682943205055</v>
      </c>
      <c r="D238" s="1">
        <f t="shared" si="10"/>
        <v>0.13662958827300087</v>
      </c>
      <c r="E238" s="1">
        <f t="shared" si="11"/>
        <v>1.2652806736185712E-2</v>
      </c>
      <c r="I238" s="1">
        <v>-0.98786224411072099</v>
      </c>
      <c r="J238">
        <f t="shared" si="9"/>
        <v>0.24242474837762268</v>
      </c>
    </row>
    <row r="239" spans="1:10">
      <c r="A239">
        <v>236</v>
      </c>
      <c r="B239">
        <v>0.36448255867183449</v>
      </c>
      <c r="C239">
        <v>0.76763206884975743</v>
      </c>
      <c r="D239" s="1">
        <f t="shared" si="10"/>
        <v>-0.34650248453110477</v>
      </c>
      <c r="E239" s="1">
        <f t="shared" si="11"/>
        <v>0.38456839162898493</v>
      </c>
      <c r="I239" s="1">
        <v>-0.98166314088895756</v>
      </c>
      <c r="J239">
        <f t="shared" si="9"/>
        <v>0.24379699972992647</v>
      </c>
    </row>
    <row r="240" spans="1:10">
      <c r="A240">
        <v>237</v>
      </c>
      <c r="B240">
        <v>0.94360179448835724</v>
      </c>
      <c r="C240">
        <v>0.70937223426007878</v>
      </c>
      <c r="D240" s="1">
        <f t="shared" si="10"/>
        <v>1.5857483297886255</v>
      </c>
      <c r="E240" s="1">
        <f t="shared" si="11"/>
        <v>2.1373000364817947</v>
      </c>
      <c r="I240" s="1">
        <v>-0.97960558372610573</v>
      </c>
      <c r="J240">
        <f t="shared" si="9"/>
        <v>0.24425339150998149</v>
      </c>
    </row>
    <row r="241" spans="1:10">
      <c r="A241">
        <v>238</v>
      </c>
      <c r="B241">
        <v>0.49946592608417006</v>
      </c>
      <c r="C241">
        <v>2.2339548936429945E-2</v>
      </c>
      <c r="D241" s="1">
        <f t="shared" si="10"/>
        <v>-1.3387251780359933E-3</v>
      </c>
      <c r="E241" s="1">
        <f t="shared" si="11"/>
        <v>-2.0090018857565859</v>
      </c>
      <c r="I241" s="1">
        <v>-0.9795861923986755</v>
      </c>
      <c r="J241">
        <f t="shared" si="9"/>
        <v>0.24425769493739014</v>
      </c>
    </row>
    <row r="242" spans="1:10">
      <c r="A242">
        <v>239</v>
      </c>
      <c r="B242">
        <v>0.48695333719901118</v>
      </c>
      <c r="C242">
        <v>0.72084719382305373</v>
      </c>
      <c r="D242" s="1">
        <f t="shared" si="10"/>
        <v>-3.2708965355755078E-2</v>
      </c>
      <c r="E242" s="1">
        <f t="shared" si="11"/>
        <v>0.55265113338761707</v>
      </c>
      <c r="I242" s="1">
        <v>-0.96565482331127117</v>
      </c>
      <c r="J242">
        <f t="shared" si="9"/>
        <v>0.24735995577733721</v>
      </c>
    </row>
    <row r="243" spans="1:10">
      <c r="A243">
        <v>240</v>
      </c>
      <c r="B243">
        <v>0.45493942075869015</v>
      </c>
      <c r="C243">
        <v>5.6093020416882841E-2</v>
      </c>
      <c r="D243" s="1">
        <f t="shared" si="10"/>
        <v>-0.11319136485541959</v>
      </c>
      <c r="E243" s="1">
        <f t="shared" si="11"/>
        <v>-1.7016350717991449</v>
      </c>
      <c r="I243" s="1">
        <v>-0.95609526877249906</v>
      </c>
      <c r="J243">
        <f t="shared" si="9"/>
        <v>0.24950081609885127</v>
      </c>
    </row>
    <row r="244" spans="1:10">
      <c r="A244">
        <v>241</v>
      </c>
      <c r="B244">
        <v>0.57164220099490337</v>
      </c>
      <c r="C244">
        <v>0.22843104342783899</v>
      </c>
      <c r="D244" s="1">
        <f t="shared" si="10"/>
        <v>0.18055663318818727</v>
      </c>
      <c r="E244" s="1">
        <f t="shared" si="11"/>
        <v>-0.56346715002616554</v>
      </c>
      <c r="I244" s="1">
        <v>-0.95266271877494657</v>
      </c>
      <c r="J244">
        <f t="shared" si="9"/>
        <v>0.25027193041331924</v>
      </c>
    </row>
    <row r="245" spans="1:10">
      <c r="A245">
        <v>242</v>
      </c>
      <c r="B245">
        <v>0.22360911893063143</v>
      </c>
      <c r="C245">
        <v>0.26645710623493146</v>
      </c>
      <c r="D245" s="1">
        <f t="shared" si="10"/>
        <v>-0.76006080831341205</v>
      </c>
      <c r="E245" s="1">
        <f t="shared" si="11"/>
        <v>-1.3836244226731109</v>
      </c>
      <c r="I245" s="1">
        <v>-0.94845969224975724</v>
      </c>
      <c r="J245">
        <f t="shared" si="9"/>
        <v>0.25121784868277719</v>
      </c>
    </row>
    <row r="246" spans="1:10">
      <c r="A246">
        <v>243</v>
      </c>
      <c r="B246">
        <v>0.56962797936948761</v>
      </c>
      <c r="C246">
        <v>0.71916867580187382</v>
      </c>
      <c r="D246" s="1">
        <f t="shared" si="10"/>
        <v>0.17542710861799418</v>
      </c>
      <c r="E246" s="1">
        <f t="shared" si="11"/>
        <v>0.75580079145081025</v>
      </c>
      <c r="I246" s="1">
        <v>-0.94210932704162875</v>
      </c>
      <c r="J246">
        <f t="shared" si="9"/>
        <v>0.25265061782527254</v>
      </c>
    </row>
    <row r="247" spans="1:10">
      <c r="A247">
        <v>244</v>
      </c>
      <c r="B247">
        <v>0.20139164403210547</v>
      </c>
      <c r="C247">
        <v>0.46488845484786523</v>
      </c>
      <c r="D247" s="1">
        <f t="shared" si="10"/>
        <v>-0.83666074894465126</v>
      </c>
      <c r="E247" s="1">
        <f t="shared" si="11"/>
        <v>-0.92478627342617903</v>
      </c>
      <c r="I247" s="1">
        <v>-0.94207223757813718</v>
      </c>
      <c r="J247">
        <f t="shared" si="9"/>
        <v>0.25265899857219709</v>
      </c>
    </row>
    <row r="248" spans="1:10">
      <c r="A248">
        <v>245</v>
      </c>
      <c r="B248">
        <v>6.9612720114749602E-2</v>
      </c>
      <c r="C248">
        <v>3.7537766655476546E-3</v>
      </c>
      <c r="D248" s="1">
        <f t="shared" si="10"/>
        <v>-1.4786815701965423</v>
      </c>
      <c r="E248" s="1">
        <f t="shared" si="11"/>
        <v>-4.1521312734487363</v>
      </c>
      <c r="I248" s="1">
        <v>-0.92969650823550531</v>
      </c>
      <c r="J248">
        <f t="shared" si="9"/>
        <v>0.25546357756698196</v>
      </c>
    </row>
    <row r="249" spans="1:10">
      <c r="A249">
        <v>246</v>
      </c>
      <c r="B249">
        <v>0.35551011688589129</v>
      </c>
      <c r="C249">
        <v>0.29685354167302469</v>
      </c>
      <c r="D249" s="1">
        <f t="shared" si="10"/>
        <v>-0.37048623119411384</v>
      </c>
      <c r="E249" s="1">
        <f t="shared" si="11"/>
        <v>-0.90395794961457354</v>
      </c>
      <c r="I249" s="1">
        <v>-0.92933379996454901</v>
      </c>
      <c r="J249">
        <f t="shared" si="9"/>
        <v>0.25554601891599071</v>
      </c>
    </row>
    <row r="250" spans="1:10">
      <c r="A250">
        <v>247</v>
      </c>
      <c r="B250">
        <v>0.78289132358775593</v>
      </c>
      <c r="C250">
        <v>0.47505111850337228</v>
      </c>
      <c r="D250" s="1">
        <f t="shared" si="10"/>
        <v>0.78199527093829901</v>
      </c>
      <c r="E250" s="1">
        <f t="shared" si="11"/>
        <v>0.71941687973490298</v>
      </c>
      <c r="I250" s="1">
        <v>-0.92478627342617903</v>
      </c>
      <c r="J250">
        <f t="shared" si="9"/>
        <v>0.25658082186392184</v>
      </c>
    </row>
    <row r="251" spans="1:10">
      <c r="A251">
        <v>248</v>
      </c>
      <c r="B251">
        <v>0.27600939970091859</v>
      </c>
      <c r="C251">
        <v>0.90816980498672439</v>
      </c>
      <c r="D251" s="1">
        <f t="shared" si="10"/>
        <v>-0.59473772679656511</v>
      </c>
      <c r="E251" s="1">
        <f t="shared" si="11"/>
        <v>0.73483105362819046</v>
      </c>
      <c r="I251" s="1">
        <v>-0.91583033148244475</v>
      </c>
      <c r="J251">
        <f t="shared" si="9"/>
        <v>0.25862513587554714</v>
      </c>
    </row>
    <row r="252" spans="1:10">
      <c r="A252">
        <v>249</v>
      </c>
      <c r="B252">
        <v>7.9744865260780659E-2</v>
      </c>
      <c r="C252">
        <v>0.78539384136478774</v>
      </c>
      <c r="D252" s="1">
        <f t="shared" si="10"/>
        <v>-1.4067897916333656</v>
      </c>
      <c r="E252" s="1">
        <f t="shared" si="11"/>
        <v>-0.61624952740094829</v>
      </c>
      <c r="I252" s="1">
        <v>-0.90707617115795036</v>
      </c>
      <c r="J252">
        <f t="shared" si="9"/>
        <v>0.26063151012829305</v>
      </c>
    </row>
    <row r="253" spans="1:10">
      <c r="A253">
        <v>250</v>
      </c>
      <c r="B253">
        <v>0.49229407635731071</v>
      </c>
      <c r="C253">
        <v>0.8852809228797266</v>
      </c>
      <c r="D253" s="1">
        <f t="shared" si="10"/>
        <v>-1.931708737909632E-2</v>
      </c>
      <c r="E253" s="1">
        <f t="shared" si="11"/>
        <v>1.1824903216491576</v>
      </c>
      <c r="I253" s="1">
        <v>-0.90395794961457354</v>
      </c>
      <c r="J253">
        <f t="shared" si="9"/>
        <v>0.26134810852712043</v>
      </c>
    </row>
    <row r="254" spans="1:10">
      <c r="A254">
        <v>251</v>
      </c>
      <c r="B254">
        <v>0.26343577379680777</v>
      </c>
      <c r="C254">
        <v>0.10730307931760613</v>
      </c>
      <c r="D254" s="1">
        <f t="shared" si="10"/>
        <v>-0.63278883681387188</v>
      </c>
      <c r="E254" s="1">
        <f t="shared" si="11"/>
        <v>-1.8737877276074362</v>
      </c>
      <c r="I254" s="1">
        <v>-0.90381513780455758</v>
      </c>
      <c r="J254">
        <f t="shared" si="9"/>
        <v>0.26138095232431335</v>
      </c>
    </row>
    <row r="255" spans="1:10">
      <c r="A255">
        <v>252</v>
      </c>
      <c r="B255">
        <v>0.9838251899777215</v>
      </c>
      <c r="C255">
        <v>0.22714926602984711</v>
      </c>
      <c r="D255" s="1">
        <f t="shared" si="10"/>
        <v>2.1400636892118117</v>
      </c>
      <c r="E255" s="1">
        <f t="shared" si="11"/>
        <v>1.3917957057112305</v>
      </c>
      <c r="I255" s="1">
        <v>-0.9020681413154773</v>
      </c>
      <c r="J255">
        <f t="shared" si="9"/>
        <v>0.26178289731420351</v>
      </c>
    </row>
    <row r="256" spans="1:10">
      <c r="A256">
        <v>253</v>
      </c>
      <c r="B256">
        <v>4.098635822626423E-2</v>
      </c>
      <c r="C256">
        <v>0.95632801293984804</v>
      </c>
      <c r="D256" s="1">
        <f t="shared" si="10"/>
        <v>-1.7393528497376851</v>
      </c>
      <c r="E256" s="1">
        <f t="shared" si="11"/>
        <v>-2.9775051860609469E-2</v>
      </c>
      <c r="I256" s="1">
        <v>-0.90001082042111225</v>
      </c>
      <c r="J256">
        <f t="shared" si="9"/>
        <v>0.26225664727149489</v>
      </c>
    </row>
    <row r="257" spans="1:10">
      <c r="A257">
        <v>254</v>
      </c>
      <c r="B257">
        <v>0.75514999847407449</v>
      </c>
      <c r="C257">
        <v>0.66240424817651911</v>
      </c>
      <c r="D257" s="1">
        <f t="shared" si="10"/>
        <v>0.69078605058573495</v>
      </c>
      <c r="E257" s="1">
        <f t="shared" si="11"/>
        <v>1.1098197503734151</v>
      </c>
      <c r="I257" s="1">
        <v>-0.8905318472215985</v>
      </c>
      <c r="J257">
        <f t="shared" si="9"/>
        <v>0.26444507873961742</v>
      </c>
    </row>
    <row r="258" spans="1:10">
      <c r="A258">
        <v>255</v>
      </c>
      <c r="B258">
        <v>0.83382671590319524</v>
      </c>
      <c r="C258">
        <v>0.88442640461439859</v>
      </c>
      <c r="D258" s="1">
        <f t="shared" si="10"/>
        <v>0.96939816368526999</v>
      </c>
      <c r="E258" s="1">
        <f t="shared" si="11"/>
        <v>2.1668071294274451</v>
      </c>
      <c r="I258" s="1">
        <v>-0.87985070165367518</v>
      </c>
      <c r="J258">
        <f t="shared" si="9"/>
        <v>0.26692214679116893</v>
      </c>
    </row>
    <row r="259" spans="1:10">
      <c r="A259">
        <v>256</v>
      </c>
      <c r="B259">
        <v>0.79940183721427049</v>
      </c>
      <c r="C259">
        <v>0.63463240455336156</v>
      </c>
      <c r="D259" s="1">
        <f t="shared" si="10"/>
        <v>0.83948656441748182</v>
      </c>
      <c r="E259" s="1">
        <f t="shared" si="11"/>
        <v>1.1836342923433185</v>
      </c>
      <c r="I259" s="1">
        <v>-0.87892769306728258</v>
      </c>
      <c r="J259">
        <f t="shared" si="9"/>
        <v>0.2671367509184997</v>
      </c>
    </row>
    <row r="260" spans="1:10">
      <c r="A260">
        <v>257</v>
      </c>
      <c r="B260">
        <v>0.20371105075228127</v>
      </c>
      <c r="C260">
        <v>0.32416760765404218</v>
      </c>
      <c r="D260" s="1">
        <f t="shared" si="10"/>
        <v>-0.82843869256815084</v>
      </c>
      <c r="E260" s="1">
        <f t="shared" si="11"/>
        <v>-1.2845148490205944</v>
      </c>
      <c r="I260" s="1">
        <v>-0.87160141315457385</v>
      </c>
      <c r="J260">
        <f t="shared" ref="J260:J323" si="12">_xlfn.NORM.DIST(I260,$J$1,$J$2,TRUE)</f>
        <v>0.26884323139544458</v>
      </c>
    </row>
    <row r="261" spans="1:10">
      <c r="A261">
        <v>258</v>
      </c>
      <c r="B261">
        <v>0.87008270516067998</v>
      </c>
      <c r="C261">
        <v>0.3681447798089541</v>
      </c>
      <c r="D261" s="1">
        <f t="shared" ref="D261:D324" si="13">_xlfn.NORM.INV(B261, 0, 1)</f>
        <v>1.1267821727217964</v>
      </c>
      <c r="E261" s="1">
        <f t="shared" ref="E261:E324" si="14">_xlfn.NORM.INV(C261,D261,1)</f>
        <v>0.79001120405081859</v>
      </c>
      <c r="I261" s="1">
        <v>-0.86457331213527699</v>
      </c>
      <c r="J261">
        <f t="shared" si="12"/>
        <v>0.27048538714805759</v>
      </c>
    </row>
    <row r="262" spans="1:10">
      <c r="A262">
        <v>259</v>
      </c>
      <c r="B262">
        <v>0.38489944151127659</v>
      </c>
      <c r="C262">
        <v>0.59904782250434885</v>
      </c>
      <c r="D262" s="1">
        <f t="shared" si="13"/>
        <v>-0.29263797620328114</v>
      </c>
      <c r="E262" s="1">
        <f t="shared" si="14"/>
        <v>-4.1754700451128279E-2</v>
      </c>
      <c r="I262" s="1">
        <v>-0.85986550621307356</v>
      </c>
      <c r="J262">
        <f t="shared" si="12"/>
        <v>0.27158818888433001</v>
      </c>
    </row>
    <row r="263" spans="1:10">
      <c r="A263">
        <v>260</v>
      </c>
      <c r="B263">
        <v>0.34330271309549243</v>
      </c>
      <c r="C263">
        <v>0.21588793603320414</v>
      </c>
      <c r="D263" s="1">
        <f t="shared" si="13"/>
        <v>-0.40346602161598766</v>
      </c>
      <c r="E263" s="1">
        <f t="shared" si="14"/>
        <v>-1.1896224106345112</v>
      </c>
      <c r="I263" s="1">
        <v>-0.85528358442874342</v>
      </c>
      <c r="J263">
        <f t="shared" si="12"/>
        <v>0.27266364792870601</v>
      </c>
    </row>
    <row r="264" spans="1:10">
      <c r="A264">
        <v>261</v>
      </c>
      <c r="B264">
        <v>0.326120792260506</v>
      </c>
      <c r="C264">
        <v>0.74282052064577164</v>
      </c>
      <c r="D264" s="1">
        <f t="shared" si="13"/>
        <v>-0.45065033235417817</v>
      </c>
      <c r="E264" s="1">
        <f t="shared" si="14"/>
        <v>0.20141510604619495</v>
      </c>
      <c r="I264" s="1">
        <v>-0.853806834844</v>
      </c>
      <c r="J264">
        <f t="shared" si="12"/>
        <v>0.27301071730575932</v>
      </c>
    </row>
    <row r="265" spans="1:10">
      <c r="A265">
        <v>262</v>
      </c>
      <c r="B265">
        <v>0.20349742118594927</v>
      </c>
      <c r="C265">
        <v>0.6113162633136997</v>
      </c>
      <c r="D265" s="1">
        <f t="shared" si="13"/>
        <v>-0.82919364155259601</v>
      </c>
      <c r="E265" s="1">
        <f t="shared" si="14"/>
        <v>-0.54644232193418207</v>
      </c>
      <c r="I265" s="1">
        <v>-0.85116656659311241</v>
      </c>
      <c r="J265">
        <f t="shared" si="12"/>
        <v>0.27363178506649355</v>
      </c>
    </row>
    <row r="266" spans="1:10">
      <c r="A266">
        <v>263</v>
      </c>
      <c r="B266">
        <v>0.39405499435407576</v>
      </c>
      <c r="C266">
        <v>0.41346476638080998</v>
      </c>
      <c r="D266" s="1">
        <f t="shared" si="13"/>
        <v>-0.26876570148984236</v>
      </c>
      <c r="E266" s="1">
        <f t="shared" si="14"/>
        <v>-0.48740693160456638</v>
      </c>
      <c r="I266" s="1">
        <v>-0.84488152497902358</v>
      </c>
      <c r="J266">
        <f t="shared" si="12"/>
        <v>0.27511301624171852</v>
      </c>
    </row>
    <row r="267" spans="1:10">
      <c r="A267">
        <v>264</v>
      </c>
      <c r="B267">
        <v>0.95367290261543625</v>
      </c>
      <c r="C267">
        <v>1.7883846552934356E-2</v>
      </c>
      <c r="D267" s="1">
        <f t="shared" si="13"/>
        <v>1.6815599885966983</v>
      </c>
      <c r="E267" s="1">
        <f t="shared" si="14"/>
        <v>-0.41799855164712119</v>
      </c>
      <c r="I267" s="1">
        <v>-0.83501905968021373</v>
      </c>
      <c r="J267">
        <f t="shared" si="12"/>
        <v>0.27744528989631939</v>
      </c>
    </row>
    <row r="268" spans="1:10">
      <c r="A268">
        <v>265</v>
      </c>
      <c r="B268">
        <v>0.58360545670949426</v>
      </c>
      <c r="C268">
        <v>0.97036652729880668</v>
      </c>
      <c r="D268" s="1">
        <f t="shared" si="13"/>
        <v>0.21112582804886568</v>
      </c>
      <c r="E268" s="1">
        <f t="shared" si="14"/>
        <v>2.0973337204054419</v>
      </c>
      <c r="I268" s="1">
        <v>-0.8302820421559296</v>
      </c>
      <c r="J268">
        <f t="shared" si="12"/>
        <v>0.27856892443994752</v>
      </c>
    </row>
    <row r="269" spans="1:10">
      <c r="A269">
        <v>266</v>
      </c>
      <c r="B269">
        <v>0.15948973052156132</v>
      </c>
      <c r="C269">
        <v>0.92065187536240733</v>
      </c>
      <c r="D269" s="1">
        <f t="shared" si="13"/>
        <v>-0.99655725865406863</v>
      </c>
      <c r="E269" s="1">
        <f t="shared" si="14"/>
        <v>0.41291270387754675</v>
      </c>
      <c r="I269" s="1">
        <v>-0.8288147166846549</v>
      </c>
      <c r="J269">
        <f t="shared" si="12"/>
        <v>0.27891742743838066</v>
      </c>
    </row>
    <row r="270" spans="1:10">
      <c r="A270">
        <v>267</v>
      </c>
      <c r="B270">
        <v>0.35847041230506305</v>
      </c>
      <c r="C270">
        <v>0.83178197576830348</v>
      </c>
      <c r="D270" s="1">
        <f t="shared" si="13"/>
        <v>-0.36255032383982394</v>
      </c>
      <c r="E270" s="1">
        <f t="shared" si="14"/>
        <v>0.59868064471640681</v>
      </c>
      <c r="I270" s="1">
        <v>-0.8268842472795469</v>
      </c>
      <c r="J270">
        <f t="shared" si="12"/>
        <v>0.27937625414885592</v>
      </c>
    </row>
    <row r="271" spans="1:10">
      <c r="A271">
        <v>268</v>
      </c>
      <c r="B271">
        <v>0.51029999694814909</v>
      </c>
      <c r="C271">
        <v>0.75725577562791835</v>
      </c>
      <c r="D271" s="1">
        <f t="shared" si="13"/>
        <v>2.5821132583018373E-2</v>
      </c>
      <c r="E271" s="1">
        <f t="shared" si="14"/>
        <v>0.72332351533618622</v>
      </c>
      <c r="I271" s="1">
        <v>-0.81371943583322937</v>
      </c>
      <c r="J271">
        <f t="shared" si="12"/>
        <v>0.282514955629936</v>
      </c>
    </row>
    <row r="272" spans="1:10">
      <c r="A272">
        <v>269</v>
      </c>
      <c r="B272">
        <v>0.72209845271156958</v>
      </c>
      <c r="C272">
        <v>0.66991180150761431</v>
      </c>
      <c r="D272" s="1">
        <f t="shared" si="13"/>
        <v>0.58908673022247282</v>
      </c>
      <c r="E272" s="1">
        <f t="shared" si="14"/>
        <v>1.028756366746854</v>
      </c>
      <c r="I272" s="1">
        <v>-0.81103620465649828</v>
      </c>
      <c r="J272">
        <f t="shared" si="12"/>
        <v>0.28315675474866187</v>
      </c>
    </row>
    <row r="273" spans="1:10">
      <c r="A273">
        <v>270</v>
      </c>
      <c r="B273">
        <v>0.84441663869136629</v>
      </c>
      <c r="C273">
        <v>0.36796166875209813</v>
      </c>
      <c r="D273" s="1">
        <f t="shared" si="13"/>
        <v>1.0127769297100815</v>
      </c>
      <c r="E273" s="1">
        <f t="shared" si="14"/>
        <v>0.67552014960423024</v>
      </c>
      <c r="I273" s="1">
        <v>-0.81072490732134839</v>
      </c>
      <c r="J273">
        <f t="shared" si="12"/>
        <v>0.28323125887963541</v>
      </c>
    </row>
    <row r="274" spans="1:10">
      <c r="A274">
        <v>271</v>
      </c>
      <c r="B274">
        <v>0.42649616992706074</v>
      </c>
      <c r="C274">
        <v>0.95544297616504414</v>
      </c>
      <c r="D274" s="1">
        <f t="shared" si="13"/>
        <v>-0.18530178269739017</v>
      </c>
      <c r="E274" s="1">
        <f t="shared" si="14"/>
        <v>1.5147879530824029</v>
      </c>
      <c r="I274" s="1">
        <v>-0.81064182472522628</v>
      </c>
      <c r="J274">
        <f t="shared" si="12"/>
        <v>0.28325114498457127</v>
      </c>
    </row>
    <row r="275" spans="1:10">
      <c r="A275">
        <v>272</v>
      </c>
      <c r="B275">
        <v>0.66655476546525472</v>
      </c>
      <c r="C275">
        <v>0.67885372478408157</v>
      </c>
      <c r="D275" s="1">
        <f t="shared" si="13"/>
        <v>0.43041956041662066</v>
      </c>
      <c r="E275" s="1">
        <f t="shared" si="14"/>
        <v>0.89491538485982725</v>
      </c>
      <c r="I275" s="1">
        <v>-0.8099566098344545</v>
      </c>
      <c r="J275">
        <f t="shared" si="12"/>
        <v>0.28341517905664382</v>
      </c>
    </row>
    <row r="276" spans="1:10">
      <c r="A276">
        <v>273</v>
      </c>
      <c r="B276">
        <v>0.98699911496322523</v>
      </c>
      <c r="C276">
        <v>0.95892208624530773</v>
      </c>
      <c r="D276" s="1">
        <f t="shared" si="13"/>
        <v>2.2261853315795563</v>
      </c>
      <c r="E276" s="1">
        <f t="shared" si="14"/>
        <v>3.9644974766522543</v>
      </c>
      <c r="I276" s="1">
        <v>-0.80175449609133886</v>
      </c>
      <c r="J276">
        <f t="shared" si="12"/>
        <v>0.28538221543110426</v>
      </c>
    </row>
    <row r="277" spans="1:10">
      <c r="A277">
        <v>274</v>
      </c>
      <c r="B277">
        <v>0.40537736136967073</v>
      </c>
      <c r="C277">
        <v>0.54481643116550182</v>
      </c>
      <c r="D277" s="1">
        <f t="shared" si="13"/>
        <v>-0.23945250248197761</v>
      </c>
      <c r="E277" s="1">
        <f t="shared" si="14"/>
        <v>-0.12687703773623332</v>
      </c>
      <c r="I277" s="1">
        <v>-0.79878978108232346</v>
      </c>
      <c r="J277">
        <f t="shared" si="12"/>
        <v>0.28609481173510826</v>
      </c>
    </row>
    <row r="278" spans="1:10">
      <c r="A278">
        <v>275</v>
      </c>
      <c r="B278">
        <v>6.7751091036713767E-3</v>
      </c>
      <c r="C278">
        <v>0.67827387310403764</v>
      </c>
      <c r="D278" s="1">
        <f t="shared" si="13"/>
        <v>-2.4689710453039071</v>
      </c>
      <c r="E278" s="1">
        <f t="shared" si="14"/>
        <v>-2.0060936537388643</v>
      </c>
      <c r="I278" s="1">
        <v>-0.79874027933653025</v>
      </c>
      <c r="J278">
        <f t="shared" si="12"/>
        <v>0.28610671710346269</v>
      </c>
    </row>
    <row r="279" spans="1:10">
      <c r="A279">
        <v>276</v>
      </c>
      <c r="B279">
        <v>0.14597003082369456</v>
      </c>
      <c r="C279">
        <v>0.59593493453779722</v>
      </c>
      <c r="D279" s="1">
        <f t="shared" si="13"/>
        <v>-1.0538751931969588</v>
      </c>
      <c r="E279" s="1">
        <f t="shared" si="14"/>
        <v>-0.81103620465649828</v>
      </c>
      <c r="I279" s="1">
        <v>-0.79837966568072516</v>
      </c>
      <c r="J279">
        <f t="shared" si="12"/>
        <v>0.28619345323568807</v>
      </c>
    </row>
    <row r="280" spans="1:10">
      <c r="A280">
        <v>277</v>
      </c>
      <c r="B280">
        <v>0.85857722708822903</v>
      </c>
      <c r="C280">
        <v>0.41361735892818996</v>
      </c>
      <c r="D280" s="1">
        <f t="shared" si="13"/>
        <v>1.0739489871519365</v>
      </c>
      <c r="E280" s="1">
        <f t="shared" si="14"/>
        <v>0.85569948554131769</v>
      </c>
      <c r="I280" s="1">
        <v>-0.79836221864708623</v>
      </c>
      <c r="J280">
        <f t="shared" si="12"/>
        <v>0.28619764997755537</v>
      </c>
    </row>
    <row r="281" spans="1:10">
      <c r="A281">
        <v>278</v>
      </c>
      <c r="B281">
        <v>0.94885097811822872</v>
      </c>
      <c r="C281">
        <v>0.173924985503708</v>
      </c>
      <c r="D281" s="1">
        <f t="shared" si="13"/>
        <v>1.6338133716319656</v>
      </c>
      <c r="E281" s="1">
        <f t="shared" si="14"/>
        <v>0.69504556472008383</v>
      </c>
      <c r="I281" s="1">
        <v>-0.7932187657286045</v>
      </c>
      <c r="J281">
        <f t="shared" si="12"/>
        <v>0.28743613825028363</v>
      </c>
    </row>
    <row r="282" spans="1:10">
      <c r="A282">
        <v>279</v>
      </c>
      <c r="B282">
        <v>0.63780632953886529</v>
      </c>
      <c r="C282">
        <v>0.9770500808740501</v>
      </c>
      <c r="D282" s="1">
        <f t="shared" si="13"/>
        <v>0.35260132925449345</v>
      </c>
      <c r="E282" s="1">
        <f t="shared" si="14"/>
        <v>2.3489145649800758</v>
      </c>
      <c r="I282" s="1">
        <v>-0.79099667188143286</v>
      </c>
      <c r="J282">
        <f t="shared" si="12"/>
        <v>0.28797197757624199</v>
      </c>
    </row>
    <row r="283" spans="1:10">
      <c r="A283">
        <v>280</v>
      </c>
      <c r="B283">
        <v>0.25943784905545214</v>
      </c>
      <c r="C283">
        <v>0.64326914273506886</v>
      </c>
      <c r="D283" s="1">
        <f t="shared" si="13"/>
        <v>-0.64507945338147854</v>
      </c>
      <c r="E283" s="1">
        <f t="shared" si="14"/>
        <v>-0.27786856026321882</v>
      </c>
      <c r="I283" s="1">
        <v>-0.77767185815697215</v>
      </c>
      <c r="J283">
        <f t="shared" si="12"/>
        <v>0.2911949957643587</v>
      </c>
    </row>
    <row r="284" spans="1:10">
      <c r="A284">
        <v>281</v>
      </c>
      <c r="B284">
        <v>0.12543107394634845</v>
      </c>
      <c r="C284">
        <v>0.93508713034455393</v>
      </c>
      <c r="D284" s="1">
        <f t="shared" si="13"/>
        <v>-1.1482578161472325</v>
      </c>
      <c r="E284" s="1">
        <f t="shared" si="14"/>
        <v>0.36653160908760629</v>
      </c>
      <c r="I284" s="1">
        <v>-0.77562994092034965</v>
      </c>
      <c r="J284">
        <f t="shared" si="12"/>
        <v>0.29169038095767436</v>
      </c>
    </row>
    <row r="285" spans="1:10">
      <c r="A285">
        <v>282</v>
      </c>
      <c r="B285">
        <v>0.445600756859035</v>
      </c>
      <c r="C285">
        <v>0.13675344096194342</v>
      </c>
      <c r="D285" s="1">
        <f t="shared" si="13"/>
        <v>-0.13678402175364243</v>
      </c>
      <c r="E285" s="1">
        <f t="shared" si="14"/>
        <v>-1.231806287527538</v>
      </c>
      <c r="I285" s="1">
        <v>-0.76472981541702501</v>
      </c>
      <c r="J285">
        <f t="shared" si="12"/>
        <v>0.29434145850090471</v>
      </c>
    </row>
    <row r="286" spans="1:10">
      <c r="A286">
        <v>283</v>
      </c>
      <c r="B286">
        <v>0.89806817835016939</v>
      </c>
      <c r="C286">
        <v>0.95397808771019621</v>
      </c>
      <c r="D286" s="1">
        <f t="shared" si="13"/>
        <v>1.2706206322334221</v>
      </c>
      <c r="E286" s="1">
        <f t="shared" si="14"/>
        <v>2.9553343189241716</v>
      </c>
      <c r="I286" s="1">
        <v>-0.75912181204338813</v>
      </c>
      <c r="J286">
        <f t="shared" si="12"/>
        <v>0.2957097315908036</v>
      </c>
    </row>
    <row r="287" spans="1:10">
      <c r="A287">
        <v>284</v>
      </c>
      <c r="B287">
        <v>0.29932554094058045</v>
      </c>
      <c r="C287">
        <v>0.77416302987762076</v>
      </c>
      <c r="D287" s="1">
        <f t="shared" si="13"/>
        <v>-0.52634131539302231</v>
      </c>
      <c r="E287" s="1">
        <f t="shared" si="14"/>
        <v>0.22628593062052871</v>
      </c>
      <c r="I287" s="1">
        <v>-0.7550314738854933</v>
      </c>
      <c r="J287">
        <f t="shared" si="12"/>
        <v>0.29670955561913359</v>
      </c>
    </row>
    <row r="288" spans="1:10">
      <c r="A288">
        <v>285</v>
      </c>
      <c r="B288">
        <v>0.32688375499740591</v>
      </c>
      <c r="C288">
        <v>0.38245796075319682</v>
      </c>
      <c r="D288" s="1">
        <f t="shared" si="13"/>
        <v>-0.44853447677332864</v>
      </c>
      <c r="E288" s="1">
        <f t="shared" si="14"/>
        <v>-0.74756609411426478</v>
      </c>
      <c r="I288" s="1">
        <v>-0.75190852198568914</v>
      </c>
      <c r="J288">
        <f t="shared" si="12"/>
        <v>0.29747395654745057</v>
      </c>
    </row>
    <row r="289" spans="1:10">
      <c r="A289">
        <v>286</v>
      </c>
      <c r="B289">
        <v>0.52812280648213139</v>
      </c>
      <c r="C289">
        <v>0.19815668202764977</v>
      </c>
      <c r="D289" s="1">
        <f t="shared" si="13"/>
        <v>7.0551907745467227E-2</v>
      </c>
      <c r="E289" s="1">
        <f t="shared" si="14"/>
        <v>-0.77767185815697215</v>
      </c>
      <c r="I289" s="1">
        <v>-0.75161755942878039</v>
      </c>
      <c r="J289">
        <f t="shared" si="12"/>
        <v>0.29754522085070145</v>
      </c>
    </row>
    <row r="290" spans="1:10">
      <c r="A290">
        <v>287</v>
      </c>
      <c r="B290">
        <v>0.6385998107852412</v>
      </c>
      <c r="C290">
        <v>0.78780480361339156</v>
      </c>
      <c r="D290" s="1">
        <f t="shared" si="13"/>
        <v>0.35471864899874217</v>
      </c>
      <c r="E290" s="1">
        <f t="shared" si="14"/>
        <v>1.1535462345835663</v>
      </c>
      <c r="I290" s="1">
        <v>-0.74756609411426478</v>
      </c>
      <c r="J290">
        <f t="shared" si="12"/>
        <v>0.29853833891609016</v>
      </c>
    </row>
    <row r="291" spans="1:10">
      <c r="A291">
        <v>288</v>
      </c>
      <c r="B291">
        <v>0.96694845423749509</v>
      </c>
      <c r="C291">
        <v>0.533249916074099</v>
      </c>
      <c r="D291" s="1">
        <f t="shared" si="13"/>
        <v>1.837723959107967</v>
      </c>
      <c r="E291" s="1">
        <f t="shared" si="14"/>
        <v>1.9211658659265163</v>
      </c>
      <c r="I291" s="1">
        <v>-0.74636746099097895</v>
      </c>
      <c r="J291">
        <f t="shared" si="12"/>
        <v>0.29883244341300275</v>
      </c>
    </row>
    <row r="292" spans="1:10">
      <c r="A292">
        <v>289</v>
      </c>
      <c r="B292">
        <v>9.5950193792535179E-2</v>
      </c>
      <c r="C292">
        <v>0.38029114658040103</v>
      </c>
      <c r="D292" s="1">
        <f t="shared" si="13"/>
        <v>-1.304977857813594</v>
      </c>
      <c r="E292" s="1">
        <f t="shared" si="14"/>
        <v>-1.6096940802151951</v>
      </c>
      <c r="I292" s="1">
        <v>-0.73724313226934945</v>
      </c>
      <c r="J292">
        <f t="shared" si="12"/>
        <v>0.30107555090288807</v>
      </c>
    </row>
    <row r="293" spans="1:10">
      <c r="A293">
        <v>290</v>
      </c>
      <c r="B293">
        <v>0.58699301126132997</v>
      </c>
      <c r="C293">
        <v>0.20957060457167273</v>
      </c>
      <c r="D293" s="1">
        <f t="shared" si="13"/>
        <v>0.21981661721245238</v>
      </c>
      <c r="E293" s="1">
        <f t="shared" si="14"/>
        <v>-0.58809544119439727</v>
      </c>
      <c r="I293" s="1">
        <v>-0.73453989816500798</v>
      </c>
      <c r="J293">
        <f t="shared" si="12"/>
        <v>0.30174156300156779</v>
      </c>
    </row>
    <row r="294" spans="1:10">
      <c r="A294">
        <v>291</v>
      </c>
      <c r="B294">
        <v>0.31904049806207463</v>
      </c>
      <c r="C294">
        <v>0.24872585222937713</v>
      </c>
      <c r="D294" s="1">
        <f t="shared" si="13"/>
        <v>-0.47038357603656022</v>
      </c>
      <c r="E294" s="1">
        <f t="shared" si="14"/>
        <v>-1.1488883397204153</v>
      </c>
      <c r="I294" s="1">
        <v>-0.73200772506329459</v>
      </c>
      <c r="J294">
        <f t="shared" si="12"/>
        <v>0.3023660298884045</v>
      </c>
    </row>
    <row r="295" spans="1:10">
      <c r="A295">
        <v>292</v>
      </c>
      <c r="B295">
        <v>0.48924222540971096</v>
      </c>
      <c r="C295">
        <v>0.13553270058290354</v>
      </c>
      <c r="D295" s="1">
        <f t="shared" si="13"/>
        <v>-2.6969010820891235E-2</v>
      </c>
      <c r="E295" s="1">
        <f t="shared" si="14"/>
        <v>-1.1275813769428549</v>
      </c>
      <c r="I295" s="1">
        <v>-0.7298291507748238</v>
      </c>
      <c r="J295">
        <f t="shared" si="12"/>
        <v>0.30290375813196302</v>
      </c>
    </row>
    <row r="296" spans="1:10">
      <c r="A296">
        <v>293</v>
      </c>
      <c r="B296">
        <v>0.43379009369182409</v>
      </c>
      <c r="C296">
        <v>0.20578630939664908</v>
      </c>
      <c r="D296" s="1">
        <f t="shared" si="13"/>
        <v>-0.16673293816956733</v>
      </c>
      <c r="E296" s="1">
        <f t="shared" si="14"/>
        <v>-0.98786224411072099</v>
      </c>
      <c r="I296" s="1">
        <v>-0.72624738891368046</v>
      </c>
      <c r="J296">
        <f t="shared" si="12"/>
        <v>0.30378875831143809</v>
      </c>
    </row>
    <row r="297" spans="1:10">
      <c r="A297">
        <v>294</v>
      </c>
      <c r="B297">
        <v>7.2206793420209359E-2</v>
      </c>
      <c r="C297">
        <v>7.211523789178137E-2</v>
      </c>
      <c r="D297" s="1">
        <f t="shared" si="13"/>
        <v>-1.4595507367224703</v>
      </c>
      <c r="E297" s="1">
        <f t="shared" si="14"/>
        <v>-2.9197676232250198</v>
      </c>
      <c r="I297" s="1">
        <v>-0.71770814739078936</v>
      </c>
      <c r="J297">
        <f t="shared" si="12"/>
        <v>0.30590331665162301</v>
      </c>
    </row>
    <row r="298" spans="1:10">
      <c r="A298">
        <v>295</v>
      </c>
      <c r="B298">
        <v>0.72853785821100503</v>
      </c>
      <c r="C298">
        <v>0.93472090823084197</v>
      </c>
      <c r="D298" s="1">
        <f t="shared" si="13"/>
        <v>0.60839687502670048</v>
      </c>
      <c r="E298" s="1">
        <f t="shared" si="14"/>
        <v>2.1203012790100257</v>
      </c>
      <c r="I298" s="1">
        <v>-0.70593434684066536</v>
      </c>
      <c r="J298">
        <f t="shared" si="12"/>
        <v>0.30882947412220196</v>
      </c>
    </row>
    <row r="299" spans="1:10">
      <c r="A299">
        <v>296</v>
      </c>
      <c r="B299">
        <v>0.58140812402722253</v>
      </c>
      <c r="C299">
        <v>0.38364818262276068</v>
      </c>
      <c r="D299" s="1">
        <f t="shared" si="13"/>
        <v>0.20549711494177925</v>
      </c>
      <c r="E299" s="1">
        <f t="shared" si="14"/>
        <v>-9.0416091467788229E-2</v>
      </c>
      <c r="I299" s="1">
        <v>-0.70399332117694624</v>
      </c>
      <c r="J299">
        <f t="shared" si="12"/>
        <v>0.30931305381237628</v>
      </c>
    </row>
    <row r="300" spans="1:10">
      <c r="A300">
        <v>297</v>
      </c>
      <c r="B300">
        <v>0.44724875637073885</v>
      </c>
      <c r="C300">
        <v>0.16263313699758905</v>
      </c>
      <c r="D300" s="1">
        <f t="shared" si="13"/>
        <v>-0.13261545034713806</v>
      </c>
      <c r="E300" s="1">
        <f t="shared" si="14"/>
        <v>-1.1163088745722975</v>
      </c>
      <c r="I300" s="1">
        <v>-0.70398954819987969</v>
      </c>
      <c r="J300">
        <f t="shared" si="12"/>
        <v>0.30931399411948479</v>
      </c>
    </row>
    <row r="301" spans="1:10">
      <c r="A301">
        <v>298</v>
      </c>
      <c r="B301">
        <v>0.40595721304971466</v>
      </c>
      <c r="C301">
        <v>0.24066896572771385</v>
      </c>
      <c r="D301" s="1">
        <f t="shared" si="13"/>
        <v>-0.2379570248068158</v>
      </c>
      <c r="E301" s="1">
        <f t="shared" si="14"/>
        <v>-0.94210932704162875</v>
      </c>
      <c r="I301" s="1">
        <v>-0.69475288356204934</v>
      </c>
      <c r="J301">
        <f t="shared" si="12"/>
        <v>0.31161970113334303</v>
      </c>
    </row>
    <row r="302" spans="1:10">
      <c r="A302">
        <v>299</v>
      </c>
      <c r="B302">
        <v>0.87246314889980769</v>
      </c>
      <c r="C302">
        <v>0.88406018250068663</v>
      </c>
      <c r="D302" s="1">
        <f t="shared" si="13"/>
        <v>1.1381120377363716</v>
      </c>
      <c r="E302" s="1">
        <f t="shared" si="14"/>
        <v>2.3336430297091932</v>
      </c>
      <c r="I302" s="1">
        <v>-0.69283237455399838</v>
      </c>
      <c r="J302">
        <f t="shared" si="12"/>
        <v>0.31210004215017362</v>
      </c>
    </row>
    <row r="303" spans="1:10">
      <c r="A303">
        <v>300</v>
      </c>
      <c r="B303">
        <v>0.91140476699118012</v>
      </c>
      <c r="C303">
        <v>0.45396282845545821</v>
      </c>
      <c r="D303" s="1">
        <f t="shared" si="13"/>
        <v>1.3494562429880759</v>
      </c>
      <c r="E303" s="1">
        <f t="shared" si="14"/>
        <v>1.2338008458942533</v>
      </c>
      <c r="I303" s="1">
        <v>-0.68747897825019433</v>
      </c>
      <c r="J303">
        <f t="shared" si="12"/>
        <v>0.31344067246808471</v>
      </c>
    </row>
    <row r="304" spans="1:10">
      <c r="A304">
        <v>301</v>
      </c>
      <c r="B304">
        <v>0.58033997619556266</v>
      </c>
      <c r="C304">
        <v>0.34708700827051608</v>
      </c>
      <c r="D304" s="1">
        <f t="shared" si="13"/>
        <v>0.2027632958887762</v>
      </c>
      <c r="E304" s="1">
        <f t="shared" si="14"/>
        <v>-0.19043366181507912</v>
      </c>
      <c r="I304" s="1">
        <v>-0.68629261602007108</v>
      </c>
      <c r="J304">
        <f t="shared" si="12"/>
        <v>0.31373810332497198</v>
      </c>
    </row>
    <row r="305" spans="1:10">
      <c r="A305">
        <v>302</v>
      </c>
      <c r="B305">
        <v>0.41291543321024199</v>
      </c>
      <c r="C305">
        <v>4.9989318521683403E-2</v>
      </c>
      <c r="D305" s="1">
        <f t="shared" si="13"/>
        <v>-0.22005173102653514</v>
      </c>
      <c r="E305" s="1">
        <f t="shared" si="14"/>
        <v>-1.8650089340862395</v>
      </c>
      <c r="I305" s="1">
        <v>-0.68610155639206272</v>
      </c>
      <c r="J305">
        <f t="shared" si="12"/>
        <v>0.31378601488603031</v>
      </c>
    </row>
    <row r="306" spans="1:10">
      <c r="A306">
        <v>303</v>
      </c>
      <c r="B306">
        <v>0.3065584276863918</v>
      </c>
      <c r="C306">
        <v>0.72173223059785763</v>
      </c>
      <c r="D306" s="1">
        <f t="shared" si="13"/>
        <v>-0.50562937598766844</v>
      </c>
      <c r="E306" s="1">
        <f t="shared" si="14"/>
        <v>8.2365788054839295E-2</v>
      </c>
      <c r="I306" s="1">
        <v>-0.68529585812586302</v>
      </c>
      <c r="J306">
        <f t="shared" si="12"/>
        <v>0.31398809242898429</v>
      </c>
    </row>
    <row r="307" spans="1:10">
      <c r="A307">
        <v>304</v>
      </c>
      <c r="B307">
        <v>0.22247993408001954</v>
      </c>
      <c r="C307">
        <v>8.3376567888424333E-2</v>
      </c>
      <c r="D307" s="1">
        <f t="shared" si="13"/>
        <v>-0.7638445778246119</v>
      </c>
      <c r="E307" s="1">
        <f t="shared" si="14"/>
        <v>-2.1465567576703455</v>
      </c>
      <c r="I307" s="1">
        <v>-0.68002764579967856</v>
      </c>
      <c r="J307">
        <f t="shared" si="12"/>
        <v>0.31531078800066054</v>
      </c>
    </row>
    <row r="308" spans="1:10">
      <c r="A308">
        <v>305</v>
      </c>
      <c r="B308">
        <v>0.87127292703024384</v>
      </c>
      <c r="C308">
        <v>0.2130191961424604</v>
      </c>
      <c r="D308" s="1">
        <f t="shared" si="13"/>
        <v>1.132428934558833</v>
      </c>
      <c r="E308" s="1">
        <f t="shared" si="14"/>
        <v>0.33643987135385867</v>
      </c>
      <c r="I308" s="1">
        <v>-0.67557711590469249</v>
      </c>
      <c r="J308">
        <f t="shared" si="12"/>
        <v>0.31643003563933308</v>
      </c>
    </row>
    <row r="309" spans="1:10">
      <c r="A309">
        <v>306</v>
      </c>
      <c r="B309">
        <v>0.67439802240058599</v>
      </c>
      <c r="C309">
        <v>0.64470351268044068</v>
      </c>
      <c r="D309" s="1">
        <f t="shared" si="13"/>
        <v>0.45209026682813402</v>
      </c>
      <c r="E309" s="1">
        <f t="shared" si="14"/>
        <v>0.82315009004424944</v>
      </c>
      <c r="I309" s="1">
        <v>-0.66338702106983027</v>
      </c>
      <c r="J309">
        <f t="shared" si="12"/>
        <v>0.31950427539781767</v>
      </c>
    </row>
    <row r="310" spans="1:10">
      <c r="A310">
        <v>307</v>
      </c>
      <c r="B310">
        <v>0.69969786675618761</v>
      </c>
      <c r="C310">
        <v>0.9949644459364605</v>
      </c>
      <c r="D310" s="1">
        <f t="shared" si="13"/>
        <v>0.5235317439986823</v>
      </c>
      <c r="E310" s="1">
        <f t="shared" si="14"/>
        <v>3.0969099679733065</v>
      </c>
      <c r="I310" s="1">
        <v>-0.65457705102085983</v>
      </c>
      <c r="J310">
        <f t="shared" si="12"/>
        <v>0.32173383999819594</v>
      </c>
    </row>
    <row r="311" spans="1:10">
      <c r="A311">
        <v>308</v>
      </c>
      <c r="B311">
        <v>0.77047029023102509</v>
      </c>
      <c r="C311">
        <v>0.18753624073000275</v>
      </c>
      <c r="D311" s="1">
        <f t="shared" si="13"/>
        <v>0.74039653690712781</v>
      </c>
      <c r="E311" s="1">
        <f t="shared" si="14"/>
        <v>-0.14661538582805489</v>
      </c>
      <c r="I311" s="1">
        <v>-0.64663427659522987</v>
      </c>
      <c r="J311">
        <f t="shared" si="12"/>
        <v>0.32374946142050365</v>
      </c>
    </row>
    <row r="312" spans="1:10">
      <c r="A312">
        <v>309</v>
      </c>
      <c r="B312">
        <v>0.26593829157383952</v>
      </c>
      <c r="C312">
        <v>0.84218878749961856</v>
      </c>
      <c r="D312" s="1">
        <f t="shared" si="13"/>
        <v>-0.62514395252503763</v>
      </c>
      <c r="E312" s="1">
        <f t="shared" si="14"/>
        <v>0.37835034902057874</v>
      </c>
      <c r="I312" s="1">
        <v>-0.64649211578407839</v>
      </c>
      <c r="J312">
        <f t="shared" si="12"/>
        <v>0.32378558463697771</v>
      </c>
    </row>
    <row r="313" spans="1:10">
      <c r="A313">
        <v>310</v>
      </c>
      <c r="B313">
        <v>0.71239356669820242</v>
      </c>
      <c r="C313">
        <v>0.79375591296121095</v>
      </c>
      <c r="D313" s="1">
        <f t="shared" si="13"/>
        <v>0.56039085701206326</v>
      </c>
      <c r="E313" s="1">
        <f t="shared" si="14"/>
        <v>1.3799137008772355</v>
      </c>
      <c r="I313" s="1">
        <v>-0.64119367361283441</v>
      </c>
      <c r="J313">
        <f t="shared" si="12"/>
        <v>0.32513310595218137</v>
      </c>
    </row>
    <row r="314" spans="1:10">
      <c r="A314">
        <v>311</v>
      </c>
      <c r="B314">
        <v>0.90603350932340465</v>
      </c>
      <c r="C314">
        <v>0.85430463576158944</v>
      </c>
      <c r="D314" s="1">
        <f t="shared" si="13"/>
        <v>1.31671855592311</v>
      </c>
      <c r="E314" s="1">
        <f t="shared" si="14"/>
        <v>2.371794203816497</v>
      </c>
      <c r="I314" s="1">
        <v>-0.64051840264538296</v>
      </c>
      <c r="J314">
        <f t="shared" si="12"/>
        <v>0.32530500851089006</v>
      </c>
    </row>
    <row r="315" spans="1:10">
      <c r="A315">
        <v>312</v>
      </c>
      <c r="B315">
        <v>0.2315134128849147</v>
      </c>
      <c r="C315">
        <v>0.44196905423139132</v>
      </c>
      <c r="D315" s="1">
        <f t="shared" si="13"/>
        <v>-0.73387188161556771</v>
      </c>
      <c r="E315" s="1">
        <f t="shared" si="14"/>
        <v>-0.87985070165367518</v>
      </c>
      <c r="I315" s="1">
        <v>-0.63606705749811265</v>
      </c>
      <c r="J315">
        <f t="shared" si="12"/>
        <v>0.32643910861458825</v>
      </c>
    </row>
    <row r="316" spans="1:10">
      <c r="A316">
        <v>313</v>
      </c>
      <c r="B316">
        <v>0.5195165868099002</v>
      </c>
      <c r="C316">
        <v>0.32557145908993806</v>
      </c>
      <c r="D316" s="1">
        <f t="shared" si="13"/>
        <v>4.894035795849077E-2</v>
      </c>
      <c r="E316" s="1">
        <f t="shared" si="14"/>
        <v>-0.4032346400668434</v>
      </c>
      <c r="I316" s="1">
        <v>-0.62610771854311764</v>
      </c>
      <c r="J316">
        <f t="shared" si="12"/>
        <v>0.32898232379132974</v>
      </c>
    </row>
    <row r="317" spans="1:10">
      <c r="A317">
        <v>314</v>
      </c>
      <c r="B317">
        <v>0.41032135990478225</v>
      </c>
      <c r="C317">
        <v>0.37104403820917387</v>
      </c>
      <c r="D317" s="1">
        <f t="shared" si="13"/>
        <v>-0.22671839833612917</v>
      </c>
      <c r="E317" s="1">
        <f t="shared" si="14"/>
        <v>-0.5558078507112687</v>
      </c>
      <c r="I317" s="1">
        <v>-0.61937961064691349</v>
      </c>
      <c r="J317">
        <f t="shared" si="12"/>
        <v>0.33070491324977724</v>
      </c>
    </row>
    <row r="318" spans="1:10">
      <c r="A318">
        <v>315</v>
      </c>
      <c r="B318">
        <v>0.32856227301858576</v>
      </c>
      <c r="C318">
        <v>0.73711355937376022</v>
      </c>
      <c r="D318" s="1">
        <f t="shared" si="13"/>
        <v>-0.44388663740993628</v>
      </c>
      <c r="E318" s="1">
        <f t="shared" si="14"/>
        <v>0.19058529073603114</v>
      </c>
      <c r="I318" s="1">
        <v>-0.61624952740094829</v>
      </c>
      <c r="J318">
        <f t="shared" si="12"/>
        <v>0.33150753124622534</v>
      </c>
    </row>
    <row r="319" spans="1:10">
      <c r="A319">
        <v>316</v>
      </c>
      <c r="B319">
        <v>0.73702200384533223</v>
      </c>
      <c r="C319">
        <v>0.85747856074709317</v>
      </c>
      <c r="D319" s="1">
        <f t="shared" si="13"/>
        <v>0.63419128820859927</v>
      </c>
      <c r="E319" s="1">
        <f t="shared" si="14"/>
        <v>1.703250745958258</v>
      </c>
      <c r="I319" s="1">
        <v>-0.61571449430159608</v>
      </c>
      <c r="J319">
        <f t="shared" si="12"/>
        <v>0.33164480237677563</v>
      </c>
    </row>
    <row r="320" spans="1:10">
      <c r="A320">
        <v>317</v>
      </c>
      <c r="B320">
        <v>0.71709341715750607</v>
      </c>
      <c r="C320">
        <v>0.16254158146916103</v>
      </c>
      <c r="D320" s="1">
        <f t="shared" si="13"/>
        <v>0.57422852971777771</v>
      </c>
      <c r="E320" s="1">
        <f t="shared" si="14"/>
        <v>-0.40983726664845055</v>
      </c>
      <c r="I320" s="1">
        <v>-0.61509255304436017</v>
      </c>
      <c r="J320">
        <f t="shared" si="12"/>
        <v>0.33180439957697988</v>
      </c>
    </row>
    <row r="321" spans="1:10">
      <c r="A321">
        <v>318</v>
      </c>
      <c r="B321">
        <v>0.57609790337839895</v>
      </c>
      <c r="C321">
        <v>0.78337961973937198</v>
      </c>
      <c r="D321" s="1">
        <f t="shared" si="13"/>
        <v>0.19192086512766687</v>
      </c>
      <c r="E321" s="1">
        <f t="shared" si="14"/>
        <v>0.97557895479914225</v>
      </c>
      <c r="I321" s="1">
        <v>-0.61431437241336206</v>
      </c>
      <c r="J321">
        <f t="shared" si="12"/>
        <v>0.33200413257211003</v>
      </c>
    </row>
    <row r="322" spans="1:10">
      <c r="A322">
        <v>319</v>
      </c>
      <c r="B322">
        <v>0.85479293191320538</v>
      </c>
      <c r="C322">
        <v>0.20880764183477279</v>
      </c>
      <c r="D322" s="1">
        <f t="shared" si="13"/>
        <v>1.0572135521506765</v>
      </c>
      <c r="E322" s="1">
        <f t="shared" si="14"/>
        <v>0.24664813519299389</v>
      </c>
      <c r="I322" s="1">
        <v>-0.6130002725037329</v>
      </c>
      <c r="J322">
        <f t="shared" si="12"/>
        <v>0.33234152652620214</v>
      </c>
    </row>
    <row r="323" spans="1:10">
      <c r="A323">
        <v>320</v>
      </c>
      <c r="B323">
        <v>0.1913510544145024</v>
      </c>
      <c r="C323">
        <v>0.88082522049623091</v>
      </c>
      <c r="D323" s="1">
        <f t="shared" si="13"/>
        <v>-0.87292839366234454</v>
      </c>
      <c r="E323" s="1">
        <f t="shared" si="14"/>
        <v>0.30619370794194356</v>
      </c>
      <c r="I323" s="1">
        <v>-0.61249100908847021</v>
      </c>
      <c r="J323">
        <f t="shared" si="12"/>
        <v>0.33247231600062144</v>
      </c>
    </row>
    <row r="324" spans="1:10">
      <c r="A324">
        <v>321</v>
      </c>
      <c r="B324">
        <v>0.94457838679158912</v>
      </c>
      <c r="C324">
        <v>8.3681752983184296E-2</v>
      </c>
      <c r="D324" s="1">
        <f t="shared" si="13"/>
        <v>1.5944145020122351</v>
      </c>
      <c r="E324" s="1">
        <f t="shared" si="14"/>
        <v>0.21368941911423933</v>
      </c>
      <c r="I324" s="1">
        <v>-0.6091818690005284</v>
      </c>
      <c r="J324">
        <f t="shared" ref="J324:J387" si="15">_xlfn.NORM.DIST(I324,$J$1,$J$2,TRUE)</f>
        <v>0.33332266856455356</v>
      </c>
    </row>
    <row r="325" spans="1:10">
      <c r="A325">
        <v>322</v>
      </c>
      <c r="B325">
        <v>5.3895687734611043E-2</v>
      </c>
      <c r="C325">
        <v>0.12659077730643636</v>
      </c>
      <c r="D325" s="1">
        <f t="shared" ref="D325:D388" si="16">_xlfn.NORM.INV(B325, 0, 1)</f>
        <v>-1.6082000352463912</v>
      </c>
      <c r="E325" s="1">
        <f t="shared" ref="E325:E388" si="17">_xlfn.NORM.INV(C325,D325,1)</f>
        <v>-2.7508557712308774</v>
      </c>
      <c r="I325" s="1">
        <v>-0.60690905193301159</v>
      </c>
      <c r="J325">
        <f t="shared" si="15"/>
        <v>0.33390721329650663</v>
      </c>
    </row>
    <row r="326" spans="1:10">
      <c r="A326">
        <v>323</v>
      </c>
      <c r="B326">
        <v>0.14581743827631458</v>
      </c>
      <c r="C326">
        <v>0.61891537217322301</v>
      </c>
      <c r="D326" s="1">
        <f t="shared" si="16"/>
        <v>-1.0545419248556422</v>
      </c>
      <c r="E326" s="1">
        <f t="shared" si="17"/>
        <v>-0.75190852198568914</v>
      </c>
      <c r="I326" s="1">
        <v>-0.60592300372736063</v>
      </c>
      <c r="J326">
        <f t="shared" si="15"/>
        <v>0.33416094007270625</v>
      </c>
    </row>
    <row r="327" spans="1:10">
      <c r="A327">
        <v>324</v>
      </c>
      <c r="B327">
        <v>0.52958769493697933</v>
      </c>
      <c r="C327">
        <v>5.2003540147099216E-2</v>
      </c>
      <c r="D327" s="1">
        <f t="shared" si="16"/>
        <v>7.423347499818593E-2</v>
      </c>
      <c r="E327" s="1">
        <f t="shared" si="17"/>
        <v>-1.5514966420011471</v>
      </c>
      <c r="I327" s="1">
        <v>-0.60386142729865833</v>
      </c>
      <c r="J327">
        <f t="shared" si="15"/>
        <v>0.33469166315442067</v>
      </c>
    </row>
    <row r="328" spans="1:10">
      <c r="A328">
        <v>325</v>
      </c>
      <c r="B328">
        <v>0.141392254402295</v>
      </c>
      <c r="C328">
        <v>0.20371105075228127</v>
      </c>
      <c r="D328" s="1">
        <f t="shared" si="16"/>
        <v>-1.0740851740571671</v>
      </c>
      <c r="E328" s="1">
        <f t="shared" si="17"/>
        <v>-1.9025238666253179</v>
      </c>
      <c r="I328" s="1">
        <v>-0.60181992272658968</v>
      </c>
      <c r="J328">
        <f t="shared" si="15"/>
        <v>0.33521754467216219</v>
      </c>
    </row>
    <row r="329" spans="1:10">
      <c r="A329">
        <v>326</v>
      </c>
      <c r="B329">
        <v>0.29139072847682118</v>
      </c>
      <c r="C329">
        <v>0.35196996978667561</v>
      </c>
      <c r="D329" s="1">
        <f t="shared" si="16"/>
        <v>-0.54932642352811401</v>
      </c>
      <c r="E329" s="1">
        <f t="shared" si="17"/>
        <v>-0.92933379996454901</v>
      </c>
      <c r="I329" s="1">
        <v>-0.59697193120031056</v>
      </c>
      <c r="J329">
        <f t="shared" si="15"/>
        <v>0.33646765662103062</v>
      </c>
    </row>
    <row r="330" spans="1:10">
      <c r="A330">
        <v>327</v>
      </c>
      <c r="B330">
        <v>0.56041138950773639</v>
      </c>
      <c r="C330">
        <v>0.72737815485091706</v>
      </c>
      <c r="D330" s="1">
        <f t="shared" si="16"/>
        <v>0.15201231700827306</v>
      </c>
      <c r="E330" s="1">
        <f t="shared" si="17"/>
        <v>0.75691495494199823</v>
      </c>
      <c r="I330" s="1">
        <v>-0.59468643821116585</v>
      </c>
      <c r="J330">
        <f t="shared" si="15"/>
        <v>0.3370576266356346</v>
      </c>
    </row>
    <row r="331" spans="1:10">
      <c r="A331">
        <v>328</v>
      </c>
      <c r="B331">
        <v>7.0528275399029505E-2</v>
      </c>
      <c r="C331">
        <v>0.74968718527787104</v>
      </c>
      <c r="D331" s="1">
        <f t="shared" si="16"/>
        <v>-1.4718679096094678</v>
      </c>
      <c r="E331" s="1">
        <f t="shared" si="17"/>
        <v>-0.79836221864708623</v>
      </c>
      <c r="I331" s="1">
        <v>-0.59315451066713432</v>
      </c>
      <c r="J331">
        <f t="shared" si="15"/>
        <v>0.33745329820938141</v>
      </c>
    </row>
    <row r="332" spans="1:10">
      <c r="A332">
        <v>329</v>
      </c>
      <c r="B332">
        <v>0.66628009887997075</v>
      </c>
      <c r="C332">
        <v>0.91079439680166019</v>
      </c>
      <c r="D332" s="1">
        <f t="shared" si="16"/>
        <v>0.42966437406335378</v>
      </c>
      <c r="E332" s="1">
        <f t="shared" si="17"/>
        <v>1.7753274287352863</v>
      </c>
      <c r="I332" s="1">
        <v>-0.59135589370129549</v>
      </c>
      <c r="J332">
        <f t="shared" si="15"/>
        <v>0.33791808071255247</v>
      </c>
    </row>
    <row r="333" spans="1:10">
      <c r="A333">
        <v>330</v>
      </c>
      <c r="B333">
        <v>0.76796777245399339</v>
      </c>
      <c r="C333">
        <v>0.22327341532639547</v>
      </c>
      <c r="D333" s="1">
        <f t="shared" si="16"/>
        <v>0.73217058600221452</v>
      </c>
      <c r="E333" s="1">
        <f t="shared" si="17"/>
        <v>-2.9013988099088062E-2</v>
      </c>
      <c r="I333" s="1">
        <v>-0.59101913831853159</v>
      </c>
      <c r="J333">
        <f t="shared" si="15"/>
        <v>0.33800512952330036</v>
      </c>
    </row>
    <row r="334" spans="1:10">
      <c r="A334">
        <v>331</v>
      </c>
      <c r="B334">
        <v>0.49491866817224645</v>
      </c>
      <c r="C334">
        <v>0.95837275307473979</v>
      </c>
      <c r="D334" s="1">
        <f t="shared" si="16"/>
        <v>-1.2737354442332722E-2</v>
      </c>
      <c r="E334" s="1">
        <f t="shared" si="17"/>
        <v>1.7193697536542514</v>
      </c>
      <c r="I334" s="1">
        <v>-0.59071557076749615</v>
      </c>
      <c r="J334">
        <f t="shared" si="15"/>
        <v>0.3380836069461513</v>
      </c>
    </row>
    <row r="335" spans="1:10">
      <c r="A335">
        <v>332</v>
      </c>
      <c r="B335">
        <v>0.62178411206396678</v>
      </c>
      <c r="C335">
        <v>5.5269020661030913E-2</v>
      </c>
      <c r="D335" s="1">
        <f t="shared" si="16"/>
        <v>0.31016987760630871</v>
      </c>
      <c r="E335" s="1">
        <f t="shared" si="17"/>
        <v>-1.2856095795976981</v>
      </c>
      <c r="I335" s="1">
        <v>-0.5882096187154634</v>
      </c>
      <c r="J335">
        <f t="shared" si="15"/>
        <v>0.3387317070934891</v>
      </c>
    </row>
    <row r="336" spans="1:10">
      <c r="A336">
        <v>333</v>
      </c>
      <c r="B336">
        <v>0.60652485732596817</v>
      </c>
      <c r="C336">
        <v>0.39835810419019135</v>
      </c>
      <c r="D336" s="1">
        <f t="shared" si="16"/>
        <v>0.27027293524460483</v>
      </c>
      <c r="E336" s="1">
        <f t="shared" si="17"/>
        <v>1.2673684966977516E-2</v>
      </c>
      <c r="I336" s="1">
        <v>-0.58809544119439727</v>
      </c>
      <c r="J336">
        <f t="shared" si="15"/>
        <v>0.33876124757171927</v>
      </c>
    </row>
    <row r="337" spans="1:10">
      <c r="A337">
        <v>334</v>
      </c>
      <c r="B337">
        <v>0.19061861018707846</v>
      </c>
      <c r="C337">
        <v>0.34604937894833215</v>
      </c>
      <c r="D337" s="1">
        <f t="shared" si="16"/>
        <v>-0.87561894935534623</v>
      </c>
      <c r="E337" s="1">
        <f t="shared" si="17"/>
        <v>-1.2716274490423056</v>
      </c>
      <c r="I337" s="1">
        <v>-0.58713079139474589</v>
      </c>
      <c r="J337">
        <f t="shared" si="15"/>
        <v>0.33901086530990615</v>
      </c>
    </row>
    <row r="338" spans="1:10">
      <c r="A338">
        <v>335</v>
      </c>
      <c r="B338">
        <v>0.42042298654133731</v>
      </c>
      <c r="C338">
        <v>0.43696401867732781</v>
      </c>
      <c r="D338" s="1">
        <f t="shared" si="16"/>
        <v>-0.20081149656823746</v>
      </c>
      <c r="E338" s="1">
        <f t="shared" si="17"/>
        <v>-0.3594825599945547</v>
      </c>
      <c r="I338" s="1">
        <v>-0.584319282271757</v>
      </c>
      <c r="J338">
        <f t="shared" si="15"/>
        <v>0.33973878880826414</v>
      </c>
    </row>
    <row r="339" spans="1:10">
      <c r="A339">
        <v>336</v>
      </c>
      <c r="B339">
        <v>0.49308755760368661</v>
      </c>
      <c r="C339">
        <v>0.26804406872768333</v>
      </c>
      <c r="D339" s="1">
        <f t="shared" si="16"/>
        <v>-1.7327790636552751E-2</v>
      </c>
      <c r="E339" s="1">
        <f t="shared" si="17"/>
        <v>-0.63606705749811265</v>
      </c>
      <c r="I339" s="1">
        <v>-0.5834570715092795</v>
      </c>
      <c r="J339">
        <f t="shared" si="15"/>
        <v>0.33996214242877532</v>
      </c>
    </row>
    <row r="340" spans="1:10">
      <c r="A340">
        <v>337</v>
      </c>
      <c r="B340">
        <v>0.36344492934965056</v>
      </c>
      <c r="C340">
        <v>0.24591814935758538</v>
      </c>
      <c r="D340" s="1">
        <f t="shared" si="16"/>
        <v>-0.34926568360721783</v>
      </c>
      <c r="E340" s="1">
        <f t="shared" si="17"/>
        <v>-1.0366567928919712</v>
      </c>
      <c r="I340" s="1">
        <v>-0.58148860762000221</v>
      </c>
      <c r="J340">
        <f t="shared" si="15"/>
        <v>0.34047227871770203</v>
      </c>
    </row>
    <row r="341" spans="1:10">
      <c r="A341">
        <v>338</v>
      </c>
      <c r="B341">
        <v>0.8639179662465285</v>
      </c>
      <c r="C341">
        <v>5.0782799768059328E-2</v>
      </c>
      <c r="D341" s="1">
        <f t="shared" si="16"/>
        <v>1.0980925743914722</v>
      </c>
      <c r="E341" s="1">
        <f t="shared" si="17"/>
        <v>-0.53921796655664855</v>
      </c>
      <c r="I341" s="1">
        <v>-0.58115035213030219</v>
      </c>
      <c r="J341">
        <f t="shared" si="15"/>
        <v>0.34055996857906018</v>
      </c>
    </row>
    <row r="342" spans="1:10">
      <c r="A342">
        <v>339</v>
      </c>
      <c r="B342">
        <v>0.39863277077547532</v>
      </c>
      <c r="C342">
        <v>0.46528519547105318</v>
      </c>
      <c r="D342" s="1">
        <f t="shared" si="16"/>
        <v>-0.25688760214890605</v>
      </c>
      <c r="E342" s="1">
        <f t="shared" si="17"/>
        <v>-0.34401481998412897</v>
      </c>
      <c r="I342" s="1">
        <v>-0.57971099185416797</v>
      </c>
      <c r="J342">
        <f t="shared" si="15"/>
        <v>0.34093320682341322</v>
      </c>
    </row>
    <row r="343" spans="1:10">
      <c r="A343">
        <v>340</v>
      </c>
      <c r="B343">
        <v>7.4129459517197183E-2</v>
      </c>
      <c r="C343">
        <v>0.10129093295083468</v>
      </c>
      <c r="D343" s="1">
        <f t="shared" si="16"/>
        <v>-1.4457087146132706</v>
      </c>
      <c r="E343" s="1">
        <f t="shared" si="17"/>
        <v>-2.7199388564033979</v>
      </c>
      <c r="I343" s="1">
        <v>-0.57962486733342777</v>
      </c>
      <c r="J343">
        <f t="shared" si="15"/>
        <v>0.34095554457880761</v>
      </c>
    </row>
    <row r="344" spans="1:10">
      <c r="A344">
        <v>341</v>
      </c>
      <c r="B344">
        <v>0.54390087588122193</v>
      </c>
      <c r="C344">
        <v>0.95471053193762012</v>
      </c>
      <c r="D344" s="1">
        <f t="shared" si="16"/>
        <v>0.11026621768226431</v>
      </c>
      <c r="E344" s="1">
        <f t="shared" si="17"/>
        <v>1.802617915755623</v>
      </c>
      <c r="I344" s="1">
        <v>-0.57228200251295902</v>
      </c>
      <c r="J344">
        <f t="shared" si="15"/>
        <v>0.34286207569012783</v>
      </c>
    </row>
    <row r="345" spans="1:10">
      <c r="A345">
        <v>342</v>
      </c>
      <c r="B345">
        <v>0.13946958830530717</v>
      </c>
      <c r="C345">
        <v>0.41044343394268623</v>
      </c>
      <c r="D345" s="1">
        <f t="shared" si="16"/>
        <v>-1.0827054670799003</v>
      </c>
      <c r="E345" s="1">
        <f t="shared" si="17"/>
        <v>-1.3091099161796718</v>
      </c>
      <c r="I345" s="1">
        <v>-0.5716920026637814</v>
      </c>
      <c r="J345">
        <f t="shared" si="15"/>
        <v>0.34301544025575337</v>
      </c>
    </row>
    <row r="346" spans="1:10">
      <c r="A346">
        <v>343</v>
      </c>
      <c r="B346">
        <v>0.35728019043549913</v>
      </c>
      <c r="C346">
        <v>0.5943784905545213</v>
      </c>
      <c r="D346" s="1">
        <f t="shared" si="16"/>
        <v>-0.36573827732777225</v>
      </c>
      <c r="E346" s="1">
        <f t="shared" si="17"/>
        <v>-0.12691551473617613</v>
      </c>
      <c r="I346" s="1">
        <v>-0.56501655780468873</v>
      </c>
      <c r="J346">
        <f t="shared" si="15"/>
        <v>0.3447524520873545</v>
      </c>
    </row>
    <row r="347" spans="1:10">
      <c r="A347">
        <v>344</v>
      </c>
      <c r="B347">
        <v>0.13296914578691976</v>
      </c>
      <c r="C347">
        <v>9.1647083956419573E-2</v>
      </c>
      <c r="D347" s="1">
        <f t="shared" si="16"/>
        <v>-1.1124649513758522</v>
      </c>
      <c r="E347" s="1">
        <f t="shared" si="17"/>
        <v>-2.4431454334053351</v>
      </c>
      <c r="I347" s="1">
        <v>-0.56346715002616554</v>
      </c>
      <c r="J347">
        <f t="shared" si="15"/>
        <v>0.34515609220197607</v>
      </c>
    </row>
    <row r="348" spans="1:10">
      <c r="A348">
        <v>345</v>
      </c>
      <c r="B348">
        <v>0.69002349925229656</v>
      </c>
      <c r="C348">
        <v>0.84475234229560225</v>
      </c>
      <c r="D348" s="1">
        <f t="shared" si="16"/>
        <v>0.49591695752855108</v>
      </c>
      <c r="E348" s="1">
        <f t="shared" si="17"/>
        <v>1.5101002163510802</v>
      </c>
      <c r="I348" s="1">
        <v>-0.56244653807375444</v>
      </c>
      <c r="J348">
        <f t="shared" si="15"/>
        <v>0.345422070690662</v>
      </c>
    </row>
    <row r="349" spans="1:10">
      <c r="A349">
        <v>346</v>
      </c>
      <c r="B349">
        <v>0.35251930295724354</v>
      </c>
      <c r="C349">
        <v>0.17429120761741995</v>
      </c>
      <c r="D349" s="1">
        <f t="shared" si="16"/>
        <v>-0.37852771930311224</v>
      </c>
      <c r="E349" s="1">
        <f t="shared" si="17"/>
        <v>-1.3158702052732134</v>
      </c>
      <c r="I349" s="1">
        <v>-0.5558078507112687</v>
      </c>
      <c r="J349">
        <f t="shared" si="15"/>
        <v>0.3471540165568463</v>
      </c>
    </row>
    <row r="350" spans="1:10">
      <c r="A350">
        <v>347</v>
      </c>
      <c r="B350">
        <v>0.90673543504135257</v>
      </c>
      <c r="C350">
        <v>0.9481490524002808</v>
      </c>
      <c r="D350" s="1">
        <f t="shared" si="16"/>
        <v>1.3209167325065005</v>
      </c>
      <c r="E350" s="1">
        <f t="shared" si="17"/>
        <v>2.9480825040171177</v>
      </c>
      <c r="I350" s="1">
        <v>-0.54644232193418207</v>
      </c>
      <c r="J350">
        <f t="shared" si="15"/>
        <v>0.34960279035545111</v>
      </c>
    </row>
    <row r="351" spans="1:10">
      <c r="A351">
        <v>348</v>
      </c>
      <c r="B351">
        <v>0.49140903958250681</v>
      </c>
      <c r="C351">
        <v>0.25272377697073273</v>
      </c>
      <c r="D351" s="1">
        <f t="shared" si="16"/>
        <v>-2.1536008905253451E-2</v>
      </c>
      <c r="E351" s="1">
        <f t="shared" si="17"/>
        <v>-0.68747897825019433</v>
      </c>
      <c r="I351" s="1">
        <v>-0.53957813534659604</v>
      </c>
      <c r="J351">
        <f t="shared" si="15"/>
        <v>0.35140153600001578</v>
      </c>
    </row>
    <row r="352" spans="1:10">
      <c r="A352">
        <v>349</v>
      </c>
      <c r="B352">
        <v>0.87783440656758327</v>
      </c>
      <c r="C352">
        <v>0.21970274971770379</v>
      </c>
      <c r="D352" s="1">
        <f t="shared" si="16"/>
        <v>1.1642290837566771</v>
      </c>
      <c r="E352" s="1">
        <f t="shared" si="17"/>
        <v>0.39103157354864371</v>
      </c>
      <c r="I352" s="1">
        <v>-0.53921796655664855</v>
      </c>
      <c r="J352">
        <f t="shared" si="15"/>
        <v>0.35149600985150548</v>
      </c>
    </row>
    <row r="353" spans="1:10">
      <c r="A353">
        <v>350</v>
      </c>
      <c r="B353">
        <v>0.15024262215033418</v>
      </c>
      <c r="C353">
        <v>0.89873958555864131</v>
      </c>
      <c r="D353" s="1">
        <f t="shared" si="16"/>
        <v>-1.0353933623543674</v>
      </c>
      <c r="E353" s="1">
        <f t="shared" si="17"/>
        <v>0.23900907525919179</v>
      </c>
      <c r="I353" s="1">
        <v>-0.53436916828345082</v>
      </c>
      <c r="J353">
        <f t="shared" si="15"/>
        <v>0.35276876189489914</v>
      </c>
    </row>
    <row r="354" spans="1:10">
      <c r="A354">
        <v>351</v>
      </c>
      <c r="B354">
        <v>0.97869808038575401</v>
      </c>
      <c r="C354">
        <v>0.95541245765556815</v>
      </c>
      <c r="D354" s="1">
        <f t="shared" si="16"/>
        <v>2.0275730758787072</v>
      </c>
      <c r="E354" s="1">
        <f t="shared" si="17"/>
        <v>3.727338356072182</v>
      </c>
      <c r="I354" s="1">
        <v>-0.53407659578292022</v>
      </c>
      <c r="J354">
        <f t="shared" si="15"/>
        <v>0.35284561161701777</v>
      </c>
    </row>
    <row r="355" spans="1:10">
      <c r="A355">
        <v>352</v>
      </c>
      <c r="B355">
        <v>0.2335886715292825</v>
      </c>
      <c r="C355">
        <v>0.50373851741080966</v>
      </c>
      <c r="D355" s="1">
        <f t="shared" si="16"/>
        <v>-0.72707935799876122</v>
      </c>
      <c r="E355" s="1">
        <f t="shared" si="17"/>
        <v>-0.71770814739078936</v>
      </c>
      <c r="I355" s="1">
        <v>-0.5323157797229694</v>
      </c>
      <c r="J355">
        <f t="shared" si="15"/>
        <v>0.35330825009705924</v>
      </c>
    </row>
    <row r="356" spans="1:10">
      <c r="A356">
        <v>353</v>
      </c>
      <c r="B356">
        <v>0.71657460249641403</v>
      </c>
      <c r="C356">
        <v>0.20520645771660512</v>
      </c>
      <c r="D356" s="1">
        <f t="shared" si="16"/>
        <v>0.57269563271504786</v>
      </c>
      <c r="E356" s="1">
        <f t="shared" si="17"/>
        <v>-0.25047157255011154</v>
      </c>
      <c r="I356" s="1">
        <v>-0.52467056070085316</v>
      </c>
      <c r="J356">
        <f t="shared" si="15"/>
        <v>0.35531946920419</v>
      </c>
    </row>
    <row r="357" spans="1:10">
      <c r="A357">
        <v>354</v>
      </c>
      <c r="B357">
        <v>0.61967833491012303</v>
      </c>
      <c r="C357">
        <v>5.6947538682210759E-2</v>
      </c>
      <c r="D357" s="1">
        <f t="shared" si="16"/>
        <v>0.30463608956773119</v>
      </c>
      <c r="E357" s="1">
        <f t="shared" si="17"/>
        <v>-1.2762893913900646</v>
      </c>
      <c r="I357" s="1">
        <v>-0.52290719648773032</v>
      </c>
      <c r="J357">
        <f t="shared" si="15"/>
        <v>0.35578393033331268</v>
      </c>
    </row>
    <row r="358" spans="1:10">
      <c r="A358">
        <v>355</v>
      </c>
      <c r="B358">
        <v>6.8544572283089689E-2</v>
      </c>
      <c r="C358">
        <v>0.14627521591845455</v>
      </c>
      <c r="D358" s="1">
        <f t="shared" si="16"/>
        <v>-1.4867186132727792</v>
      </c>
      <c r="E358" s="1">
        <f t="shared" si="17"/>
        <v>-2.5392617466543372</v>
      </c>
      <c r="I358" s="1">
        <v>-0.51565136541810697</v>
      </c>
      <c r="J358">
        <f t="shared" si="15"/>
        <v>0.35769732622233685</v>
      </c>
    </row>
    <row r="359" spans="1:10">
      <c r="A359">
        <v>356</v>
      </c>
      <c r="B359">
        <v>0.10425122837000642</v>
      </c>
      <c r="C359">
        <v>0.90499588000122078</v>
      </c>
      <c r="D359" s="1">
        <f t="shared" si="16"/>
        <v>-1.2576939620404424</v>
      </c>
      <c r="E359" s="1">
        <f t="shared" si="17"/>
        <v>5.2860774488689088E-2</v>
      </c>
      <c r="I359" s="1">
        <v>-0.50418193110627874</v>
      </c>
      <c r="J359">
        <f t="shared" si="15"/>
        <v>0.3607291591285679</v>
      </c>
    </row>
    <row r="360" spans="1:10">
      <c r="A360">
        <v>357</v>
      </c>
      <c r="B360">
        <v>0.77932065797906436</v>
      </c>
      <c r="C360">
        <v>0.16748558000427261</v>
      </c>
      <c r="D360" s="1">
        <f t="shared" si="16"/>
        <v>0.76990089320114896</v>
      </c>
      <c r="E360" s="1">
        <f t="shared" si="17"/>
        <v>-0.19424824488835424</v>
      </c>
      <c r="I360" s="1">
        <v>-0.5012581250617375</v>
      </c>
      <c r="J360">
        <f t="shared" si="15"/>
        <v>0.36150344980241678</v>
      </c>
    </row>
    <row r="361" spans="1:10">
      <c r="A361">
        <v>358</v>
      </c>
      <c r="B361">
        <v>0.12009033478804895</v>
      </c>
      <c r="C361">
        <v>0.40815454573198645</v>
      </c>
      <c r="D361" s="1">
        <f t="shared" si="16"/>
        <v>-1.1745353292826475</v>
      </c>
      <c r="E361" s="1">
        <f t="shared" si="17"/>
        <v>-1.4068300771689393</v>
      </c>
      <c r="I361" s="1">
        <v>-0.49974421522116175</v>
      </c>
      <c r="J361">
        <f t="shared" si="15"/>
        <v>0.36190459095273042</v>
      </c>
    </row>
    <row r="362" spans="1:10">
      <c r="A362">
        <v>359</v>
      </c>
      <c r="B362">
        <v>0.36259041108432266</v>
      </c>
      <c r="C362">
        <v>0.16956083864864041</v>
      </c>
      <c r="D362" s="1">
        <f t="shared" si="16"/>
        <v>-0.35154326245293643</v>
      </c>
      <c r="E362" s="1">
        <f t="shared" si="17"/>
        <v>-1.3074454033017557</v>
      </c>
      <c r="I362" s="1">
        <v>-0.49783895430635883</v>
      </c>
      <c r="J362">
        <f t="shared" si="15"/>
        <v>0.36240964416288779</v>
      </c>
    </row>
    <row r="363" spans="1:10">
      <c r="A363">
        <v>360</v>
      </c>
      <c r="B363">
        <v>0.25229651783806878</v>
      </c>
      <c r="C363">
        <v>0.23142185735648671</v>
      </c>
      <c r="D363" s="1">
        <f t="shared" si="16"/>
        <v>-0.66728041232351454</v>
      </c>
      <c r="E363" s="1">
        <f t="shared" si="17"/>
        <v>-1.4014527430577477</v>
      </c>
      <c r="I363" s="1">
        <v>-0.494967262787395</v>
      </c>
      <c r="J363">
        <f t="shared" si="15"/>
        <v>0.36317133460477347</v>
      </c>
    </row>
    <row r="364" spans="1:10">
      <c r="A364">
        <v>361</v>
      </c>
      <c r="B364">
        <v>0.99679555650502027</v>
      </c>
      <c r="C364">
        <v>0.11832026123844111</v>
      </c>
      <c r="D364" s="1">
        <f t="shared" si="16"/>
        <v>2.7260933498229489</v>
      </c>
      <c r="E364" s="1">
        <f t="shared" si="17"/>
        <v>1.5426677648810136</v>
      </c>
      <c r="I364" s="1">
        <v>-0.48740693160456638</v>
      </c>
      <c r="J364">
        <f t="shared" si="15"/>
        <v>0.36517922704492356</v>
      </c>
    </row>
    <row r="365" spans="1:10">
      <c r="A365">
        <v>362</v>
      </c>
      <c r="B365">
        <v>0.22714926602984711</v>
      </c>
      <c r="C365">
        <v>0.4077272865993225</v>
      </c>
      <c r="D365" s="1">
        <f t="shared" si="16"/>
        <v>-0.7482679835005811</v>
      </c>
      <c r="E365" s="1">
        <f t="shared" si="17"/>
        <v>-0.98166314088895756</v>
      </c>
      <c r="I365" s="1">
        <v>-0.48685258721635105</v>
      </c>
      <c r="J365">
        <f t="shared" si="15"/>
        <v>0.36532659759343705</v>
      </c>
    </row>
    <row r="366" spans="1:10">
      <c r="A366">
        <v>363</v>
      </c>
      <c r="B366">
        <v>0.53080843531601918</v>
      </c>
      <c r="C366">
        <v>0.68681905575731683</v>
      </c>
      <c r="D366" s="1">
        <f t="shared" si="16"/>
        <v>7.7302214370072855E-2</v>
      </c>
      <c r="E366" s="1">
        <f t="shared" si="17"/>
        <v>0.56415608860498789</v>
      </c>
      <c r="I366" s="1">
        <v>-0.48652067527064036</v>
      </c>
      <c r="J366">
        <f t="shared" si="15"/>
        <v>0.36541484476236918</v>
      </c>
    </row>
    <row r="367" spans="1:10">
      <c r="A367">
        <v>364</v>
      </c>
      <c r="B367">
        <v>0.97665334025086215</v>
      </c>
      <c r="C367">
        <v>0.9149754325998718</v>
      </c>
      <c r="D367" s="1">
        <f t="shared" si="16"/>
        <v>1.9890714280628898</v>
      </c>
      <c r="E367" s="1">
        <f t="shared" si="17"/>
        <v>3.3611173749029666</v>
      </c>
      <c r="I367" s="1">
        <v>-0.47915013240709431</v>
      </c>
      <c r="J367">
        <f t="shared" si="15"/>
        <v>0.36737631778260693</v>
      </c>
    </row>
    <row r="368" spans="1:10">
      <c r="A368">
        <v>365</v>
      </c>
      <c r="B368">
        <v>4.4953764458143863E-2</v>
      </c>
      <c r="C368">
        <v>1.2451551866206854E-2</v>
      </c>
      <c r="D368" s="1">
        <f t="shared" si="16"/>
        <v>-1.6958856967589522</v>
      </c>
      <c r="E368" s="1">
        <f t="shared" si="17"/>
        <v>-3.938788177992377</v>
      </c>
      <c r="I368" s="1">
        <v>-0.47354304175919848</v>
      </c>
      <c r="J368">
        <f t="shared" si="15"/>
        <v>0.36887081936567967</v>
      </c>
    </row>
    <row r="369" spans="1:10">
      <c r="A369">
        <v>366</v>
      </c>
      <c r="B369">
        <v>0.69438764610736414</v>
      </c>
      <c r="C369">
        <v>0.93997009186071356</v>
      </c>
      <c r="D369" s="1">
        <f t="shared" si="16"/>
        <v>0.50832604483449084</v>
      </c>
      <c r="E369" s="1">
        <f t="shared" si="17"/>
        <v>2.06284861895299</v>
      </c>
      <c r="I369" s="1">
        <v>-0.46994623439790234</v>
      </c>
      <c r="J369">
        <f t="shared" si="15"/>
        <v>0.36983055107215057</v>
      </c>
    </row>
    <row r="370" spans="1:10">
      <c r="A370">
        <v>367</v>
      </c>
      <c r="B370">
        <v>0.46754356517227696</v>
      </c>
      <c r="C370">
        <v>0.29963072603534041</v>
      </c>
      <c r="D370" s="1">
        <f t="shared" si="16"/>
        <v>-8.1446172954134755E-2</v>
      </c>
      <c r="E370" s="1">
        <f t="shared" si="17"/>
        <v>-0.60690905193301159</v>
      </c>
      <c r="I370" s="1">
        <v>-0.46240518806133468</v>
      </c>
      <c r="J370">
        <f t="shared" si="15"/>
        <v>0.37184534680280945</v>
      </c>
    </row>
    <row r="371" spans="1:10">
      <c r="A371">
        <v>368</v>
      </c>
      <c r="B371">
        <v>0.63002410962248601</v>
      </c>
      <c r="C371">
        <v>0.88741721854304634</v>
      </c>
      <c r="D371" s="1">
        <f t="shared" si="16"/>
        <v>0.33191720198578767</v>
      </c>
      <c r="E371" s="1">
        <f t="shared" si="17"/>
        <v>1.5448237211133338</v>
      </c>
      <c r="I371" s="1">
        <v>-0.46107034454593471</v>
      </c>
      <c r="J371">
        <f t="shared" si="15"/>
        <v>0.37220235428824944</v>
      </c>
    </row>
    <row r="372" spans="1:10">
      <c r="A372">
        <v>369</v>
      </c>
      <c r="B372">
        <v>0.25864436780907618</v>
      </c>
      <c r="C372">
        <v>0.34400463881344034</v>
      </c>
      <c r="D372" s="1">
        <f t="shared" si="16"/>
        <v>-0.64753038530696516</v>
      </c>
      <c r="E372" s="1">
        <f t="shared" si="17"/>
        <v>-1.049088476812335</v>
      </c>
      <c r="I372" s="1">
        <v>-0.45831878428232065</v>
      </c>
      <c r="J372">
        <f t="shared" si="15"/>
        <v>0.37293861284772178</v>
      </c>
    </row>
    <row r="373" spans="1:10">
      <c r="A373">
        <v>370</v>
      </c>
      <c r="B373">
        <v>0.8384655293435469</v>
      </c>
      <c r="C373">
        <v>0.15393536179692985</v>
      </c>
      <c r="D373" s="1">
        <f t="shared" si="16"/>
        <v>0.98817093254821853</v>
      </c>
      <c r="E373" s="1">
        <f t="shared" si="17"/>
        <v>-3.1529147744566166E-2</v>
      </c>
      <c r="I373" s="1">
        <v>-0.45447213416326293</v>
      </c>
      <c r="J373">
        <f t="shared" si="15"/>
        <v>0.37396867183227023</v>
      </c>
    </row>
    <row r="374" spans="1:10">
      <c r="A374">
        <v>371</v>
      </c>
      <c r="B374">
        <v>0.76012451551866211</v>
      </c>
      <c r="C374">
        <v>0.16669209875789667</v>
      </c>
      <c r="D374" s="1">
        <f t="shared" si="16"/>
        <v>0.70670315427291597</v>
      </c>
      <c r="E374" s="1">
        <f t="shared" si="17"/>
        <v>-0.2606166277846359</v>
      </c>
      <c r="I374" s="1">
        <v>-0.45418303471221977</v>
      </c>
      <c r="J374">
        <f t="shared" si="15"/>
        <v>0.37404612358806377</v>
      </c>
    </row>
    <row r="375" spans="1:10">
      <c r="A375">
        <v>372</v>
      </c>
      <c r="B375">
        <v>0.33756523331400495</v>
      </c>
      <c r="C375">
        <v>0.35499130222479935</v>
      </c>
      <c r="D375" s="1">
        <f t="shared" si="16"/>
        <v>-0.41911721961206932</v>
      </c>
      <c r="E375" s="1">
        <f t="shared" si="17"/>
        <v>-0.79099667188143286</v>
      </c>
      <c r="I375" s="1">
        <v>-0.4479510672712293</v>
      </c>
      <c r="J375">
        <f t="shared" si="15"/>
        <v>0.37571694248327719</v>
      </c>
    </row>
    <row r="376" spans="1:10">
      <c r="A376">
        <v>373</v>
      </c>
      <c r="B376">
        <v>0.10089419232764672</v>
      </c>
      <c r="C376">
        <v>0.94775231177709285</v>
      </c>
      <c r="D376" s="1">
        <f t="shared" si="16"/>
        <v>-1.2764729452496306</v>
      </c>
      <c r="E376" s="1">
        <f t="shared" si="17"/>
        <v>0.3469670702855836</v>
      </c>
      <c r="I376" s="1">
        <v>-0.44578172918660697</v>
      </c>
      <c r="J376">
        <f t="shared" si="15"/>
        <v>0.37629910099273534</v>
      </c>
    </row>
    <row r="377" spans="1:10">
      <c r="A377">
        <v>374</v>
      </c>
      <c r="B377">
        <v>0.25486007263405253</v>
      </c>
      <c r="C377">
        <v>0.684469130527665</v>
      </c>
      <c r="D377" s="1">
        <f t="shared" si="16"/>
        <v>-0.65927351702558978</v>
      </c>
      <c r="E377" s="1">
        <f t="shared" si="17"/>
        <v>-0.17904053784828167</v>
      </c>
      <c r="I377" s="1">
        <v>-0.44528246868597848</v>
      </c>
      <c r="J377">
        <f t="shared" si="15"/>
        <v>0.37643312127704276</v>
      </c>
    </row>
    <row r="378" spans="1:10">
      <c r="A378">
        <v>375</v>
      </c>
      <c r="B378">
        <v>0.16763817255165259</v>
      </c>
      <c r="C378">
        <v>0.46607867671742914</v>
      </c>
      <c r="D378" s="1">
        <f t="shared" si="16"/>
        <v>-0.96354050948520387</v>
      </c>
      <c r="E378" s="1">
        <f t="shared" si="17"/>
        <v>-1.048671373492807</v>
      </c>
      <c r="I378" s="1">
        <v>-0.4414116478375818</v>
      </c>
      <c r="J378">
        <f t="shared" si="15"/>
        <v>0.37747269945380019</v>
      </c>
    </row>
    <row r="379" spans="1:10">
      <c r="A379">
        <v>376</v>
      </c>
      <c r="B379">
        <v>0.68572038941618096</v>
      </c>
      <c r="C379">
        <v>3.5920285653248694E-2</v>
      </c>
      <c r="D379" s="1">
        <f t="shared" si="16"/>
        <v>0.4837557518465882</v>
      </c>
      <c r="E379" s="1">
        <f t="shared" si="17"/>
        <v>-1.316371348689954</v>
      </c>
      <c r="I379" s="1">
        <v>-0.42947609108458012</v>
      </c>
      <c r="J379">
        <f t="shared" si="15"/>
        <v>0.38068376958768879</v>
      </c>
    </row>
    <row r="380" spans="1:10">
      <c r="A380">
        <v>377</v>
      </c>
      <c r="B380">
        <v>0.7211218604083377</v>
      </c>
      <c r="C380">
        <v>0.41184728537858212</v>
      </c>
      <c r="D380" s="1">
        <f t="shared" si="16"/>
        <v>0.5861774418963599</v>
      </c>
      <c r="E380" s="1">
        <f t="shared" si="17"/>
        <v>0.36338181378238071</v>
      </c>
      <c r="I380" s="1">
        <v>-0.42508795608064354</v>
      </c>
      <c r="J380">
        <f t="shared" si="15"/>
        <v>0.38186640971896896</v>
      </c>
    </row>
    <row r="381" spans="1:10">
      <c r="A381">
        <v>378</v>
      </c>
      <c r="B381">
        <v>0.26947843867305521</v>
      </c>
      <c r="C381">
        <v>3.8880581072420421E-2</v>
      </c>
      <c r="D381" s="1">
        <f t="shared" si="16"/>
        <v>-0.61439115784231135</v>
      </c>
      <c r="E381" s="1">
        <f t="shared" si="17"/>
        <v>-2.3782178497006017</v>
      </c>
      <c r="I381" s="1">
        <v>-0.42177506882628041</v>
      </c>
      <c r="J381">
        <f t="shared" si="15"/>
        <v>0.38275999294590768</v>
      </c>
    </row>
    <row r="382" spans="1:10">
      <c r="A382">
        <v>379</v>
      </c>
      <c r="B382">
        <v>0.89065218054750206</v>
      </c>
      <c r="C382">
        <v>0.35981322672200688</v>
      </c>
      <c r="D382" s="1">
        <f t="shared" si="16"/>
        <v>1.2300039147238588</v>
      </c>
      <c r="E382" s="1">
        <f t="shared" si="17"/>
        <v>0.87104584006666208</v>
      </c>
      <c r="I382" s="1">
        <v>-0.42015070604069127</v>
      </c>
      <c r="J382">
        <f t="shared" si="15"/>
        <v>0.38319835986485529</v>
      </c>
    </row>
    <row r="383" spans="1:10">
      <c r="A383">
        <v>380</v>
      </c>
      <c r="B383">
        <v>3.8300729392376477E-2</v>
      </c>
      <c r="C383">
        <v>0.89184240241706592</v>
      </c>
      <c r="D383" s="1">
        <f t="shared" si="16"/>
        <v>-1.7707549593826508</v>
      </c>
      <c r="E383" s="1">
        <f t="shared" si="17"/>
        <v>-0.53436916828345082</v>
      </c>
      <c r="I383" s="1">
        <v>-0.41799855164712119</v>
      </c>
      <c r="J383">
        <f t="shared" si="15"/>
        <v>0.38377939229046304</v>
      </c>
    </row>
    <row r="384" spans="1:10">
      <c r="A384">
        <v>381</v>
      </c>
      <c r="B384">
        <v>0.63167210913418992</v>
      </c>
      <c r="C384">
        <v>8.2399975585192419E-3</v>
      </c>
      <c r="D384" s="1">
        <f t="shared" si="16"/>
        <v>0.33628523670535004</v>
      </c>
      <c r="E384" s="1">
        <f t="shared" si="17"/>
        <v>-2.0618229915832686</v>
      </c>
      <c r="I384" s="1">
        <v>-0.41653767714514828</v>
      </c>
      <c r="J384">
        <f t="shared" si="15"/>
        <v>0.38417394398722016</v>
      </c>
    </row>
    <row r="385" spans="1:10">
      <c r="A385">
        <v>382</v>
      </c>
      <c r="B385">
        <v>3.308206427198096E-2</v>
      </c>
      <c r="C385">
        <v>0.43122653889584034</v>
      </c>
      <c r="D385" s="1">
        <f t="shared" si="16"/>
        <v>-1.8373101079827863</v>
      </c>
      <c r="E385" s="1">
        <f t="shared" si="17"/>
        <v>-2.0105624562095161</v>
      </c>
      <c r="I385" s="1">
        <v>-0.41555643970008843</v>
      </c>
      <c r="J385">
        <f t="shared" si="15"/>
        <v>0.38443902315922768</v>
      </c>
    </row>
    <row r="386" spans="1:10">
      <c r="A386">
        <v>383</v>
      </c>
      <c r="B386">
        <v>0.91290017395550405</v>
      </c>
      <c r="C386">
        <v>0.61662648396252329</v>
      </c>
      <c r="D386" s="1">
        <f t="shared" si="16"/>
        <v>1.3588325633287783</v>
      </c>
      <c r="E386" s="1">
        <f t="shared" si="17"/>
        <v>1.6554651465601267</v>
      </c>
      <c r="I386" s="1">
        <v>-0.40983726664845055</v>
      </c>
      <c r="J386">
        <f t="shared" si="15"/>
        <v>0.38598511724135076</v>
      </c>
    </row>
    <row r="387" spans="1:10">
      <c r="A387">
        <v>384</v>
      </c>
      <c r="B387">
        <v>0.63591418195135352</v>
      </c>
      <c r="C387">
        <v>0.88467055269020656</v>
      </c>
      <c r="D387" s="1">
        <f t="shared" si="16"/>
        <v>0.34755868830474651</v>
      </c>
      <c r="E387" s="1">
        <f t="shared" si="17"/>
        <v>1.5462219863751696</v>
      </c>
      <c r="I387" s="1">
        <v>-0.40624060509271043</v>
      </c>
      <c r="J387">
        <f t="shared" si="15"/>
        <v>0.38695835171641396</v>
      </c>
    </row>
    <row r="388" spans="1:10">
      <c r="A388">
        <v>385</v>
      </c>
      <c r="B388">
        <v>3.5309915463728754E-2</v>
      </c>
      <c r="C388">
        <v>0.5468001342814417</v>
      </c>
      <c r="D388" s="1">
        <f t="shared" si="16"/>
        <v>-1.807914356866499</v>
      </c>
      <c r="E388" s="1">
        <f t="shared" si="17"/>
        <v>-1.690333446637466</v>
      </c>
      <c r="I388" s="1">
        <v>-0.4032346400668434</v>
      </c>
      <c r="J388">
        <f t="shared" ref="J388:J451" si="18">_xlfn.NORM.DIST(I388,$J$1,$J$2,TRUE)</f>
        <v>0.38777229322233703</v>
      </c>
    </row>
    <row r="389" spans="1:10">
      <c r="A389">
        <v>386</v>
      </c>
      <c r="B389">
        <v>0.66444898831141086</v>
      </c>
      <c r="C389">
        <v>0.84469130527665026</v>
      </c>
      <c r="D389" s="1">
        <f t="shared" ref="D389:D452" si="19">_xlfn.NORM.INV(B389, 0, 1)</f>
        <v>0.42463603012538248</v>
      </c>
      <c r="E389" s="1">
        <f t="shared" ref="E389:E452" si="20">_xlfn.NORM.INV(C389,D389,1)</f>
        <v>1.4385634435893906</v>
      </c>
      <c r="I389" s="1">
        <v>-0.4028643283915736</v>
      </c>
      <c r="J389">
        <f t="shared" si="18"/>
        <v>0.38787259873636876</v>
      </c>
    </row>
    <row r="390" spans="1:10">
      <c r="A390">
        <v>387</v>
      </c>
      <c r="B390">
        <v>0.19690542313913389</v>
      </c>
      <c r="C390">
        <v>0.54890591143528555</v>
      </c>
      <c r="D390" s="1">
        <f t="shared" si="19"/>
        <v>-0.85272676215752097</v>
      </c>
      <c r="E390" s="1">
        <f t="shared" si="20"/>
        <v>-0.7298291507748238</v>
      </c>
      <c r="I390" s="1">
        <v>-0.39592196087752674</v>
      </c>
      <c r="J390">
        <f t="shared" si="18"/>
        <v>0.38975444074353804</v>
      </c>
    </row>
    <row r="391" spans="1:10">
      <c r="A391">
        <v>388</v>
      </c>
      <c r="B391">
        <v>0.13434247871333965</v>
      </c>
      <c r="C391">
        <v>0.79045991393780324</v>
      </c>
      <c r="D391" s="1">
        <f t="shared" si="19"/>
        <v>-1.1060960287367971</v>
      </c>
      <c r="E391" s="1">
        <f t="shared" si="20"/>
        <v>-0.29807794524899156</v>
      </c>
      <c r="I391" s="1">
        <v>-0.3939526989648135</v>
      </c>
      <c r="J391">
        <f t="shared" si="18"/>
        <v>0.39028871431629786</v>
      </c>
    </row>
    <row r="392" spans="1:10">
      <c r="A392">
        <v>389</v>
      </c>
      <c r="B392">
        <v>0.83410138248847931</v>
      </c>
      <c r="C392">
        <v>5.9236426892910553E-2</v>
      </c>
      <c r="D392" s="1">
        <f t="shared" si="19"/>
        <v>0.97050018042435748</v>
      </c>
      <c r="E392" s="1">
        <f t="shared" si="20"/>
        <v>-0.59071557076749615</v>
      </c>
      <c r="I392" s="1">
        <v>-0.38670299630850735</v>
      </c>
      <c r="J392">
        <f t="shared" si="18"/>
        <v>0.39225738466093718</v>
      </c>
    </row>
    <row r="393" spans="1:10">
      <c r="A393">
        <v>390</v>
      </c>
      <c r="B393">
        <v>0.3486129337443159</v>
      </c>
      <c r="C393">
        <v>0.60417493209631645</v>
      </c>
      <c r="D393" s="1">
        <f t="shared" si="19"/>
        <v>-0.38906796891834455</v>
      </c>
      <c r="E393" s="1">
        <f t="shared" si="20"/>
        <v>-0.12489953811847782</v>
      </c>
      <c r="I393" s="1">
        <v>-0.37236024653133581</v>
      </c>
      <c r="J393">
        <f t="shared" si="18"/>
        <v>0.39616027506965501</v>
      </c>
    </row>
    <row r="394" spans="1:10">
      <c r="A394">
        <v>391</v>
      </c>
      <c r="B394">
        <v>1.4191106906338695E-2</v>
      </c>
      <c r="C394">
        <v>0.42078920865504926</v>
      </c>
      <c r="D394" s="1">
        <f t="shared" si="19"/>
        <v>-2.1919625094193389</v>
      </c>
      <c r="E394" s="1">
        <f t="shared" si="20"/>
        <v>-2.3918374144281902</v>
      </c>
      <c r="I394" s="1">
        <v>-0.37100224297067974</v>
      </c>
      <c r="J394">
        <f t="shared" si="18"/>
        <v>0.39653035611899662</v>
      </c>
    </row>
    <row r="395" spans="1:10">
      <c r="A395">
        <v>392</v>
      </c>
      <c r="B395">
        <v>0.73928037354655596</v>
      </c>
      <c r="C395">
        <v>0.60069582201605276</v>
      </c>
      <c r="D395" s="1">
        <f t="shared" si="19"/>
        <v>0.64112841685115729</v>
      </c>
      <c r="E395" s="1">
        <f t="shared" si="20"/>
        <v>0.89627698145973111</v>
      </c>
      <c r="I395" s="1">
        <v>-0.36997985265371036</v>
      </c>
      <c r="J395">
        <f t="shared" si="18"/>
        <v>0.39680903790106048</v>
      </c>
    </row>
    <row r="396" spans="1:10">
      <c r="A396">
        <v>393</v>
      </c>
      <c r="B396">
        <v>0.85110019226660971</v>
      </c>
      <c r="C396">
        <v>0.72008423108615371</v>
      </c>
      <c r="D396" s="1">
        <f t="shared" si="19"/>
        <v>1.0411636230557539</v>
      </c>
      <c r="E396" s="1">
        <f t="shared" si="20"/>
        <v>1.624255372121119</v>
      </c>
      <c r="I396" s="1">
        <v>-0.36677031449733266</v>
      </c>
      <c r="J396">
        <f t="shared" si="18"/>
        <v>0.39768423135765824</v>
      </c>
    </row>
    <row r="397" spans="1:10">
      <c r="A397">
        <v>394</v>
      </c>
      <c r="B397">
        <v>0.79653309732352673</v>
      </c>
      <c r="C397">
        <v>0.23966185491500594</v>
      </c>
      <c r="D397" s="1">
        <f t="shared" si="19"/>
        <v>0.82930152998719431</v>
      </c>
      <c r="E397" s="1">
        <f t="shared" si="20"/>
        <v>0.12191082214801041</v>
      </c>
      <c r="I397" s="1">
        <v>-0.36153375048026937</v>
      </c>
      <c r="J397">
        <f t="shared" si="18"/>
        <v>0.39911326898342309</v>
      </c>
    </row>
    <row r="398" spans="1:10">
      <c r="A398">
        <v>395</v>
      </c>
      <c r="B398">
        <v>0.1913205359050264</v>
      </c>
      <c r="C398">
        <v>0.98272652363658564</v>
      </c>
      <c r="D398" s="1">
        <f t="shared" si="19"/>
        <v>-0.87304037394052558</v>
      </c>
      <c r="E398" s="1">
        <f t="shared" si="20"/>
        <v>1.2405887923937775</v>
      </c>
      <c r="I398" s="1">
        <v>-0.36152784814944616</v>
      </c>
      <c r="J398">
        <f t="shared" si="18"/>
        <v>0.39911488047319366</v>
      </c>
    </row>
    <row r="399" spans="1:10">
      <c r="A399">
        <v>396</v>
      </c>
      <c r="B399">
        <v>0.59239478743858154</v>
      </c>
      <c r="C399">
        <v>0.54301583910641804</v>
      </c>
      <c r="D399" s="1">
        <f t="shared" si="19"/>
        <v>0.2337096119614665</v>
      </c>
      <c r="E399" s="1">
        <f t="shared" si="20"/>
        <v>0.34174411640827085</v>
      </c>
      <c r="I399" s="1">
        <v>-0.35996609211159908</v>
      </c>
      <c r="J399">
        <f t="shared" si="18"/>
        <v>0.3995413408107108</v>
      </c>
    </row>
    <row r="400" spans="1:10">
      <c r="A400">
        <v>397</v>
      </c>
      <c r="B400">
        <v>0.29633472701193275</v>
      </c>
      <c r="C400">
        <v>0.90939054536576436</v>
      </c>
      <c r="D400" s="1">
        <f t="shared" si="19"/>
        <v>-0.53497166041881894</v>
      </c>
      <c r="E400" s="1">
        <f t="shared" si="20"/>
        <v>0.80203975927600057</v>
      </c>
      <c r="I400" s="1">
        <v>-0.3594825599945547</v>
      </c>
      <c r="J400">
        <f t="shared" si="18"/>
        <v>0.39967340065862317</v>
      </c>
    </row>
    <row r="401" spans="1:10">
      <c r="A401">
        <v>398</v>
      </c>
      <c r="B401">
        <v>0.97225867488631856</v>
      </c>
      <c r="C401">
        <v>0.92184209723197119</v>
      </c>
      <c r="D401" s="1">
        <f t="shared" si="19"/>
        <v>1.9150772689900493</v>
      </c>
      <c r="E401" s="1">
        <f t="shared" si="20"/>
        <v>3.3326491121388964</v>
      </c>
      <c r="I401" s="1">
        <v>-0.35784985199693292</v>
      </c>
      <c r="J401">
        <f t="shared" si="18"/>
        <v>0.40011940234192983</v>
      </c>
    </row>
    <row r="402" spans="1:10">
      <c r="A402">
        <v>399</v>
      </c>
      <c r="B402">
        <v>0.5535752433851131</v>
      </c>
      <c r="C402">
        <v>0.28949858088930935</v>
      </c>
      <c r="D402" s="1">
        <f t="shared" si="19"/>
        <v>0.13469944346625704</v>
      </c>
      <c r="E402" s="1">
        <f t="shared" si="20"/>
        <v>-0.42015070604069127</v>
      </c>
      <c r="I402" s="1">
        <v>-0.35681064950660091</v>
      </c>
      <c r="J402">
        <f t="shared" si="18"/>
        <v>0.40040334590311027</v>
      </c>
    </row>
    <row r="403" spans="1:10">
      <c r="A403">
        <v>400</v>
      </c>
      <c r="B403">
        <v>0.56611835077974793</v>
      </c>
      <c r="C403">
        <v>0.2521439252906888</v>
      </c>
      <c r="D403" s="1">
        <f t="shared" si="19"/>
        <v>0.16650023475704115</v>
      </c>
      <c r="E403" s="1">
        <f t="shared" si="20"/>
        <v>-0.5012581250617375</v>
      </c>
      <c r="I403" s="1">
        <v>-0.35504838370927561</v>
      </c>
      <c r="J403">
        <f t="shared" si="18"/>
        <v>0.4008849738904835</v>
      </c>
    </row>
    <row r="404" spans="1:10">
      <c r="A404">
        <v>401</v>
      </c>
      <c r="B404">
        <v>8.3010345774712363E-3</v>
      </c>
      <c r="C404">
        <v>0.82491531113620409</v>
      </c>
      <c r="D404" s="1">
        <f t="shared" si="19"/>
        <v>-2.3954038228706076</v>
      </c>
      <c r="E404" s="1">
        <f t="shared" si="20"/>
        <v>-1.4611430189515016</v>
      </c>
      <c r="I404" s="1">
        <v>-0.34520146891427161</v>
      </c>
      <c r="J404">
        <f t="shared" si="18"/>
        <v>0.40357889367416755</v>
      </c>
    </row>
    <row r="405" spans="1:10">
      <c r="A405">
        <v>402</v>
      </c>
      <c r="B405">
        <v>0.49378948332163458</v>
      </c>
      <c r="C405">
        <v>0.2512588885158849</v>
      </c>
      <c r="D405" s="1">
        <f t="shared" si="19"/>
        <v>-1.556808554378483E-2</v>
      </c>
      <c r="E405" s="1">
        <f t="shared" si="20"/>
        <v>-0.68610155639206272</v>
      </c>
      <c r="I405" s="1">
        <v>-0.34401481998412897</v>
      </c>
      <c r="J405">
        <f t="shared" si="18"/>
        <v>0.403903849009836</v>
      </c>
    </row>
    <row r="406" spans="1:10">
      <c r="A406">
        <v>403</v>
      </c>
      <c r="B406">
        <v>0.34681234168523212</v>
      </c>
      <c r="C406">
        <v>0.45786919766838585</v>
      </c>
      <c r="D406" s="1">
        <f t="shared" si="19"/>
        <v>-0.39394088606824479</v>
      </c>
      <c r="E406" s="1">
        <f t="shared" si="20"/>
        <v>-0.49974421522116175</v>
      </c>
      <c r="I406" s="1">
        <v>-0.33305396300542617</v>
      </c>
      <c r="J406">
        <f t="shared" si="18"/>
        <v>0.40690850957045954</v>
      </c>
    </row>
    <row r="407" spans="1:10">
      <c r="A407">
        <v>404</v>
      </c>
      <c r="B407">
        <v>0.12244026001770074</v>
      </c>
      <c r="C407">
        <v>0.1227454451124607</v>
      </c>
      <c r="D407" s="1">
        <f t="shared" si="19"/>
        <v>-1.1628742653586026</v>
      </c>
      <c r="E407" s="1">
        <f t="shared" si="20"/>
        <v>-2.324245676025658</v>
      </c>
      <c r="I407" s="1">
        <v>-0.33024562473049091</v>
      </c>
      <c r="J407">
        <f t="shared" si="18"/>
        <v>0.40767923951904739</v>
      </c>
    </row>
    <row r="408" spans="1:10">
      <c r="A408">
        <v>405</v>
      </c>
      <c r="B408">
        <v>0.5016632587664418</v>
      </c>
      <c r="C408">
        <v>0.54905850398266554</v>
      </c>
      <c r="D408" s="1">
        <f t="shared" si="19"/>
        <v>4.1691835301475369E-3</v>
      </c>
      <c r="E408" s="1">
        <f t="shared" si="20"/>
        <v>0.12745219632951141</v>
      </c>
      <c r="I408" s="1">
        <v>-0.32620996417999271</v>
      </c>
      <c r="J408">
        <f t="shared" si="18"/>
        <v>0.40878742522369504</v>
      </c>
    </row>
    <row r="409" spans="1:10">
      <c r="A409">
        <v>406</v>
      </c>
      <c r="B409">
        <v>0.61439863277077544</v>
      </c>
      <c r="C409">
        <v>0.68242439039277325</v>
      </c>
      <c r="D409" s="1">
        <f t="shared" si="19"/>
        <v>0.2908020276953362</v>
      </c>
      <c r="E409" s="1">
        <f t="shared" si="20"/>
        <v>0.76529105721766277</v>
      </c>
      <c r="I409" s="1">
        <v>-0.32559241369876801</v>
      </c>
      <c r="J409">
        <f t="shared" si="18"/>
        <v>0.40895706814903982</v>
      </c>
    </row>
    <row r="410" spans="1:10">
      <c r="A410">
        <v>407</v>
      </c>
      <c r="B410">
        <v>0.91937009796441538</v>
      </c>
      <c r="C410">
        <v>0.51945554979094821</v>
      </c>
      <c r="D410" s="1">
        <f t="shared" si="19"/>
        <v>1.4008470883404658</v>
      </c>
      <c r="E410" s="1">
        <f t="shared" si="20"/>
        <v>1.4496342664190833</v>
      </c>
      <c r="I410" s="1">
        <v>-0.31770488045778245</v>
      </c>
      <c r="J410">
        <f t="shared" si="18"/>
        <v>0.41112528613739907</v>
      </c>
    </row>
    <row r="411" spans="1:10">
      <c r="A411">
        <v>408</v>
      </c>
      <c r="B411">
        <v>0.39289529099398784</v>
      </c>
      <c r="C411">
        <v>0.37464522232734154</v>
      </c>
      <c r="D411" s="1">
        <f t="shared" si="19"/>
        <v>-0.27178078324345739</v>
      </c>
      <c r="E411" s="1">
        <f t="shared" si="20"/>
        <v>-0.59135589370129549</v>
      </c>
      <c r="I411" s="1">
        <v>-0.31714312978600223</v>
      </c>
      <c r="J411">
        <f t="shared" si="18"/>
        <v>0.41127981122731799</v>
      </c>
    </row>
    <row r="412" spans="1:10">
      <c r="A412">
        <v>409</v>
      </c>
      <c r="B412">
        <v>0.3533127842036195</v>
      </c>
      <c r="C412">
        <v>0.97729422894985807</v>
      </c>
      <c r="D412" s="1">
        <f t="shared" si="19"/>
        <v>-0.37639189796069222</v>
      </c>
      <c r="E412" s="1">
        <f t="shared" si="20"/>
        <v>1.6244304135180709</v>
      </c>
      <c r="I412" s="1">
        <v>-0.31653049397355382</v>
      </c>
      <c r="J412">
        <f t="shared" si="18"/>
        <v>0.41144834937673413</v>
      </c>
    </row>
    <row r="413" spans="1:10">
      <c r="A413">
        <v>410</v>
      </c>
      <c r="B413">
        <v>0.18979461043122653</v>
      </c>
      <c r="C413">
        <v>0.36356700338755454</v>
      </c>
      <c r="D413" s="1">
        <f t="shared" si="19"/>
        <v>-0.87865342160183313</v>
      </c>
      <c r="E413" s="1">
        <f t="shared" si="20"/>
        <v>-1.2275938849269687</v>
      </c>
      <c r="I413" s="1">
        <v>-0.3144724842845632</v>
      </c>
      <c r="J413">
        <f t="shared" si="18"/>
        <v>0.4120146341697935</v>
      </c>
    </row>
    <row r="414" spans="1:10">
      <c r="A414">
        <v>411</v>
      </c>
      <c r="B414">
        <v>0.44459364604632712</v>
      </c>
      <c r="C414">
        <v>2.6062807092501604E-2</v>
      </c>
      <c r="D414" s="1">
        <f t="shared" si="19"/>
        <v>-0.13933264803470111</v>
      </c>
      <c r="E414" s="1">
        <f t="shared" si="20"/>
        <v>-2.0814275366731918</v>
      </c>
      <c r="I414" s="1">
        <v>-0.31125009364661005</v>
      </c>
      <c r="J414">
        <f t="shared" si="18"/>
        <v>0.41290167935396871</v>
      </c>
    </row>
    <row r="415" spans="1:10">
      <c r="A415">
        <v>412</v>
      </c>
      <c r="B415">
        <v>0.13486129337443159</v>
      </c>
      <c r="C415">
        <v>0.86291085543382062</v>
      </c>
      <c r="D415" s="1">
        <f t="shared" si="19"/>
        <v>-1.1037016336472973</v>
      </c>
      <c r="E415" s="1">
        <f t="shared" si="20"/>
        <v>-1.0210658078390944E-2</v>
      </c>
      <c r="I415" s="1">
        <v>-0.30550095371345665</v>
      </c>
      <c r="J415">
        <f t="shared" si="18"/>
        <v>0.41448537894224247</v>
      </c>
    </row>
    <row r="416" spans="1:10">
      <c r="A416">
        <v>413</v>
      </c>
      <c r="B416">
        <v>0.95733512375255592</v>
      </c>
      <c r="C416">
        <v>0.51380962553788878</v>
      </c>
      <c r="D416" s="1">
        <f t="shared" si="19"/>
        <v>1.7205652020614508</v>
      </c>
      <c r="E416" s="1">
        <f t="shared" si="20"/>
        <v>1.7551877157609046</v>
      </c>
      <c r="I416" s="1">
        <v>-0.29807794524899156</v>
      </c>
      <c r="J416">
        <f t="shared" si="18"/>
        <v>0.4165322288712347</v>
      </c>
    </row>
    <row r="417" spans="1:10">
      <c r="A417">
        <v>414</v>
      </c>
      <c r="B417">
        <v>0.5383159886471145</v>
      </c>
      <c r="C417">
        <v>0.67406231879635004</v>
      </c>
      <c r="D417" s="1">
        <f t="shared" si="19"/>
        <v>9.6192077715480828E-2</v>
      </c>
      <c r="E417" s="1">
        <f t="shared" si="20"/>
        <v>0.54735051539570589</v>
      </c>
      <c r="I417" s="1">
        <v>-0.28750385507477649</v>
      </c>
      <c r="J417">
        <f t="shared" si="18"/>
        <v>0.41945186999191653</v>
      </c>
    </row>
    <row r="418" spans="1:10">
      <c r="A418">
        <v>415</v>
      </c>
      <c r="B418">
        <v>0.96627704702902306</v>
      </c>
      <c r="C418">
        <v>0.56282235175634021</v>
      </c>
      <c r="D418" s="1">
        <f t="shared" si="19"/>
        <v>1.8286910369996645</v>
      </c>
      <c r="E418" s="1">
        <f t="shared" si="20"/>
        <v>1.9868198503271053</v>
      </c>
      <c r="I418" s="1">
        <v>-0.28344855517453826</v>
      </c>
      <c r="J418">
        <f t="shared" si="18"/>
        <v>0.42057277681918503</v>
      </c>
    </row>
    <row r="419" spans="1:10">
      <c r="A419">
        <v>416</v>
      </c>
      <c r="B419">
        <v>0.72182378612628562</v>
      </c>
      <c r="C419">
        <v>0.16251106295968504</v>
      </c>
      <c r="D419" s="1">
        <f t="shared" si="19"/>
        <v>0.58826798986191586</v>
      </c>
      <c r="E419" s="1">
        <f t="shared" si="20"/>
        <v>-0.39592196087752674</v>
      </c>
      <c r="I419" s="1">
        <v>-0.27786856026321882</v>
      </c>
      <c r="J419">
        <f t="shared" si="18"/>
        <v>0.42211616915820749</v>
      </c>
    </row>
    <row r="420" spans="1:10">
      <c r="A420">
        <v>417</v>
      </c>
      <c r="B420">
        <v>0.18030335398419142</v>
      </c>
      <c r="C420">
        <v>0.94170964690084535</v>
      </c>
      <c r="D420" s="1">
        <f t="shared" si="19"/>
        <v>-0.91420962429334751</v>
      </c>
      <c r="E420" s="1">
        <f t="shared" si="20"/>
        <v>0.65507898093325689</v>
      </c>
      <c r="I420" s="1">
        <v>-0.27668137256362274</v>
      </c>
      <c r="J420">
        <f t="shared" si="18"/>
        <v>0.42244469319546929</v>
      </c>
    </row>
    <row r="421" spans="1:10">
      <c r="A421">
        <v>418</v>
      </c>
      <c r="B421">
        <v>0.59956663716544079</v>
      </c>
      <c r="C421">
        <v>0.23996704000976593</v>
      </c>
      <c r="D421" s="1">
        <f t="shared" si="19"/>
        <v>0.25222555600407315</v>
      </c>
      <c r="E421" s="1">
        <f t="shared" si="20"/>
        <v>-0.45418303471221977</v>
      </c>
      <c r="I421" s="1">
        <v>-0.27577315620971843</v>
      </c>
      <c r="J421">
        <f t="shared" si="18"/>
        <v>0.42269605544151284</v>
      </c>
    </row>
    <row r="422" spans="1:10">
      <c r="A422">
        <v>419</v>
      </c>
      <c r="B422">
        <v>0.5467696157719657</v>
      </c>
      <c r="C422">
        <v>0.82607501449629195</v>
      </c>
      <c r="D422" s="1">
        <f t="shared" si="19"/>
        <v>0.11750388138046144</v>
      </c>
      <c r="E422" s="1">
        <f t="shared" si="20"/>
        <v>1.0562716882923431</v>
      </c>
      <c r="I422" s="1">
        <v>-0.27539457591565253</v>
      </c>
      <c r="J422">
        <f t="shared" si="18"/>
        <v>0.42280084241284116</v>
      </c>
    </row>
    <row r="423" spans="1:10">
      <c r="A423">
        <v>420</v>
      </c>
      <c r="B423">
        <v>0.8223212378307444</v>
      </c>
      <c r="C423">
        <v>0.96057008575701164</v>
      </c>
      <c r="D423" s="1">
        <f t="shared" si="19"/>
        <v>0.92424739547323609</v>
      </c>
      <c r="E423" s="1">
        <f t="shared" si="20"/>
        <v>2.6815876606462261</v>
      </c>
      <c r="I423" s="1">
        <v>-0.27093323590636048</v>
      </c>
      <c r="J423">
        <f t="shared" si="18"/>
        <v>0.42403610308560957</v>
      </c>
    </row>
    <row r="424" spans="1:10">
      <c r="A424">
        <v>421</v>
      </c>
      <c r="B424">
        <v>0.94857631153294475</v>
      </c>
      <c r="C424">
        <v>0.37241737113559376</v>
      </c>
      <c r="D424" s="1">
        <f t="shared" si="19"/>
        <v>1.6312035479551752</v>
      </c>
      <c r="E424" s="1">
        <f t="shared" si="20"/>
        <v>1.3057459144477774</v>
      </c>
      <c r="I424" s="1">
        <v>-0.26598688980122842</v>
      </c>
      <c r="J424">
        <f t="shared" si="18"/>
        <v>0.42540652523039696</v>
      </c>
    </row>
    <row r="425" spans="1:10">
      <c r="A425">
        <v>422</v>
      </c>
      <c r="B425">
        <v>0.29844050416577655</v>
      </c>
      <c r="C425">
        <v>0.70979949339274273</v>
      </c>
      <c r="D425" s="1">
        <f t="shared" si="19"/>
        <v>-0.5288910826265264</v>
      </c>
      <c r="E425" s="1">
        <f t="shared" si="20"/>
        <v>2.3907975965328454E-2</v>
      </c>
      <c r="I425" s="1">
        <v>-0.26461250905205064</v>
      </c>
      <c r="J425">
        <f t="shared" si="18"/>
        <v>0.42578746847523108</v>
      </c>
    </row>
    <row r="426" spans="1:10">
      <c r="A426">
        <v>423</v>
      </c>
      <c r="B426">
        <v>0.80065309610278634</v>
      </c>
      <c r="C426">
        <v>0.42167424542985321</v>
      </c>
      <c r="D426" s="1">
        <f t="shared" si="19"/>
        <v>0.84395633207646681</v>
      </c>
      <c r="E426" s="1">
        <f t="shared" si="20"/>
        <v>0.64634413468345875</v>
      </c>
      <c r="I426" s="1">
        <v>-0.26434162524991289</v>
      </c>
      <c r="J426">
        <f t="shared" si="18"/>
        <v>0.42586255873096529</v>
      </c>
    </row>
    <row r="427" spans="1:10">
      <c r="A427">
        <v>424</v>
      </c>
      <c r="B427">
        <v>0.92529068880275889</v>
      </c>
      <c r="C427">
        <v>0.28537858211004974</v>
      </c>
      <c r="D427" s="1">
        <f t="shared" si="19"/>
        <v>1.4415880471421489</v>
      </c>
      <c r="E427" s="1">
        <f t="shared" si="20"/>
        <v>0.87465131094968074</v>
      </c>
      <c r="I427" s="1">
        <v>-0.2606166277846359</v>
      </c>
      <c r="J427">
        <f t="shared" si="18"/>
        <v>0.42689541696729572</v>
      </c>
    </row>
    <row r="428" spans="1:10">
      <c r="A428">
        <v>425</v>
      </c>
      <c r="B428">
        <v>0.29783013397625657</v>
      </c>
      <c r="C428">
        <v>0.68211920529801329</v>
      </c>
      <c r="D428" s="1">
        <f t="shared" si="19"/>
        <v>-0.53065154733193964</v>
      </c>
      <c r="E428" s="1">
        <f t="shared" si="20"/>
        <v>-5.7018478075534895E-2</v>
      </c>
      <c r="I428" s="1">
        <v>-0.25047157255011154</v>
      </c>
      <c r="J428">
        <f t="shared" si="18"/>
        <v>0.42971093571180868</v>
      </c>
    </row>
    <row r="429" spans="1:10">
      <c r="A429">
        <v>426</v>
      </c>
      <c r="B429">
        <v>0.52024903103732412</v>
      </c>
      <c r="C429">
        <v>7.0802941984313486E-2</v>
      </c>
      <c r="D429" s="1">
        <f t="shared" si="19"/>
        <v>5.0778607121228787E-2</v>
      </c>
      <c r="E429" s="1">
        <f t="shared" si="20"/>
        <v>-1.4190584725831266</v>
      </c>
      <c r="I429" s="1">
        <v>-0.24765639089964842</v>
      </c>
      <c r="J429">
        <f t="shared" si="18"/>
        <v>0.43049286285407118</v>
      </c>
    </row>
    <row r="430" spans="1:10">
      <c r="A430">
        <v>427</v>
      </c>
      <c r="B430">
        <v>0.59389019440290536</v>
      </c>
      <c r="C430">
        <v>4.0589617603076264E-2</v>
      </c>
      <c r="D430" s="1">
        <f t="shared" si="19"/>
        <v>0.23756356662160871</v>
      </c>
      <c r="E430" s="1">
        <f t="shared" si="20"/>
        <v>-1.5063209146086052</v>
      </c>
      <c r="I430" s="1">
        <v>-0.24688108016599419</v>
      </c>
      <c r="J430">
        <f t="shared" si="18"/>
        <v>0.43070825629274384</v>
      </c>
    </row>
    <row r="431" spans="1:10">
      <c r="A431">
        <v>428</v>
      </c>
      <c r="B431">
        <v>0.36680196539201027</v>
      </c>
      <c r="C431">
        <v>0.60567033906064027</v>
      </c>
      <c r="D431" s="1">
        <f t="shared" si="19"/>
        <v>-0.34033544040118552</v>
      </c>
      <c r="E431" s="1">
        <f t="shared" si="20"/>
        <v>-7.2283478481636798E-2</v>
      </c>
      <c r="I431" s="1">
        <v>-0.24118372559824985</v>
      </c>
      <c r="J431">
        <f t="shared" si="18"/>
        <v>0.43229169871168105</v>
      </c>
    </row>
    <row r="432" spans="1:10">
      <c r="A432">
        <v>429</v>
      </c>
      <c r="B432">
        <v>0.9175389873958556</v>
      </c>
      <c r="C432">
        <v>0.34028138065736868</v>
      </c>
      <c r="D432" s="1">
        <f t="shared" si="19"/>
        <v>1.3887064725115592</v>
      </c>
      <c r="E432" s="1">
        <f t="shared" si="20"/>
        <v>0.9770111602063718</v>
      </c>
      <c r="I432" s="1">
        <v>-0.23829595624474992</v>
      </c>
      <c r="J432">
        <f t="shared" si="18"/>
        <v>0.43309470178643283</v>
      </c>
    </row>
    <row r="433" spans="1:10">
      <c r="A433">
        <v>430</v>
      </c>
      <c r="B433">
        <v>0.60356456190679653</v>
      </c>
      <c r="C433">
        <v>0.78798791467024754</v>
      </c>
      <c r="D433" s="1">
        <f t="shared" si="19"/>
        <v>0.26258446362673143</v>
      </c>
      <c r="E433" s="1">
        <f t="shared" si="20"/>
        <v>1.0620437061792618</v>
      </c>
      <c r="I433" s="1">
        <v>-0.23650919640701162</v>
      </c>
      <c r="J433">
        <f t="shared" si="18"/>
        <v>0.43359168533699693</v>
      </c>
    </row>
    <row r="434" spans="1:10">
      <c r="A434">
        <v>431</v>
      </c>
      <c r="B434">
        <v>0.19052705465865047</v>
      </c>
      <c r="C434">
        <v>0.16748558000427261</v>
      </c>
      <c r="D434" s="1">
        <f t="shared" si="19"/>
        <v>-0.87595571454334742</v>
      </c>
      <c r="E434" s="1">
        <f t="shared" si="20"/>
        <v>-1.8401048526328507</v>
      </c>
      <c r="I434" s="1">
        <v>-0.23538382296164151</v>
      </c>
      <c r="J434">
        <f t="shared" si="18"/>
        <v>0.43390475958391217</v>
      </c>
    </row>
    <row r="435" spans="1:10">
      <c r="A435">
        <v>432</v>
      </c>
      <c r="B435">
        <v>1.5472884304330577E-2</v>
      </c>
      <c r="C435">
        <v>0.32941679128391371</v>
      </c>
      <c r="D435" s="1">
        <f t="shared" si="19"/>
        <v>-2.1577693550452435</v>
      </c>
      <c r="E435" s="1">
        <f t="shared" si="20"/>
        <v>-2.5992935043355727</v>
      </c>
      <c r="I435" s="1">
        <v>-0.23505526407435218</v>
      </c>
      <c r="J435">
        <f t="shared" si="18"/>
        <v>0.43399617113947347</v>
      </c>
    </row>
    <row r="436" spans="1:10">
      <c r="A436">
        <v>433</v>
      </c>
      <c r="B436">
        <v>0.72008423108615371</v>
      </c>
      <c r="C436">
        <v>3.7446211127048552E-2</v>
      </c>
      <c r="D436" s="1">
        <f t="shared" si="19"/>
        <v>0.58309174906536521</v>
      </c>
      <c r="E436" s="1">
        <f t="shared" si="20"/>
        <v>-1.1980308643649367</v>
      </c>
      <c r="I436" s="1">
        <v>-0.2324772473447782</v>
      </c>
      <c r="J436">
        <f t="shared" si="18"/>
        <v>0.43471354831503889</v>
      </c>
    </row>
    <row r="437" spans="1:10">
      <c r="A437">
        <v>434</v>
      </c>
      <c r="B437">
        <v>0.75688955351420639</v>
      </c>
      <c r="C437">
        <v>0.54615924558244577</v>
      </c>
      <c r="D437" s="1">
        <f t="shared" si="19"/>
        <v>0.69633207106725004</v>
      </c>
      <c r="E437" s="1">
        <f t="shared" si="20"/>
        <v>0.81229552126305204</v>
      </c>
      <c r="I437" s="1">
        <v>-0.22077030859124419</v>
      </c>
      <c r="J437">
        <f t="shared" si="18"/>
        <v>0.43797387445161262</v>
      </c>
    </row>
    <row r="438" spans="1:10">
      <c r="A438">
        <v>435</v>
      </c>
      <c r="B438">
        <v>0.62779625843073827</v>
      </c>
      <c r="C438">
        <v>0.97863704336680202</v>
      </c>
      <c r="D438" s="1">
        <f t="shared" si="19"/>
        <v>0.32602230002622096</v>
      </c>
      <c r="E438" s="1">
        <f t="shared" si="20"/>
        <v>2.3524017686579262</v>
      </c>
      <c r="I438" s="1">
        <v>-0.22039898216757997</v>
      </c>
      <c r="J438">
        <f t="shared" si="18"/>
        <v>0.43807735720875701</v>
      </c>
    </row>
    <row r="439" spans="1:10">
      <c r="A439">
        <v>436</v>
      </c>
      <c r="B439">
        <v>0.27185888241218298</v>
      </c>
      <c r="C439">
        <v>0.73485518967253638</v>
      </c>
      <c r="D439" s="1">
        <f t="shared" si="19"/>
        <v>-0.60720064414360098</v>
      </c>
      <c r="E439" s="1">
        <f t="shared" si="20"/>
        <v>2.0363321471231099E-2</v>
      </c>
      <c r="I439" s="1">
        <v>-0.21917449077224094</v>
      </c>
      <c r="J439">
        <f t="shared" si="18"/>
        <v>0.43841863341654774</v>
      </c>
    </row>
    <row r="440" spans="1:10">
      <c r="A440">
        <v>437</v>
      </c>
      <c r="B440">
        <v>0.46711630603961302</v>
      </c>
      <c r="C440">
        <v>1.7700735496078372E-2</v>
      </c>
      <c r="D440" s="1">
        <f t="shared" si="19"/>
        <v>-8.2520758064830724E-2</v>
      </c>
      <c r="E440" s="1">
        <f t="shared" si="20"/>
        <v>-2.1862568876456123</v>
      </c>
      <c r="I440" s="1">
        <v>-0.21053677260248627</v>
      </c>
      <c r="J440">
        <f t="shared" si="18"/>
        <v>0.44082732591763513</v>
      </c>
    </row>
    <row r="441" spans="1:10">
      <c r="A441">
        <v>438</v>
      </c>
      <c r="B441">
        <v>0.30521561326944791</v>
      </c>
      <c r="C441">
        <v>0.87725455488753934</v>
      </c>
      <c r="D441" s="1">
        <f t="shared" si="19"/>
        <v>-0.50945800587829859</v>
      </c>
      <c r="E441" s="1">
        <f t="shared" si="20"/>
        <v>0.65191340478875681</v>
      </c>
      <c r="I441" s="1">
        <v>-0.20456756801785708</v>
      </c>
      <c r="J441">
        <f t="shared" si="18"/>
        <v>0.44249316901066715</v>
      </c>
    </row>
    <row r="442" spans="1:10">
      <c r="A442">
        <v>439</v>
      </c>
      <c r="B442">
        <v>0.60093997009186073</v>
      </c>
      <c r="C442">
        <v>0.58580278939176611</v>
      </c>
      <c r="D442" s="1">
        <f t="shared" si="19"/>
        <v>0.25578085234310832</v>
      </c>
      <c r="E442" s="1">
        <f t="shared" si="20"/>
        <v>0.47254209048674228</v>
      </c>
      <c r="I442" s="1">
        <v>-0.19972714840471739</v>
      </c>
      <c r="J442">
        <f t="shared" si="18"/>
        <v>0.44384474717953665</v>
      </c>
    </row>
    <row r="443" spans="1:10">
      <c r="A443">
        <v>440</v>
      </c>
      <c r="B443">
        <v>0.53895687734611042</v>
      </c>
      <c r="C443">
        <v>0.8639179662465285</v>
      </c>
      <c r="D443" s="1">
        <f t="shared" si="19"/>
        <v>9.7806122924197117E-2</v>
      </c>
      <c r="E443" s="1">
        <f t="shared" si="20"/>
        <v>1.1958986973156693</v>
      </c>
      <c r="I443" s="1">
        <v>-0.19653149410521031</v>
      </c>
      <c r="J443">
        <f t="shared" si="18"/>
        <v>0.44473742077135259</v>
      </c>
    </row>
    <row r="444" spans="1:10">
      <c r="A444">
        <v>441</v>
      </c>
      <c r="B444">
        <v>0.98333689382610556</v>
      </c>
      <c r="C444">
        <v>0.52272103030487993</v>
      </c>
      <c r="D444" s="1">
        <f t="shared" si="19"/>
        <v>2.12813113704726</v>
      </c>
      <c r="E444" s="1">
        <f t="shared" si="20"/>
        <v>2.1851151385405414</v>
      </c>
      <c r="I444" s="1">
        <v>-0.19424824488835424</v>
      </c>
      <c r="J444">
        <f t="shared" si="18"/>
        <v>0.44537539524480435</v>
      </c>
    </row>
    <row r="445" spans="1:10">
      <c r="A445">
        <v>442</v>
      </c>
      <c r="B445">
        <v>0.17325357829523605</v>
      </c>
      <c r="C445">
        <v>0.4532303842280343</v>
      </c>
      <c r="D445" s="1">
        <f t="shared" si="19"/>
        <v>-0.94138586102069854</v>
      </c>
      <c r="E445" s="1">
        <f t="shared" si="20"/>
        <v>-1.0588897424011601</v>
      </c>
      <c r="I445" s="1">
        <v>-0.19142274395002468</v>
      </c>
      <c r="J445">
        <f t="shared" si="18"/>
        <v>0.44616507878444411</v>
      </c>
    </row>
    <row r="446" spans="1:10">
      <c r="A446">
        <v>443</v>
      </c>
      <c r="B446">
        <v>0.63917966246528524</v>
      </c>
      <c r="C446">
        <v>0.28208258308664202</v>
      </c>
      <c r="D446" s="1">
        <f t="shared" si="19"/>
        <v>0.35626692684977196</v>
      </c>
      <c r="E446" s="1">
        <f t="shared" si="20"/>
        <v>-0.22039898216757997</v>
      </c>
      <c r="I446" s="1">
        <v>-0.19043366181507912</v>
      </c>
      <c r="J446">
        <f t="shared" si="18"/>
        <v>0.44644156247627287</v>
      </c>
    </row>
    <row r="447" spans="1:10">
      <c r="A447">
        <v>444</v>
      </c>
      <c r="B447">
        <v>0.81939146092104864</v>
      </c>
      <c r="C447">
        <v>0.41029084139530625</v>
      </c>
      <c r="D447" s="1">
        <f t="shared" si="19"/>
        <v>0.91304841643853329</v>
      </c>
      <c r="E447" s="1">
        <f t="shared" si="20"/>
        <v>0.68625152730278993</v>
      </c>
      <c r="I447" s="1">
        <v>-0.18825483090018996</v>
      </c>
      <c r="J447">
        <f t="shared" si="18"/>
        <v>0.44705071501036625</v>
      </c>
    </row>
    <row r="448" spans="1:10">
      <c r="A448">
        <v>445</v>
      </c>
      <c r="B448">
        <v>0.98983733634449289</v>
      </c>
      <c r="C448">
        <v>0.25321207312234872</v>
      </c>
      <c r="D448" s="1">
        <f t="shared" si="19"/>
        <v>2.3202875472632654</v>
      </c>
      <c r="E448" s="1">
        <f t="shared" si="20"/>
        <v>1.6558716271173188</v>
      </c>
      <c r="I448" s="1">
        <v>-0.18742651435540089</v>
      </c>
      <c r="J448">
        <f t="shared" si="18"/>
        <v>0.44728232669928125</v>
      </c>
    </row>
    <row r="449" spans="1:10">
      <c r="A449">
        <v>446</v>
      </c>
      <c r="B449">
        <v>0.51091036713766902</v>
      </c>
      <c r="C449">
        <v>0.32667012543107393</v>
      </c>
      <c r="D449" s="1">
        <f t="shared" si="19"/>
        <v>2.7351644722298691E-2</v>
      </c>
      <c r="E449" s="1">
        <f t="shared" si="20"/>
        <v>-0.42177506882628041</v>
      </c>
      <c r="I449" s="1">
        <v>-0.18661706962219304</v>
      </c>
      <c r="J449">
        <f t="shared" si="18"/>
        <v>0.44750867887215845</v>
      </c>
    </row>
    <row r="450" spans="1:10">
      <c r="A450">
        <v>447</v>
      </c>
      <c r="B450">
        <v>0.85387737662892549</v>
      </c>
      <c r="C450">
        <v>0.94567705313272499</v>
      </c>
      <c r="D450" s="1">
        <f t="shared" si="19"/>
        <v>1.0532089296897027</v>
      </c>
      <c r="E450" s="1">
        <f t="shared" si="20"/>
        <v>2.6575182225749878</v>
      </c>
      <c r="I450" s="1">
        <v>-0.18384153658251878</v>
      </c>
      <c r="J450">
        <f t="shared" si="18"/>
        <v>0.4482849550368439</v>
      </c>
    </row>
    <row r="451" spans="1:10">
      <c r="A451">
        <v>448</v>
      </c>
      <c r="B451">
        <v>0.59599597155674922</v>
      </c>
      <c r="C451">
        <v>0.13251136814477982</v>
      </c>
      <c r="D451" s="1">
        <f t="shared" si="19"/>
        <v>0.24299656701823091</v>
      </c>
      <c r="E451" s="1">
        <f t="shared" si="20"/>
        <v>-0.87160141315457385</v>
      </c>
      <c r="I451" s="1">
        <v>-0.18257486136413953</v>
      </c>
      <c r="J451">
        <f t="shared" si="18"/>
        <v>0.44863929164823957</v>
      </c>
    </row>
    <row r="452" spans="1:10">
      <c r="A452">
        <v>449</v>
      </c>
      <c r="B452">
        <v>8.7343974120303966E-2</v>
      </c>
      <c r="C452">
        <v>0.25443281350138858</v>
      </c>
      <c r="D452" s="1">
        <f t="shared" si="19"/>
        <v>-1.3572935742944763</v>
      </c>
      <c r="E452" s="1">
        <f t="shared" si="20"/>
        <v>-2.017898628332512</v>
      </c>
      <c r="I452" s="1">
        <v>-0.17904053784828167</v>
      </c>
      <c r="J452">
        <f t="shared" ref="J452:J515" si="21">_xlfn.NORM.DIST(I452,$J$1,$J$2,TRUE)</f>
        <v>0.4496281904049011</v>
      </c>
    </row>
    <row r="453" spans="1:10">
      <c r="A453">
        <v>450</v>
      </c>
      <c r="B453">
        <v>0.86770226142155216</v>
      </c>
      <c r="C453">
        <v>0.89934995574816123</v>
      </c>
      <c r="D453" s="1">
        <f t="shared" ref="D453:D516" si="22">_xlfn.NORM.INV(B453, 0, 1)</f>
        <v>1.1155951311639887</v>
      </c>
      <c r="E453" s="1">
        <f t="shared" ref="E453:E516" si="23">_xlfn.NORM.INV(C453,D453,1)</f>
        <v>2.393451460686518</v>
      </c>
      <c r="I453" s="1">
        <v>-0.17540372380897384</v>
      </c>
      <c r="J453">
        <f t="shared" si="21"/>
        <v>0.45064609247872922</v>
      </c>
    </row>
    <row r="454" spans="1:10">
      <c r="A454">
        <v>451</v>
      </c>
      <c r="B454">
        <v>4.0162358470412308E-2</v>
      </c>
      <c r="C454">
        <v>0.25821710867641223</v>
      </c>
      <c r="D454" s="1">
        <f t="shared" si="22"/>
        <v>-1.7488050884293296</v>
      </c>
      <c r="E454" s="1">
        <f t="shared" si="23"/>
        <v>-2.397656818286996</v>
      </c>
      <c r="I454" s="1">
        <v>-0.16945401543059513</v>
      </c>
      <c r="J454">
        <f t="shared" si="21"/>
        <v>0.45231204397185287</v>
      </c>
    </row>
    <row r="455" spans="1:10">
      <c r="A455">
        <v>452</v>
      </c>
      <c r="B455">
        <v>0.65172276985992006</v>
      </c>
      <c r="C455">
        <v>0.82378612628559222</v>
      </c>
      <c r="D455" s="1">
        <f t="shared" si="22"/>
        <v>0.38997577505245606</v>
      </c>
      <c r="E455" s="1">
        <f t="shared" si="23"/>
        <v>1.3198663422352501</v>
      </c>
      <c r="I455" s="1">
        <v>-0.168560623554456</v>
      </c>
      <c r="J455">
        <f t="shared" si="21"/>
        <v>0.45256227192307158</v>
      </c>
    </row>
    <row r="456" spans="1:10">
      <c r="A456">
        <v>453</v>
      </c>
      <c r="B456">
        <v>0.9218115787224952</v>
      </c>
      <c r="C456">
        <v>0.1316263313699759</v>
      </c>
      <c r="D456" s="1">
        <f t="shared" si="22"/>
        <v>1.4173629383164499</v>
      </c>
      <c r="E456" s="1">
        <f t="shared" si="23"/>
        <v>0.29862665839283298</v>
      </c>
      <c r="I456" s="1">
        <v>-0.16833520961943133</v>
      </c>
      <c r="J456">
        <f t="shared" si="21"/>
        <v>0.45262541054287281</v>
      </c>
    </row>
    <row r="457" spans="1:10">
      <c r="A457">
        <v>454</v>
      </c>
      <c r="B457">
        <v>0.82238227484969639</v>
      </c>
      <c r="C457">
        <v>0.90108951078829314</v>
      </c>
      <c r="D457" s="1">
        <f t="shared" si="22"/>
        <v>0.92448193968373915</v>
      </c>
      <c r="E457" s="1">
        <f t="shared" si="23"/>
        <v>2.2122664709300572</v>
      </c>
      <c r="I457" s="1">
        <v>-0.16689981061588088</v>
      </c>
      <c r="J457">
        <f t="shared" si="21"/>
        <v>0.45302749496327355</v>
      </c>
    </row>
    <row r="458" spans="1:10">
      <c r="A458">
        <v>455</v>
      </c>
      <c r="B458">
        <v>0.41355632190923797</v>
      </c>
      <c r="C458">
        <v>0.89413129062776575</v>
      </c>
      <c r="D458" s="1">
        <f t="shared" si="22"/>
        <v>-0.2184061889900393</v>
      </c>
      <c r="E458" s="1">
        <f t="shared" si="23"/>
        <v>1.0303960393306004</v>
      </c>
      <c r="I458" s="1">
        <v>-0.16654065475840615</v>
      </c>
      <c r="J458">
        <f t="shared" si="21"/>
        <v>0.45312810936467735</v>
      </c>
    </row>
    <row r="459" spans="1:10">
      <c r="A459">
        <v>456</v>
      </c>
      <c r="B459">
        <v>0.98532059694204532</v>
      </c>
      <c r="C459">
        <v>0.36976226081118196</v>
      </c>
      <c r="D459" s="1">
        <f t="shared" si="22"/>
        <v>2.1786348364721499</v>
      </c>
      <c r="E459" s="1">
        <f t="shared" si="23"/>
        <v>1.8461517666609735</v>
      </c>
      <c r="I459" s="1">
        <v>-0.16453009649631262</v>
      </c>
      <c r="J459">
        <f t="shared" si="21"/>
        <v>0.45369140523132778</v>
      </c>
    </row>
    <row r="460" spans="1:10">
      <c r="A460">
        <v>457</v>
      </c>
      <c r="B460">
        <v>6.1891537217322309E-2</v>
      </c>
      <c r="C460">
        <v>1.7090365306558428E-3</v>
      </c>
      <c r="D460" s="1">
        <f t="shared" si="22"/>
        <v>-1.5390869339107085</v>
      </c>
      <c r="E460" s="1">
        <f t="shared" si="23"/>
        <v>-4.4664884390079944</v>
      </c>
      <c r="I460" s="1">
        <v>-0.15933051164662315</v>
      </c>
      <c r="J460">
        <f t="shared" si="21"/>
        <v>0.45514859643636874</v>
      </c>
    </row>
    <row r="461" spans="1:10">
      <c r="A461">
        <v>458</v>
      </c>
      <c r="B461">
        <v>0.47373882259590444</v>
      </c>
      <c r="C461">
        <v>0.15927610095522934</v>
      </c>
      <c r="D461" s="1">
        <f t="shared" si="22"/>
        <v>-6.5874622255845824E-2</v>
      </c>
      <c r="E461" s="1">
        <f t="shared" si="23"/>
        <v>-1.063312111521624</v>
      </c>
      <c r="I461" s="1">
        <v>-0.15019903009337091</v>
      </c>
      <c r="J461">
        <f t="shared" si="21"/>
        <v>0.45770915668355483</v>
      </c>
    </row>
    <row r="462" spans="1:10">
      <c r="A462">
        <v>459</v>
      </c>
      <c r="B462">
        <v>0.76216925565355387</v>
      </c>
      <c r="C462">
        <v>0.33637501144444104</v>
      </c>
      <c r="D462" s="1">
        <f t="shared" si="22"/>
        <v>0.71329781594545016</v>
      </c>
      <c r="E462" s="1">
        <f t="shared" si="23"/>
        <v>0.2909210349171551</v>
      </c>
      <c r="I462" s="1">
        <v>-0.15000530002544243</v>
      </c>
      <c r="J462">
        <f t="shared" si="21"/>
        <v>0.45776349996549043</v>
      </c>
    </row>
    <row r="463" spans="1:10">
      <c r="A463">
        <v>460</v>
      </c>
      <c r="B463">
        <v>0.47880489516891994</v>
      </c>
      <c r="C463">
        <v>0.92547379985961487</v>
      </c>
      <c r="D463" s="1">
        <f t="shared" si="22"/>
        <v>-5.3153267170167613E-2</v>
      </c>
      <c r="E463" s="1">
        <f t="shared" si="23"/>
        <v>1.3897333975674939</v>
      </c>
      <c r="I463" s="1">
        <v>-0.14891121591196232</v>
      </c>
      <c r="J463">
        <f t="shared" si="21"/>
        <v>0.4580704166348229</v>
      </c>
    </row>
    <row r="464" spans="1:10">
      <c r="A464">
        <v>461</v>
      </c>
      <c r="B464">
        <v>0.62166203802606279</v>
      </c>
      <c r="C464">
        <v>8.7679677724539939E-2</v>
      </c>
      <c r="D464" s="1">
        <f t="shared" si="22"/>
        <v>0.30984882045008283</v>
      </c>
      <c r="E464" s="1">
        <f t="shared" si="23"/>
        <v>-1.0453338785763384</v>
      </c>
      <c r="I464" s="1">
        <v>-0.14844147580378131</v>
      </c>
      <c r="J464">
        <f t="shared" si="21"/>
        <v>0.45820219761302639</v>
      </c>
    </row>
    <row r="465" spans="1:10">
      <c r="A465">
        <v>462</v>
      </c>
      <c r="B465">
        <v>0.6989654225287637</v>
      </c>
      <c r="C465">
        <v>0.44102298043763544</v>
      </c>
      <c r="D465" s="1">
        <f t="shared" si="22"/>
        <v>0.52142727536364852</v>
      </c>
      <c r="E465" s="1">
        <f t="shared" si="23"/>
        <v>0.37305117556136752</v>
      </c>
      <c r="I465" s="1">
        <v>-0.14661538582805489</v>
      </c>
      <c r="J465">
        <f t="shared" si="21"/>
        <v>0.45871453275395901</v>
      </c>
    </row>
    <row r="466" spans="1:10">
      <c r="A466">
        <v>463</v>
      </c>
      <c r="B466">
        <v>0.29660939359721672</v>
      </c>
      <c r="C466">
        <v>0.47587511825922424</v>
      </c>
      <c r="D466" s="1">
        <f t="shared" si="22"/>
        <v>-0.53417742376663424</v>
      </c>
      <c r="E466" s="1">
        <f t="shared" si="23"/>
        <v>-0.59468643821116585</v>
      </c>
      <c r="I466" s="1">
        <v>-0.14626861850502659</v>
      </c>
      <c r="J466">
        <f t="shared" si="21"/>
        <v>0.45881183096229888</v>
      </c>
    </row>
    <row r="467" spans="1:10">
      <c r="A467">
        <v>464</v>
      </c>
      <c r="B467">
        <v>0.47349467452009641</v>
      </c>
      <c r="C467">
        <v>0.74248481704153568</v>
      </c>
      <c r="D467" s="1">
        <f t="shared" si="22"/>
        <v>-6.6487952447425031E-2</v>
      </c>
      <c r="E467" s="1">
        <f t="shared" si="23"/>
        <v>0.58453702119254547</v>
      </c>
      <c r="I467" s="1">
        <v>-0.145379892545072</v>
      </c>
      <c r="J467">
        <f t="shared" si="21"/>
        <v>0.45906120666695643</v>
      </c>
    </row>
    <row r="468" spans="1:10">
      <c r="A468">
        <v>465</v>
      </c>
      <c r="B468">
        <v>0.15790276802880948</v>
      </c>
      <c r="C468">
        <v>0.3618274483474227</v>
      </c>
      <c r="D468" s="1">
        <f t="shared" si="22"/>
        <v>-1.003114672668485</v>
      </c>
      <c r="E468" s="1">
        <f t="shared" si="23"/>
        <v>-1.3566930294278614</v>
      </c>
      <c r="I468" s="1">
        <v>-0.14467923571443167</v>
      </c>
      <c r="J468">
        <f t="shared" si="21"/>
        <v>0.45925782170539442</v>
      </c>
    </row>
    <row r="469" spans="1:10">
      <c r="A469">
        <v>466</v>
      </c>
      <c r="B469">
        <v>0.58601641895809808</v>
      </c>
      <c r="C469">
        <v>0.14819788201544237</v>
      </c>
      <c r="D469" s="1">
        <f t="shared" si="22"/>
        <v>0.21730948970565636</v>
      </c>
      <c r="E469" s="1">
        <f t="shared" si="23"/>
        <v>-0.8268842472795469</v>
      </c>
      <c r="I469" s="1">
        <v>-0.14198297360348233</v>
      </c>
      <c r="J469">
        <f t="shared" si="21"/>
        <v>0.46001452669281589</v>
      </c>
    </row>
    <row r="470" spans="1:10">
      <c r="A470">
        <v>467</v>
      </c>
      <c r="B470">
        <v>0.97830133976256595</v>
      </c>
      <c r="C470">
        <v>0.65013580736716814</v>
      </c>
      <c r="D470" s="1">
        <f t="shared" si="22"/>
        <v>2.0198656952468346</v>
      </c>
      <c r="E470" s="1">
        <f t="shared" si="23"/>
        <v>2.4055528391098551</v>
      </c>
      <c r="I470" s="1">
        <v>-0.13514862957964047</v>
      </c>
      <c r="J470">
        <f t="shared" si="21"/>
        <v>0.4619332255636836</v>
      </c>
    </row>
    <row r="471" spans="1:10">
      <c r="A471">
        <v>468</v>
      </c>
      <c r="B471">
        <v>0.91006195257423628</v>
      </c>
      <c r="C471">
        <v>0.67787713248084969</v>
      </c>
      <c r="D471" s="1">
        <f t="shared" si="22"/>
        <v>1.341136634687937</v>
      </c>
      <c r="E471" s="1">
        <f t="shared" si="23"/>
        <v>1.8029073758582603</v>
      </c>
      <c r="I471" s="1">
        <v>-0.13376809438782541</v>
      </c>
      <c r="J471">
        <f t="shared" si="21"/>
        <v>0.46232091112322821</v>
      </c>
    </row>
    <row r="472" spans="1:10">
      <c r="A472">
        <v>469</v>
      </c>
      <c r="B472">
        <v>0.87444685201574757</v>
      </c>
      <c r="C472">
        <v>0.14398632770775474</v>
      </c>
      <c r="D472" s="1">
        <f t="shared" si="22"/>
        <v>1.1476664266941705</v>
      </c>
      <c r="E472" s="1">
        <f t="shared" si="23"/>
        <v>8.5086855566045339E-2</v>
      </c>
      <c r="I472" s="1">
        <v>-0.13079447362066571</v>
      </c>
      <c r="J472">
        <f t="shared" si="21"/>
        <v>0.46315609232731403</v>
      </c>
    </row>
    <row r="473" spans="1:10">
      <c r="A473">
        <v>470</v>
      </c>
      <c r="B473">
        <v>0.94579912717062897</v>
      </c>
      <c r="C473">
        <v>0.14801477095858639</v>
      </c>
      <c r="D473" s="1">
        <f t="shared" si="22"/>
        <v>1.6054184550560155</v>
      </c>
      <c r="E473" s="1">
        <f t="shared" si="23"/>
        <v>0.56043267541457675</v>
      </c>
      <c r="I473" s="1">
        <v>-0.12941293373565932</v>
      </c>
      <c r="J473">
        <f t="shared" si="21"/>
        <v>0.4635441717857362</v>
      </c>
    </row>
    <row r="474" spans="1:10">
      <c r="A474">
        <v>471</v>
      </c>
      <c r="B474">
        <v>0.60719626453444009</v>
      </c>
      <c r="C474">
        <v>0.27768791772209844</v>
      </c>
      <c r="D474" s="1">
        <f t="shared" si="22"/>
        <v>0.27201892091456126</v>
      </c>
      <c r="E474" s="1">
        <f t="shared" si="23"/>
        <v>-0.31770488045778245</v>
      </c>
      <c r="I474" s="1">
        <v>-0.12691551473617613</v>
      </c>
      <c r="J474">
        <f t="shared" si="21"/>
        <v>0.46424579344225159</v>
      </c>
    </row>
    <row r="475" spans="1:10">
      <c r="A475">
        <v>472</v>
      </c>
      <c r="B475">
        <v>0.18955046235541856</v>
      </c>
      <c r="C475">
        <v>0.91607409894100778</v>
      </c>
      <c r="D475" s="1">
        <f t="shared" si="22"/>
        <v>-0.87955407919189799</v>
      </c>
      <c r="E475" s="1">
        <f t="shared" si="23"/>
        <v>0.49958524256022596</v>
      </c>
      <c r="I475" s="1">
        <v>-0.12687703773623332</v>
      </c>
      <c r="J475">
        <f t="shared" si="21"/>
        <v>0.46425660399614099</v>
      </c>
    </row>
    <row r="476" spans="1:10">
      <c r="A476">
        <v>473</v>
      </c>
      <c r="B476">
        <v>0.66417432172612689</v>
      </c>
      <c r="C476">
        <v>6.1128574480422374E-2</v>
      </c>
      <c r="D476" s="1">
        <f t="shared" si="22"/>
        <v>0.42388270681146073</v>
      </c>
      <c r="E476" s="1">
        <f t="shared" si="23"/>
        <v>-1.1214858185582013</v>
      </c>
      <c r="I476" s="1">
        <v>-0.12489953811847782</v>
      </c>
      <c r="J476">
        <f t="shared" si="21"/>
        <v>0.4648122405146497</v>
      </c>
    </row>
    <row r="477" spans="1:10">
      <c r="A477">
        <v>474</v>
      </c>
      <c r="B477">
        <v>0.31095309305093538</v>
      </c>
      <c r="C477">
        <v>0.51908932767723626</v>
      </c>
      <c r="D477" s="1">
        <f t="shared" si="22"/>
        <v>-0.49315059139845863</v>
      </c>
      <c r="E477" s="1">
        <f t="shared" si="23"/>
        <v>-0.44528246868597848</v>
      </c>
      <c r="I477" s="1">
        <v>-0.12334729509940387</v>
      </c>
      <c r="J477">
        <f t="shared" si="21"/>
        <v>0.46524843684632772</v>
      </c>
    </row>
    <row r="478" spans="1:10">
      <c r="A478">
        <v>475</v>
      </c>
      <c r="B478">
        <v>0.45115512558366649</v>
      </c>
      <c r="C478">
        <v>0.74437696462904757</v>
      </c>
      <c r="D478" s="1">
        <f t="shared" si="22"/>
        <v>-0.12274345593035209</v>
      </c>
      <c r="E478" s="1">
        <f t="shared" si="23"/>
        <v>0.53415521832198298</v>
      </c>
      <c r="I478" s="1">
        <v>-0.12056782192282683</v>
      </c>
      <c r="J478">
        <f t="shared" si="21"/>
        <v>0.46602960152918416</v>
      </c>
    </row>
    <row r="479" spans="1:10">
      <c r="A479">
        <v>476</v>
      </c>
      <c r="B479">
        <v>0.41142002624591817</v>
      </c>
      <c r="C479">
        <v>0.93469038972136598</v>
      </c>
      <c r="D479" s="1">
        <f t="shared" si="22"/>
        <v>-0.22389365564186198</v>
      </c>
      <c r="E479" s="1">
        <f t="shared" si="23"/>
        <v>1.2877708973042421</v>
      </c>
      <c r="I479" s="1">
        <v>-0.11962374889180527</v>
      </c>
      <c r="J479">
        <f t="shared" si="21"/>
        <v>0.46629496106229629</v>
      </c>
    </row>
    <row r="480" spans="1:10">
      <c r="A480">
        <v>477</v>
      </c>
      <c r="B480">
        <v>2.0386364329966124E-2</v>
      </c>
      <c r="C480">
        <v>0.27454451124607077</v>
      </c>
      <c r="D480" s="1">
        <f t="shared" si="22"/>
        <v>-2.0458337661566199</v>
      </c>
      <c r="E480" s="1">
        <f t="shared" si="23"/>
        <v>-2.6449595296410289</v>
      </c>
      <c r="I480" s="1">
        <v>-0.11069612695737063</v>
      </c>
      <c r="J480">
        <f t="shared" si="21"/>
        <v>0.46880505664436134</v>
      </c>
    </row>
    <row r="481" spans="1:10">
      <c r="A481">
        <v>478</v>
      </c>
      <c r="B481">
        <v>0.32706686605426188</v>
      </c>
      <c r="C481">
        <v>0.49479659413434246</v>
      </c>
      <c r="D481" s="1">
        <f t="shared" si="22"/>
        <v>-0.44802697044411433</v>
      </c>
      <c r="E481" s="1">
        <f t="shared" si="23"/>
        <v>-0.46107034454593471</v>
      </c>
      <c r="I481" s="1">
        <v>-0.11053734135838311</v>
      </c>
      <c r="J481">
        <f t="shared" si="21"/>
        <v>0.46884971242295537</v>
      </c>
    </row>
    <row r="482" spans="1:10">
      <c r="A482">
        <v>479</v>
      </c>
      <c r="B482">
        <v>0.69704275643177582</v>
      </c>
      <c r="C482">
        <v>0.69798883022553182</v>
      </c>
      <c r="D482" s="1">
        <f t="shared" si="22"/>
        <v>0.51591398346835282</v>
      </c>
      <c r="E482" s="1">
        <f t="shared" si="23"/>
        <v>1.0345388864714409</v>
      </c>
      <c r="I482" s="1">
        <v>-0.10537099528525695</v>
      </c>
      <c r="J482">
        <f t="shared" si="21"/>
        <v>0.47030287094875456</v>
      </c>
    </row>
    <row r="483" spans="1:10">
      <c r="A483">
        <v>480</v>
      </c>
      <c r="B483">
        <v>0.14444410534989471</v>
      </c>
      <c r="C483">
        <v>0.24600970488601337</v>
      </c>
      <c r="D483" s="1">
        <f t="shared" si="22"/>
        <v>-1.0605637351460258</v>
      </c>
      <c r="E483" s="1">
        <f t="shared" si="23"/>
        <v>-1.7476642183243047</v>
      </c>
      <c r="I483" s="1">
        <v>-9.8445089353216525E-2</v>
      </c>
      <c r="J483">
        <f t="shared" si="21"/>
        <v>0.47225156500627335</v>
      </c>
    </row>
    <row r="484" spans="1:10">
      <c r="A484">
        <v>481</v>
      </c>
      <c r="B484">
        <v>0.34849085970641192</v>
      </c>
      <c r="C484">
        <v>0.38077944273201697</v>
      </c>
      <c r="D484" s="1">
        <f t="shared" si="22"/>
        <v>-0.38939804310335863</v>
      </c>
      <c r="E484" s="1">
        <f t="shared" si="23"/>
        <v>-0.69283237455399838</v>
      </c>
      <c r="I484" s="1">
        <v>-9.3505106364193402E-2</v>
      </c>
      <c r="J484">
        <f t="shared" si="21"/>
        <v>0.47364190240874221</v>
      </c>
    </row>
    <row r="485" spans="1:10">
      <c r="A485">
        <v>482</v>
      </c>
      <c r="B485">
        <v>0.94271675771355323</v>
      </c>
      <c r="C485">
        <v>0.38554033021027251</v>
      </c>
      <c r="D485" s="1">
        <f t="shared" si="22"/>
        <v>1.5779961922625658</v>
      </c>
      <c r="E485" s="1">
        <f t="shared" si="23"/>
        <v>1.2870345558660095</v>
      </c>
      <c r="I485" s="1">
        <v>-9.0416091467788229E-2</v>
      </c>
      <c r="J485">
        <f t="shared" si="21"/>
        <v>0.47451145690387742</v>
      </c>
    </row>
    <row r="486" spans="1:10">
      <c r="A486">
        <v>483</v>
      </c>
      <c r="B486">
        <v>0.50556962797936944</v>
      </c>
      <c r="C486">
        <v>0.40720847193823051</v>
      </c>
      <c r="D486" s="1">
        <f t="shared" si="22"/>
        <v>1.3961440523905175E-2</v>
      </c>
      <c r="E486" s="1">
        <f t="shared" si="23"/>
        <v>-0.22077030859124419</v>
      </c>
      <c r="I486" s="1">
        <v>-9.0079908926586238E-2</v>
      </c>
      <c r="J486">
        <f t="shared" si="21"/>
        <v>0.47460609934268166</v>
      </c>
    </row>
    <row r="487" spans="1:10">
      <c r="A487">
        <v>484</v>
      </c>
      <c r="B487">
        <v>0.38752403332621232</v>
      </c>
      <c r="C487">
        <v>0.94482253486739709</v>
      </c>
      <c r="D487" s="1">
        <f t="shared" si="22"/>
        <v>-0.28577812080547116</v>
      </c>
      <c r="E487" s="1">
        <f t="shared" si="23"/>
        <v>1.310821738722415</v>
      </c>
      <c r="I487" s="1">
        <v>-8.850524042370822E-2</v>
      </c>
      <c r="J487">
        <f t="shared" si="21"/>
        <v>0.47504942055380106</v>
      </c>
    </row>
    <row r="488" spans="1:10">
      <c r="A488">
        <v>485</v>
      </c>
      <c r="B488">
        <v>0.70909756767479482</v>
      </c>
      <c r="C488">
        <v>0.89284951322977391</v>
      </c>
      <c r="D488" s="1">
        <f t="shared" si="22"/>
        <v>0.55075029065679459</v>
      </c>
      <c r="E488" s="1">
        <f t="shared" si="23"/>
        <v>1.7925757326652159</v>
      </c>
      <c r="I488" s="1">
        <v>-8.6950937210713009E-2</v>
      </c>
      <c r="J488">
        <f t="shared" si="21"/>
        <v>0.47548703856164398</v>
      </c>
    </row>
    <row r="489" spans="1:10">
      <c r="A489">
        <v>486</v>
      </c>
      <c r="B489">
        <v>0.30448316904202399</v>
      </c>
      <c r="C489">
        <v>0.7602771080660421</v>
      </c>
      <c r="D489" s="1">
        <f t="shared" si="22"/>
        <v>-0.5115494977535725</v>
      </c>
      <c r="E489" s="1">
        <f t="shared" si="23"/>
        <v>0.19564473209844779</v>
      </c>
      <c r="I489" s="1">
        <v>-8.5200067209119795E-2</v>
      </c>
      <c r="J489">
        <f t="shared" si="21"/>
        <v>0.47598003583929249</v>
      </c>
    </row>
    <row r="490" spans="1:10">
      <c r="A490">
        <v>487</v>
      </c>
      <c r="B490">
        <v>0.95089571825312047</v>
      </c>
      <c r="C490">
        <v>0.34134952848902861</v>
      </c>
      <c r="D490" s="1">
        <f t="shared" si="22"/>
        <v>1.6536012257196631</v>
      </c>
      <c r="E490" s="1">
        <f t="shared" si="23"/>
        <v>1.2448184169146999</v>
      </c>
      <c r="I490" s="1">
        <v>-8.170215896252353E-2</v>
      </c>
      <c r="J490">
        <f t="shared" si="21"/>
        <v>0.47696506084309243</v>
      </c>
    </row>
    <row r="491" spans="1:10">
      <c r="A491">
        <v>488</v>
      </c>
      <c r="B491">
        <v>0.87572862941373941</v>
      </c>
      <c r="C491">
        <v>0.59431745353556931</v>
      </c>
      <c r="D491" s="1">
        <f t="shared" si="22"/>
        <v>1.1538961661548308</v>
      </c>
      <c r="E491" s="1">
        <f t="shared" si="23"/>
        <v>1.3925615085809884</v>
      </c>
      <c r="I491" s="1">
        <v>-8.030363879182012E-2</v>
      </c>
      <c r="J491">
        <f t="shared" si="21"/>
        <v>0.47735892946396608</v>
      </c>
    </row>
    <row r="492" spans="1:10">
      <c r="A492">
        <v>489</v>
      </c>
      <c r="B492">
        <v>0.52430799279763174</v>
      </c>
      <c r="C492">
        <v>0.7074800866725669</v>
      </c>
      <c r="D492" s="1">
        <f t="shared" si="22"/>
        <v>6.0968853242038289E-2</v>
      </c>
      <c r="E492" s="1">
        <f t="shared" si="23"/>
        <v>0.60700683854517457</v>
      </c>
      <c r="I492" s="1">
        <v>-7.5339544739209674E-2</v>
      </c>
      <c r="J492">
        <f t="shared" si="21"/>
        <v>0.47875715523814871</v>
      </c>
    </row>
    <row r="493" spans="1:10">
      <c r="A493">
        <v>490</v>
      </c>
      <c r="B493">
        <v>0.76372569963682979</v>
      </c>
      <c r="C493">
        <v>0.66939298684652238</v>
      </c>
      <c r="D493" s="1">
        <f t="shared" si="22"/>
        <v>0.71833849389194604</v>
      </c>
      <c r="E493" s="1">
        <f t="shared" si="23"/>
        <v>1.156576133116461</v>
      </c>
      <c r="I493" s="1">
        <v>-7.4686335308443444E-2</v>
      </c>
      <c r="J493">
        <f t="shared" si="21"/>
        <v>0.4789411631822505</v>
      </c>
    </row>
    <row r="494" spans="1:10">
      <c r="A494">
        <v>491</v>
      </c>
      <c r="B494">
        <v>0.62611774040955837</v>
      </c>
      <c r="C494">
        <v>0.62709433271279036</v>
      </c>
      <c r="D494" s="1">
        <f t="shared" si="22"/>
        <v>0.32158841803826532</v>
      </c>
      <c r="E494" s="1">
        <f t="shared" si="23"/>
        <v>0.64575577446752541</v>
      </c>
      <c r="I494" s="1">
        <v>-7.2283478481636798E-2</v>
      </c>
      <c r="J494">
        <f t="shared" si="21"/>
        <v>0.47961808203424222</v>
      </c>
    </row>
    <row r="495" spans="1:10">
      <c r="A495">
        <v>492</v>
      </c>
      <c r="B495">
        <v>0.38859218115787225</v>
      </c>
      <c r="C495">
        <v>0.48115482039857171</v>
      </c>
      <c r="D495" s="1">
        <f t="shared" si="22"/>
        <v>-0.28299018308582985</v>
      </c>
      <c r="E495" s="1">
        <f t="shared" si="23"/>
        <v>-0.33024562473049091</v>
      </c>
      <c r="I495" s="1">
        <v>-6.5173736614358879E-2</v>
      </c>
      <c r="J495">
        <f t="shared" si="21"/>
        <v>0.48162133403034185</v>
      </c>
    </row>
    <row r="496" spans="1:10">
      <c r="A496">
        <v>493</v>
      </c>
      <c r="B496">
        <v>0.27811517685476239</v>
      </c>
      <c r="C496">
        <v>0.46528519547105318</v>
      </c>
      <c r="D496" s="1">
        <f t="shared" si="22"/>
        <v>-0.58844989806946957</v>
      </c>
      <c r="E496" s="1">
        <f t="shared" si="23"/>
        <v>-0.67557711590469249</v>
      </c>
      <c r="I496" s="1">
        <v>-5.7018478075534895E-2</v>
      </c>
      <c r="J496">
        <f t="shared" si="21"/>
        <v>0.48391974097134433</v>
      </c>
    </row>
    <row r="497" spans="1:10">
      <c r="A497">
        <v>494</v>
      </c>
      <c r="B497">
        <v>0.90029602954191712</v>
      </c>
      <c r="C497">
        <v>0.18973357341227454</v>
      </c>
      <c r="D497" s="1">
        <f t="shared" si="22"/>
        <v>1.2832401862110703</v>
      </c>
      <c r="E497" s="1">
        <f t="shared" si="23"/>
        <v>0.40436166705171872</v>
      </c>
      <c r="I497" s="1">
        <v>-5.4964342587215387E-2</v>
      </c>
      <c r="J497">
        <f t="shared" si="21"/>
        <v>0.48449874786330011</v>
      </c>
    </row>
    <row r="498" spans="1:10">
      <c r="A498">
        <v>495</v>
      </c>
      <c r="B498">
        <v>0.19629505294961394</v>
      </c>
      <c r="C498">
        <v>0.53816339609973451</v>
      </c>
      <c r="D498" s="1">
        <f t="shared" si="22"/>
        <v>-0.8549296303707834</v>
      </c>
      <c r="E498" s="1">
        <f t="shared" si="23"/>
        <v>-0.75912181204338813</v>
      </c>
      <c r="I498" s="1">
        <v>-5.2008718330195269E-2</v>
      </c>
      <c r="J498">
        <f t="shared" si="21"/>
        <v>0.48533191782296525</v>
      </c>
    </row>
    <row r="499" spans="1:10">
      <c r="A499">
        <v>496</v>
      </c>
      <c r="B499">
        <v>0.21674245429853206</v>
      </c>
      <c r="C499">
        <v>0.77083651234473705</v>
      </c>
      <c r="D499" s="1">
        <f t="shared" si="22"/>
        <v>-0.78324218198738804</v>
      </c>
      <c r="E499" s="1">
        <f t="shared" si="23"/>
        <v>-4.1637647379661469E-2</v>
      </c>
      <c r="I499" s="1">
        <v>-4.7892319000969741E-2</v>
      </c>
      <c r="J499">
        <f t="shared" si="21"/>
        <v>0.48649240812779104</v>
      </c>
    </row>
    <row r="500" spans="1:10">
      <c r="A500">
        <v>497</v>
      </c>
      <c r="B500">
        <v>0.74193548387096775</v>
      </c>
      <c r="C500">
        <v>0.20935697500534073</v>
      </c>
      <c r="D500" s="1">
        <f t="shared" si="22"/>
        <v>0.64932391318646576</v>
      </c>
      <c r="E500" s="1">
        <f t="shared" si="23"/>
        <v>-0.15933051164662315</v>
      </c>
      <c r="I500" s="1">
        <v>-4.4293818785228145E-2</v>
      </c>
      <c r="J500">
        <f t="shared" si="21"/>
        <v>0.48750698699393913</v>
      </c>
    </row>
    <row r="501" spans="1:10">
      <c r="A501">
        <v>498</v>
      </c>
      <c r="B501">
        <v>0.97067171239356664</v>
      </c>
      <c r="C501">
        <v>7.3274941251869258E-2</v>
      </c>
      <c r="D501" s="1">
        <f t="shared" si="22"/>
        <v>1.8907586056627783</v>
      </c>
      <c r="E501" s="1">
        <f t="shared" si="23"/>
        <v>0.43893220986790804</v>
      </c>
      <c r="I501" s="1">
        <v>-4.4207866053905032E-2</v>
      </c>
      <c r="J501">
        <f t="shared" si="21"/>
        <v>0.48753122194503712</v>
      </c>
    </row>
    <row r="502" spans="1:10">
      <c r="A502">
        <v>499</v>
      </c>
      <c r="B502">
        <v>0.67973876155888546</v>
      </c>
      <c r="C502">
        <v>0.67482528153324994</v>
      </c>
      <c r="D502" s="1">
        <f t="shared" si="22"/>
        <v>0.46696841362822894</v>
      </c>
      <c r="E502" s="1">
        <f t="shared" si="23"/>
        <v>0.92024521295712303</v>
      </c>
      <c r="I502" s="1">
        <v>-4.2965895079260519E-2</v>
      </c>
      <c r="J502">
        <f t="shared" si="21"/>
        <v>0.4878814091149557</v>
      </c>
    </row>
    <row r="503" spans="1:10">
      <c r="A503">
        <v>500</v>
      </c>
      <c r="B503">
        <v>0.44248786889248332</v>
      </c>
      <c r="C503">
        <v>0.59462263863032927</v>
      </c>
      <c r="D503" s="1">
        <f t="shared" si="22"/>
        <v>-0.1446645397167699</v>
      </c>
      <c r="E503" s="1">
        <f t="shared" si="23"/>
        <v>9.4787962765207706E-2</v>
      </c>
      <c r="I503" s="1">
        <v>-4.1754700451128279E-2</v>
      </c>
      <c r="J503">
        <f t="shared" si="21"/>
        <v>0.48822292756184094</v>
      </c>
    </row>
    <row r="504" spans="1:10">
      <c r="A504">
        <v>501</v>
      </c>
      <c r="B504">
        <v>0.75710318308053837</v>
      </c>
      <c r="C504">
        <v>0.24939725943784904</v>
      </c>
      <c r="D504" s="1">
        <f t="shared" si="22"/>
        <v>0.69701463687288623</v>
      </c>
      <c r="E504" s="1">
        <f t="shared" si="23"/>
        <v>2.0626927989569777E-2</v>
      </c>
      <c r="I504" s="1">
        <v>-4.1637647379661469E-2</v>
      </c>
      <c r="J504">
        <f t="shared" si="21"/>
        <v>0.48825593327484212</v>
      </c>
    </row>
    <row r="505" spans="1:10">
      <c r="A505">
        <v>502</v>
      </c>
      <c r="B505">
        <v>0.68575090792565696</v>
      </c>
      <c r="C505">
        <v>0.78023621326334425</v>
      </c>
      <c r="D505" s="1">
        <f t="shared" si="22"/>
        <v>0.48384174799559515</v>
      </c>
      <c r="E505" s="1">
        <f t="shared" si="23"/>
        <v>1.2568329736522639</v>
      </c>
      <c r="I505" s="1">
        <v>-3.2322591950414037E-2</v>
      </c>
      <c r="J505">
        <f t="shared" si="21"/>
        <v>0.49088275893082861</v>
      </c>
    </row>
    <row r="506" spans="1:10">
      <c r="A506">
        <v>503</v>
      </c>
      <c r="B506">
        <v>0.73909726248969998</v>
      </c>
      <c r="C506">
        <v>0.988891262550737</v>
      </c>
      <c r="D506" s="1">
        <f t="shared" si="22"/>
        <v>0.6405648006272564</v>
      </c>
      <c r="E506" s="1">
        <f t="shared" si="23"/>
        <v>2.9271940088629598</v>
      </c>
      <c r="I506" s="1">
        <v>-3.1529147744566166E-2</v>
      </c>
      <c r="J506">
        <f t="shared" si="21"/>
        <v>0.49110652837878488</v>
      </c>
    </row>
    <row r="507" spans="1:10">
      <c r="A507">
        <v>504</v>
      </c>
      <c r="B507">
        <v>0.19162572099978636</v>
      </c>
      <c r="C507">
        <v>0.59968871120334488</v>
      </c>
      <c r="D507" s="1">
        <f t="shared" si="22"/>
        <v>-0.87192106326286467</v>
      </c>
      <c r="E507" s="1">
        <f t="shared" si="23"/>
        <v>-0.61937961064691349</v>
      </c>
      <c r="I507" s="1">
        <v>-3.1021051369300334E-2</v>
      </c>
      <c r="J507">
        <f t="shared" si="21"/>
        <v>0.49124982467424366</v>
      </c>
    </row>
    <row r="508" spans="1:10">
      <c r="A508">
        <v>505</v>
      </c>
      <c r="B508">
        <v>0.10501419110690634</v>
      </c>
      <c r="C508">
        <v>0.63670766319772942</v>
      </c>
      <c r="D508" s="1">
        <f t="shared" si="22"/>
        <v>-1.2534873987238793</v>
      </c>
      <c r="E508" s="1">
        <f t="shared" si="23"/>
        <v>-0.90381513780455758</v>
      </c>
      <c r="I508" s="1">
        <v>-2.9775051860609469E-2</v>
      </c>
      <c r="J508">
        <f t="shared" si="21"/>
        <v>0.49160123344638157</v>
      </c>
    </row>
    <row r="509" spans="1:10">
      <c r="A509">
        <v>506</v>
      </c>
      <c r="B509">
        <v>0.72518082216864532</v>
      </c>
      <c r="C509">
        <v>0.67854853968932161</v>
      </c>
      <c r="D509" s="1">
        <f t="shared" si="22"/>
        <v>0.59830212994992449</v>
      </c>
      <c r="E509" s="1">
        <f t="shared" si="23"/>
        <v>1.0619459962241167</v>
      </c>
      <c r="I509" s="1">
        <v>-2.9013988099088062E-2</v>
      </c>
      <c r="J509">
        <f t="shared" si="21"/>
        <v>0.49181587919660624</v>
      </c>
    </row>
    <row r="510" spans="1:10">
      <c r="A510">
        <v>507</v>
      </c>
      <c r="B510">
        <v>0.76360362559892569</v>
      </c>
      <c r="C510">
        <v>0.31058687093722342</v>
      </c>
      <c r="D510" s="1">
        <f t="shared" si="22"/>
        <v>0.71794248797716498</v>
      </c>
      <c r="E510" s="1">
        <f t="shared" si="23"/>
        <v>0.2237549526287822</v>
      </c>
      <c r="I510" s="1">
        <v>-1.2828271421098061E-2</v>
      </c>
      <c r="J510">
        <f t="shared" si="21"/>
        <v>0.49638126107105918</v>
      </c>
    </row>
    <row r="511" spans="1:10">
      <c r="A511">
        <v>508</v>
      </c>
      <c r="B511">
        <v>0.51182592242194891</v>
      </c>
      <c r="C511">
        <v>0.99295022431104463</v>
      </c>
      <c r="D511" s="1">
        <f t="shared" si="22"/>
        <v>2.9647534190438137E-2</v>
      </c>
      <c r="E511" s="1">
        <f t="shared" si="23"/>
        <v>2.4843645957351277</v>
      </c>
      <c r="I511" s="1">
        <v>-1.0237686999582551E-2</v>
      </c>
      <c r="J511">
        <f t="shared" si="21"/>
        <v>0.49711202704172236</v>
      </c>
    </row>
    <row r="512" spans="1:10">
      <c r="A512">
        <v>509</v>
      </c>
      <c r="B512">
        <v>0.4966277047029023</v>
      </c>
      <c r="C512">
        <v>0.15713980529190955</v>
      </c>
      <c r="D512" s="1">
        <f t="shared" si="22"/>
        <v>-8.4531914135325334E-3</v>
      </c>
      <c r="E512" s="1">
        <f t="shared" si="23"/>
        <v>-1.0147358694135034</v>
      </c>
      <c r="I512" s="1">
        <v>-1.0210658078390944E-2</v>
      </c>
      <c r="J512">
        <f t="shared" si="21"/>
        <v>0.49711965156036031</v>
      </c>
    </row>
    <row r="513" spans="1:10">
      <c r="A513">
        <v>510</v>
      </c>
      <c r="B513">
        <v>0.89431440168462173</v>
      </c>
      <c r="C513">
        <v>0.69042023987548451</v>
      </c>
      <c r="D513" s="1">
        <f t="shared" si="22"/>
        <v>1.2498038848223223</v>
      </c>
      <c r="E513" s="1">
        <f t="shared" si="23"/>
        <v>1.7468457623542728</v>
      </c>
      <c r="I513" s="1">
        <v>-2.9265113464105319E-3</v>
      </c>
      <c r="J513">
        <f t="shared" si="21"/>
        <v>0.49917444698031238</v>
      </c>
    </row>
    <row r="514" spans="1:10">
      <c r="A514">
        <v>511</v>
      </c>
      <c r="B514">
        <v>2.3377178258613851E-2</v>
      </c>
      <c r="C514">
        <v>0.53389080477309492</v>
      </c>
      <c r="D514" s="1">
        <f t="shared" si="22"/>
        <v>-1.9885186676077464</v>
      </c>
      <c r="E514" s="1">
        <f t="shared" si="23"/>
        <v>-1.9034645796135388</v>
      </c>
      <c r="I514" s="1">
        <v>4.6975889211797739E-4</v>
      </c>
      <c r="J514">
        <f t="shared" si="21"/>
        <v>0.50013251653441904</v>
      </c>
    </row>
    <row r="515" spans="1:10">
      <c r="A515">
        <v>512</v>
      </c>
      <c r="B515">
        <v>3.4455397198400829E-2</v>
      </c>
      <c r="C515">
        <v>0.61067537461470378</v>
      </c>
      <c r="D515" s="1">
        <f t="shared" si="22"/>
        <v>-1.8190041666757024</v>
      </c>
      <c r="E515" s="1">
        <f t="shared" si="23"/>
        <v>-1.537924440531637</v>
      </c>
      <c r="I515" s="1">
        <v>9.518958860981086E-3</v>
      </c>
      <c r="J515">
        <f t="shared" si="21"/>
        <v>0.50268522844193553</v>
      </c>
    </row>
    <row r="516" spans="1:10">
      <c r="A516">
        <v>513</v>
      </c>
      <c r="B516">
        <v>0.21201208532975249</v>
      </c>
      <c r="C516">
        <v>0.24768822290719322</v>
      </c>
      <c r="D516" s="1">
        <f t="shared" si="22"/>
        <v>-0.79945924255253031</v>
      </c>
      <c r="E516" s="1">
        <f t="shared" si="23"/>
        <v>-1.4812418148436723</v>
      </c>
      <c r="I516" s="1">
        <v>1.0416232623775334E-2</v>
      </c>
      <c r="J516">
        <f t="shared" ref="J516:J579" si="24">_xlfn.NORM.DIST(I516,$J$1,$J$2,TRUE)</f>
        <v>0.50293833840608548</v>
      </c>
    </row>
    <row r="517" spans="1:10">
      <c r="A517">
        <v>514</v>
      </c>
      <c r="B517">
        <v>0.32969145786919768</v>
      </c>
      <c r="C517">
        <v>0.1675466170232246</v>
      </c>
      <c r="D517" s="1">
        <f t="shared" ref="D517:D580" si="25">_xlfn.NORM.INV(B517, 0, 1)</f>
        <v>-0.44076530179262963</v>
      </c>
      <c r="E517" s="1">
        <f t="shared" ref="E517:E580" si="26">_xlfn.NORM.INV(C517,D517,1)</f>
        <v>-1.404670945593534</v>
      </c>
      <c r="I517" s="1">
        <v>1.2652806736185712E-2</v>
      </c>
      <c r="J517">
        <f t="shared" si="24"/>
        <v>0.50356924326380992</v>
      </c>
    </row>
    <row r="518" spans="1:10">
      <c r="A518">
        <v>515</v>
      </c>
      <c r="B518">
        <v>0.67754142887661362</v>
      </c>
      <c r="C518">
        <v>0.11597033600878934</v>
      </c>
      <c r="D518" s="1">
        <f t="shared" si="25"/>
        <v>0.46083478624159818</v>
      </c>
      <c r="E518" s="1">
        <f t="shared" si="26"/>
        <v>-0.73453989816500798</v>
      </c>
      <c r="I518" s="1">
        <v>1.2673684966977516E-2</v>
      </c>
      <c r="J518">
        <f t="shared" si="24"/>
        <v>0.50357513266787002</v>
      </c>
    </row>
    <row r="519" spans="1:10">
      <c r="A519">
        <v>516</v>
      </c>
      <c r="B519">
        <v>7.5838496047853018E-2</v>
      </c>
      <c r="C519">
        <v>4.4587542344431901E-2</v>
      </c>
      <c r="D519" s="1">
        <f t="shared" si="25"/>
        <v>-1.4336331016981831</v>
      </c>
      <c r="E519" s="1">
        <f t="shared" si="26"/>
        <v>-3.1333983818916575</v>
      </c>
      <c r="I519" s="1">
        <v>1.3778443278160524E-2</v>
      </c>
      <c r="J519">
        <f t="shared" si="24"/>
        <v>0.50388676559701073</v>
      </c>
    </row>
    <row r="520" spans="1:10">
      <c r="A520">
        <v>517</v>
      </c>
      <c r="B520">
        <v>0.42204046754356517</v>
      </c>
      <c r="C520">
        <v>0.7431562242500076</v>
      </c>
      <c r="D520" s="1">
        <f t="shared" si="25"/>
        <v>-0.19667620111186121</v>
      </c>
      <c r="E520" s="1">
        <f t="shared" si="26"/>
        <v>0.4564304084328511</v>
      </c>
      <c r="I520" s="1">
        <v>2.0363321471231099E-2</v>
      </c>
      <c r="J520">
        <f t="shared" si="24"/>
        <v>0.50574418843680713</v>
      </c>
    </row>
    <row r="521" spans="1:10">
      <c r="A521">
        <v>518</v>
      </c>
      <c r="B521">
        <v>0.66002380443739128</v>
      </c>
      <c r="C521">
        <v>0.2758873256630146</v>
      </c>
      <c r="D521" s="1">
        <f t="shared" si="25"/>
        <v>0.4125280969227107</v>
      </c>
      <c r="E521" s="1">
        <f t="shared" si="26"/>
        <v>-0.18257486136413953</v>
      </c>
      <c r="I521" s="1">
        <v>2.0366901145168072E-2</v>
      </c>
      <c r="J521">
        <f t="shared" si="24"/>
        <v>0.50574519813948515</v>
      </c>
    </row>
    <row r="522" spans="1:10">
      <c r="A522">
        <v>519</v>
      </c>
      <c r="B522">
        <v>0.91674550614947969</v>
      </c>
      <c r="C522">
        <v>4.7761467329935609E-2</v>
      </c>
      <c r="D522" s="1">
        <f t="shared" si="25"/>
        <v>1.383508549428615</v>
      </c>
      <c r="E522" s="1">
        <f t="shared" si="26"/>
        <v>-0.28344855517453826</v>
      </c>
      <c r="I522" s="1">
        <v>2.0587218382156824E-2</v>
      </c>
      <c r="J522">
        <f t="shared" si="24"/>
        <v>0.50580734196979138</v>
      </c>
    </row>
    <row r="523" spans="1:10">
      <c r="A523">
        <v>520</v>
      </c>
      <c r="B523">
        <v>0.33399456770531327</v>
      </c>
      <c r="C523">
        <v>0.35575426496169926</v>
      </c>
      <c r="D523" s="1">
        <f t="shared" si="25"/>
        <v>-0.42890943267099402</v>
      </c>
      <c r="E523" s="1">
        <f t="shared" si="26"/>
        <v>-0.79874027933653025</v>
      </c>
      <c r="I523" s="1">
        <v>2.0626927989569777E-2</v>
      </c>
      <c r="J523">
        <f t="shared" si="24"/>
        <v>0.50581854265406578</v>
      </c>
    </row>
    <row r="524" spans="1:10">
      <c r="A524">
        <v>521</v>
      </c>
      <c r="B524">
        <v>0.72249519333475754</v>
      </c>
      <c r="C524">
        <v>0.85924863429670095</v>
      </c>
      <c r="D524" s="1">
        <f t="shared" si="25"/>
        <v>0.590270052912091</v>
      </c>
      <c r="E524" s="1">
        <f t="shared" si="26"/>
        <v>1.6672197672945708</v>
      </c>
      <c r="I524" s="1">
        <v>2.3907975965328454E-2</v>
      </c>
      <c r="J524">
        <f t="shared" si="24"/>
        <v>0.50674399426609851</v>
      </c>
    </row>
    <row r="525" spans="1:10">
      <c r="A525">
        <v>522</v>
      </c>
      <c r="B525">
        <v>0.52809228797265539</v>
      </c>
      <c r="C525">
        <v>0.67162083803827022</v>
      </c>
      <c r="D525" s="1">
        <f t="shared" si="25"/>
        <v>7.0475218768460357E-2</v>
      </c>
      <c r="E525" s="1">
        <f t="shared" si="26"/>
        <v>0.51486842566998048</v>
      </c>
      <c r="I525" s="1">
        <v>2.9794747638148489E-2</v>
      </c>
      <c r="J525">
        <f t="shared" si="24"/>
        <v>0.50840432139776404</v>
      </c>
    </row>
    <row r="526" spans="1:10">
      <c r="A526">
        <v>523</v>
      </c>
      <c r="B526">
        <v>2.185125278481399E-2</v>
      </c>
      <c r="C526">
        <v>0.95107882930997645</v>
      </c>
      <c r="D526" s="1">
        <f t="shared" si="25"/>
        <v>-2.0169330014144697</v>
      </c>
      <c r="E526" s="1">
        <f t="shared" si="26"/>
        <v>-0.36152784814944616</v>
      </c>
      <c r="I526" s="1">
        <v>3.0210868403984681E-2</v>
      </c>
      <c r="J526">
        <f t="shared" si="24"/>
        <v>0.50852168048442214</v>
      </c>
    </row>
    <row r="527" spans="1:10">
      <c r="A527">
        <v>524</v>
      </c>
      <c r="B527">
        <v>0.83764152958769489</v>
      </c>
      <c r="C527">
        <v>0.4077578051087985</v>
      </c>
      <c r="D527" s="1">
        <f t="shared" si="25"/>
        <v>0.9848109503049588</v>
      </c>
      <c r="E527" s="1">
        <f t="shared" si="26"/>
        <v>0.75149440295275627</v>
      </c>
      <c r="I527" s="1">
        <v>3.7744658132477904E-2</v>
      </c>
      <c r="J527">
        <f t="shared" si="24"/>
        <v>0.5106463075147768</v>
      </c>
    </row>
    <row r="528" spans="1:10">
      <c r="A528">
        <v>525</v>
      </c>
      <c r="B528">
        <v>0.91253395184179209</v>
      </c>
      <c r="C528">
        <v>0.31806390575884275</v>
      </c>
      <c r="D528" s="1">
        <f t="shared" si="25"/>
        <v>1.3565252838530477</v>
      </c>
      <c r="E528" s="1">
        <f t="shared" si="26"/>
        <v>0.88340562419800039</v>
      </c>
      <c r="I528" s="1">
        <v>4.1923324060641476E-2</v>
      </c>
      <c r="J528">
        <f t="shared" si="24"/>
        <v>0.51182461946778712</v>
      </c>
    </row>
    <row r="529" spans="1:10">
      <c r="A529">
        <v>526</v>
      </c>
      <c r="B529">
        <v>0.38059633167516099</v>
      </c>
      <c r="C529">
        <v>0.74929044465468309</v>
      </c>
      <c r="D529" s="1">
        <f t="shared" si="25"/>
        <v>-0.30391498201436518</v>
      </c>
      <c r="E529" s="1">
        <f t="shared" si="26"/>
        <v>0.36834357111803873</v>
      </c>
      <c r="I529" s="1">
        <v>4.8901372837460322E-2</v>
      </c>
      <c r="J529">
        <f t="shared" si="24"/>
        <v>0.51379207406685057</v>
      </c>
    </row>
    <row r="530" spans="1:10">
      <c r="A530">
        <v>527</v>
      </c>
      <c r="B530">
        <v>0.62025818659016696</v>
      </c>
      <c r="C530">
        <v>0.45902890102847377</v>
      </c>
      <c r="D530" s="1">
        <f t="shared" si="25"/>
        <v>0.30615894860085674</v>
      </c>
      <c r="E530" s="1">
        <f t="shared" si="26"/>
        <v>0.20327843315904168</v>
      </c>
      <c r="I530" s="1">
        <v>5.2860774488689088E-2</v>
      </c>
      <c r="J530">
        <f t="shared" si="24"/>
        <v>0.51490827762276337</v>
      </c>
    </row>
    <row r="531" spans="1:10">
      <c r="A531">
        <v>528</v>
      </c>
      <c r="B531">
        <v>0.3031098361156041</v>
      </c>
      <c r="C531">
        <v>0.35029145176549575</v>
      </c>
      <c r="D531" s="1">
        <f t="shared" si="25"/>
        <v>-0.51547709376709894</v>
      </c>
      <c r="E531" s="1">
        <f t="shared" si="26"/>
        <v>-0.90001082042111225</v>
      </c>
      <c r="I531" s="1">
        <v>5.3882373396473504E-2</v>
      </c>
      <c r="J531">
        <f t="shared" si="24"/>
        <v>0.51519626019325326</v>
      </c>
    </row>
    <row r="532" spans="1:10">
      <c r="A532">
        <v>529</v>
      </c>
      <c r="B532">
        <v>0.54860072634052548</v>
      </c>
      <c r="C532">
        <v>2.2705771050141911E-2</v>
      </c>
      <c r="D532" s="1">
        <f t="shared" si="25"/>
        <v>0.12212686325132545</v>
      </c>
      <c r="E532" s="1">
        <f t="shared" si="26"/>
        <v>-1.8786954482274381</v>
      </c>
      <c r="I532" s="1">
        <v>5.4424521293058081E-2</v>
      </c>
      <c r="J532">
        <f t="shared" si="24"/>
        <v>0.51534908520573375</v>
      </c>
    </row>
    <row r="533" spans="1:10">
      <c r="A533">
        <v>530</v>
      </c>
      <c r="B533">
        <v>0.93160802026429024</v>
      </c>
      <c r="C533">
        <v>0.24353770561845758</v>
      </c>
      <c r="D533" s="1">
        <f t="shared" si="25"/>
        <v>1.4878746298230723</v>
      </c>
      <c r="E533" s="1">
        <f t="shared" si="26"/>
        <v>0.7929067181993773</v>
      </c>
      <c r="I533" s="1">
        <v>5.8313786464273452E-2</v>
      </c>
      <c r="J533">
        <f t="shared" si="24"/>
        <v>0.5164453551188426</v>
      </c>
    </row>
    <row r="534" spans="1:10">
      <c r="A534">
        <v>531</v>
      </c>
      <c r="B534">
        <v>0.91994994964445942</v>
      </c>
      <c r="C534">
        <v>0.53630176702169863</v>
      </c>
      <c r="D534" s="1">
        <f t="shared" si="25"/>
        <v>1.404734977323101</v>
      </c>
      <c r="E534" s="1">
        <f t="shared" si="26"/>
        <v>1.4958559527978952</v>
      </c>
      <c r="I534" s="1">
        <v>5.9247589667286937E-2</v>
      </c>
      <c r="J534">
        <f t="shared" si="24"/>
        <v>0.5167085486913725</v>
      </c>
    </row>
    <row r="535" spans="1:10">
      <c r="A535">
        <v>532</v>
      </c>
      <c r="B535">
        <v>0.55601672414319281</v>
      </c>
      <c r="C535">
        <v>0.28421887874996188</v>
      </c>
      <c r="D535" s="1">
        <f t="shared" si="25"/>
        <v>0.14087770954718443</v>
      </c>
      <c r="E535" s="1">
        <f t="shared" si="26"/>
        <v>-0.42947609108458012</v>
      </c>
      <c r="I535" s="1">
        <v>7.4898757534876875E-2</v>
      </c>
      <c r="J535">
        <f t="shared" si="24"/>
        <v>0.52111867627852049</v>
      </c>
    </row>
    <row r="536" spans="1:10">
      <c r="A536">
        <v>533</v>
      </c>
      <c r="B536">
        <v>0.30478835413678396</v>
      </c>
      <c r="C536">
        <v>0.18674275948362681</v>
      </c>
      <c r="D536" s="1">
        <f t="shared" si="25"/>
        <v>-0.51067777137300374</v>
      </c>
      <c r="E536" s="1">
        <f t="shared" si="26"/>
        <v>-1.40064120856856</v>
      </c>
      <c r="I536" s="1">
        <v>8.0174926196788399E-2</v>
      </c>
      <c r="J536">
        <f t="shared" si="24"/>
        <v>0.52260481977903306</v>
      </c>
    </row>
    <row r="537" spans="1:10">
      <c r="A537">
        <v>534</v>
      </c>
      <c r="B537">
        <v>0.20596942045350505</v>
      </c>
      <c r="C537">
        <v>0.46549882503738516</v>
      </c>
      <c r="D537" s="1">
        <f t="shared" si="25"/>
        <v>-0.82048646702804318</v>
      </c>
      <c r="E537" s="1">
        <f t="shared" si="26"/>
        <v>-0.90707617115795036</v>
      </c>
      <c r="I537" s="1">
        <v>8.2365788054839295E-2</v>
      </c>
      <c r="J537">
        <f t="shared" si="24"/>
        <v>0.52322183077597628</v>
      </c>
    </row>
    <row r="538" spans="1:10">
      <c r="A538">
        <v>535</v>
      </c>
      <c r="B538">
        <v>0.20395519882808924</v>
      </c>
      <c r="C538">
        <v>0.89446699423200171</v>
      </c>
      <c r="D538" s="1">
        <f t="shared" si="25"/>
        <v>-0.8275764714717041</v>
      </c>
      <c r="E538" s="1">
        <f t="shared" si="26"/>
        <v>0.42306308600351283</v>
      </c>
      <c r="I538" s="1">
        <v>8.5086855566045339E-2</v>
      </c>
      <c r="J538">
        <f t="shared" si="24"/>
        <v>0.52398808557345222</v>
      </c>
    </row>
    <row r="539" spans="1:10">
      <c r="A539">
        <v>536</v>
      </c>
      <c r="B539">
        <v>0.17334513382366407</v>
      </c>
      <c r="C539">
        <v>0.63966795861690118</v>
      </c>
      <c r="D539" s="1">
        <f t="shared" si="25"/>
        <v>-0.9410284738677861</v>
      </c>
      <c r="E539" s="1">
        <f t="shared" si="26"/>
        <v>-0.5834570715092795</v>
      </c>
      <c r="I539" s="1">
        <v>9.4787962765207706E-2</v>
      </c>
      <c r="J539">
        <f t="shared" si="24"/>
        <v>0.52671918367313308</v>
      </c>
    </row>
    <row r="540" spans="1:10">
      <c r="A540">
        <v>537</v>
      </c>
      <c r="B540">
        <v>0.67140720847193824</v>
      </c>
      <c r="C540">
        <v>0.32490005188146609</v>
      </c>
      <c r="D540" s="1">
        <f t="shared" si="25"/>
        <v>0.44380222023802662</v>
      </c>
      <c r="E540" s="1">
        <f t="shared" si="26"/>
        <v>-1.0237686999582551E-2</v>
      </c>
      <c r="I540" s="1">
        <v>0.10595526540433697</v>
      </c>
      <c r="J540">
        <f t="shared" si="24"/>
        <v>0.52986148920898402</v>
      </c>
    </row>
    <row r="541" spans="1:10">
      <c r="A541">
        <v>538</v>
      </c>
      <c r="B541">
        <v>0.56950590533158363</v>
      </c>
      <c r="C541">
        <v>0.95529038361766416</v>
      </c>
      <c r="D541" s="1">
        <f t="shared" si="25"/>
        <v>0.17511637799966168</v>
      </c>
      <c r="E541" s="1">
        <f t="shared" si="26"/>
        <v>1.8735856219200975</v>
      </c>
      <c r="I541" s="1">
        <v>0.11890915262400092</v>
      </c>
      <c r="J541">
        <f t="shared" si="24"/>
        <v>0.53350417063815414</v>
      </c>
    </row>
    <row r="542" spans="1:10">
      <c r="A542">
        <v>539</v>
      </c>
      <c r="B542">
        <v>0.36582537308877833</v>
      </c>
      <c r="C542">
        <v>0.15970336008789332</v>
      </c>
      <c r="D542" s="1">
        <f t="shared" si="25"/>
        <v>-0.34293049956513755</v>
      </c>
      <c r="E542" s="1">
        <f t="shared" si="26"/>
        <v>-1.3386082990694379</v>
      </c>
      <c r="I542" s="1">
        <v>0.12029490475820581</v>
      </c>
      <c r="J542">
        <f t="shared" si="24"/>
        <v>0.53389368860954345</v>
      </c>
    </row>
    <row r="543" spans="1:10">
      <c r="A543">
        <v>540</v>
      </c>
      <c r="B543">
        <v>2.6551103244117557E-3</v>
      </c>
      <c r="C543">
        <v>0.29819635608996858</v>
      </c>
      <c r="D543" s="1">
        <f t="shared" si="25"/>
        <v>-2.7875869216741962</v>
      </c>
      <c r="E543" s="1">
        <f t="shared" si="26"/>
        <v>-3.317181993190645</v>
      </c>
      <c r="I543" s="1">
        <v>0.12191082214801041</v>
      </c>
      <c r="J543">
        <f t="shared" si="24"/>
        <v>0.53434786219157027</v>
      </c>
    </row>
    <row r="544" spans="1:10">
      <c r="A544">
        <v>541</v>
      </c>
      <c r="B544">
        <v>2.218695638904996E-2</v>
      </c>
      <c r="C544">
        <v>1.1627552110354931E-2</v>
      </c>
      <c r="D544" s="1">
        <f t="shared" si="25"/>
        <v>-2.0105414596871314</v>
      </c>
      <c r="E544" s="1">
        <f t="shared" si="26"/>
        <v>-4.2797589325544241</v>
      </c>
      <c r="I544" s="1">
        <v>0.12745219632951141</v>
      </c>
      <c r="J544">
        <f t="shared" si="24"/>
        <v>0.53590499064380526</v>
      </c>
    </row>
    <row r="545" spans="1:10">
      <c r="A545">
        <v>542</v>
      </c>
      <c r="B545">
        <v>0.65132602923673211</v>
      </c>
      <c r="C545">
        <v>0.83172093874935149</v>
      </c>
      <c r="D545" s="1">
        <f t="shared" si="25"/>
        <v>0.38890294772243156</v>
      </c>
      <c r="E545" s="1">
        <f t="shared" si="26"/>
        <v>1.3498911049109137</v>
      </c>
      <c r="I545" s="1">
        <v>0.13046291848342756</v>
      </c>
      <c r="J545">
        <f t="shared" si="24"/>
        <v>0.53675077584117725</v>
      </c>
    </row>
    <row r="546" spans="1:10">
      <c r="A546">
        <v>543</v>
      </c>
      <c r="B546">
        <v>0.76674703207495343</v>
      </c>
      <c r="C546">
        <v>0.94875942258980073</v>
      </c>
      <c r="D546" s="1">
        <f t="shared" si="25"/>
        <v>0.72817586852643856</v>
      </c>
      <c r="E546" s="1">
        <f t="shared" si="26"/>
        <v>2.3611180627605166</v>
      </c>
      <c r="I546" s="1">
        <v>0.13653260710404735</v>
      </c>
      <c r="J546">
        <f t="shared" si="24"/>
        <v>0.53845539038016066</v>
      </c>
    </row>
    <row r="547" spans="1:10">
      <c r="A547">
        <v>544</v>
      </c>
      <c r="B547">
        <v>0.71449934385204628</v>
      </c>
      <c r="C547">
        <v>0.99047822504348892</v>
      </c>
      <c r="D547" s="1">
        <f t="shared" si="25"/>
        <v>0.56657743067096378</v>
      </c>
      <c r="E547" s="1">
        <f t="shared" si="26"/>
        <v>2.9112548074399145</v>
      </c>
      <c r="I547" s="1">
        <v>0.14352938880630303</v>
      </c>
      <c r="J547">
        <f t="shared" si="24"/>
        <v>0.54041949206517126</v>
      </c>
    </row>
    <row r="548" spans="1:10">
      <c r="A548">
        <v>545</v>
      </c>
      <c r="B548">
        <v>0.5824762718588824</v>
      </c>
      <c r="C548">
        <v>0.81347087008270513</v>
      </c>
      <c r="D548" s="1">
        <f t="shared" si="25"/>
        <v>0.20823247069848042</v>
      </c>
      <c r="E548" s="1">
        <f t="shared" si="26"/>
        <v>1.0989918717547302</v>
      </c>
      <c r="I548" s="1">
        <v>0.14497770495349083</v>
      </c>
      <c r="J548">
        <f t="shared" si="24"/>
        <v>0.54082593455584838</v>
      </c>
    </row>
    <row r="549" spans="1:10">
      <c r="A549">
        <v>546</v>
      </c>
      <c r="B549">
        <v>0.56508072145756405</v>
      </c>
      <c r="C549">
        <v>0.62062440870387892</v>
      </c>
      <c r="D549" s="1">
        <f t="shared" si="25"/>
        <v>0.16386355631919003</v>
      </c>
      <c r="E549" s="1">
        <f t="shared" si="26"/>
        <v>0.47098467635429841</v>
      </c>
      <c r="I549" s="1">
        <v>0.1516632052284709</v>
      </c>
      <c r="J549">
        <f t="shared" si="24"/>
        <v>0.54270153390166476</v>
      </c>
    </row>
    <row r="550" spans="1:10">
      <c r="A550">
        <v>547</v>
      </c>
      <c r="B550">
        <v>0.19696646015808589</v>
      </c>
      <c r="C550">
        <v>0.50886562700277715</v>
      </c>
      <c r="D550" s="1">
        <f t="shared" si="25"/>
        <v>-0.85250670292953667</v>
      </c>
      <c r="E550" s="1">
        <f t="shared" si="26"/>
        <v>-0.8302820421559296</v>
      </c>
      <c r="I550" s="1">
        <v>0.15284684234919829</v>
      </c>
      <c r="J550">
        <f t="shared" si="24"/>
        <v>0.5430335022845787</v>
      </c>
    </row>
    <row r="551" spans="1:10">
      <c r="A551">
        <v>548</v>
      </c>
      <c r="B551">
        <v>4.4068727683339949E-2</v>
      </c>
      <c r="C551">
        <v>3.0518509475997192E-4</v>
      </c>
      <c r="D551" s="1">
        <f t="shared" si="25"/>
        <v>-1.7053055375109041</v>
      </c>
      <c r="E551" s="1">
        <f t="shared" si="26"/>
        <v>-5.1322694458204969</v>
      </c>
      <c r="I551" s="1">
        <v>0.15300204831388375</v>
      </c>
      <c r="J551">
        <f t="shared" si="24"/>
        <v>0.54307702985080697</v>
      </c>
    </row>
    <row r="552" spans="1:10">
      <c r="A552">
        <v>549</v>
      </c>
      <c r="B552">
        <v>0.32847071749015777</v>
      </c>
      <c r="C552">
        <v>0.3010040589617603</v>
      </c>
      <c r="D552" s="1">
        <f t="shared" si="25"/>
        <v>-0.44413990790923819</v>
      </c>
      <c r="E552" s="1">
        <f t="shared" si="26"/>
        <v>-0.96565482331127117</v>
      </c>
      <c r="I552" s="1">
        <v>0.15469771987019798</v>
      </c>
      <c r="J552">
        <f t="shared" si="24"/>
        <v>0.54355254774344408</v>
      </c>
    </row>
    <row r="553" spans="1:10">
      <c r="A553">
        <v>550</v>
      </c>
      <c r="B553">
        <v>0.33548997466963715</v>
      </c>
      <c r="C553">
        <v>0.8427381206701865</v>
      </c>
      <c r="D553" s="1">
        <f t="shared" si="25"/>
        <v>-0.42480346802181679</v>
      </c>
      <c r="E553" s="1">
        <f t="shared" si="26"/>
        <v>0.58097165078847934</v>
      </c>
      <c r="I553" s="1">
        <v>0.16664036494235257</v>
      </c>
      <c r="J553">
        <f t="shared" si="24"/>
        <v>0.5468998238813827</v>
      </c>
    </row>
    <row r="554" spans="1:10">
      <c r="A554">
        <v>551</v>
      </c>
      <c r="B554">
        <v>0.22150334177678763</v>
      </c>
      <c r="C554">
        <v>7.904293954283273E-2</v>
      </c>
      <c r="D554" s="1">
        <f t="shared" si="25"/>
        <v>-0.76712586744940359</v>
      </c>
      <c r="E554" s="1">
        <f t="shared" si="26"/>
        <v>-2.1786644105612054</v>
      </c>
      <c r="I554" s="1">
        <v>0.17735605511698607</v>
      </c>
      <c r="J554">
        <f t="shared" si="24"/>
        <v>0.54990038320497192</v>
      </c>
    </row>
    <row r="555" spans="1:10">
      <c r="A555">
        <v>552</v>
      </c>
      <c r="B555">
        <v>0.87902462843714713</v>
      </c>
      <c r="C555">
        <v>0.70705282753990295</v>
      </c>
      <c r="D555" s="1">
        <f t="shared" si="25"/>
        <v>1.1701248161113313</v>
      </c>
      <c r="E555" s="1">
        <f t="shared" si="26"/>
        <v>1.7149200676018366</v>
      </c>
      <c r="I555" s="1">
        <v>0.17892232039846634</v>
      </c>
      <c r="J555">
        <f t="shared" si="24"/>
        <v>0.55033872707623466</v>
      </c>
    </row>
    <row r="556" spans="1:10">
      <c r="A556">
        <v>553</v>
      </c>
      <c r="B556">
        <v>0.35001678518021179</v>
      </c>
      <c r="C556">
        <v>0.54802087466048155</v>
      </c>
      <c r="D556" s="1">
        <f t="shared" si="25"/>
        <v>-0.38527515032012205</v>
      </c>
      <c r="E556" s="1">
        <f t="shared" si="26"/>
        <v>-0.26461250905205064</v>
      </c>
      <c r="I556" s="1">
        <v>0.18087392720192463</v>
      </c>
      <c r="J556">
        <f t="shared" si="24"/>
        <v>0.55088482880714684</v>
      </c>
    </row>
    <row r="557" spans="1:10">
      <c r="A557">
        <v>554</v>
      </c>
      <c r="B557">
        <v>0.93609424115726192</v>
      </c>
      <c r="C557">
        <v>0.14282662434766685</v>
      </c>
      <c r="D557" s="1">
        <f t="shared" si="25"/>
        <v>1.5227889408393043</v>
      </c>
      <c r="E557" s="1">
        <f t="shared" si="26"/>
        <v>0.45508315714210323</v>
      </c>
      <c r="I557" s="1">
        <v>0.18167376531664003</v>
      </c>
      <c r="J557">
        <f t="shared" si="24"/>
        <v>0.55110861299987857</v>
      </c>
    </row>
    <row r="558" spans="1:10">
      <c r="A558">
        <v>555</v>
      </c>
      <c r="B558">
        <v>0.69191564683980833</v>
      </c>
      <c r="C558">
        <v>0.62788781395916626</v>
      </c>
      <c r="D558" s="1">
        <f t="shared" si="25"/>
        <v>0.50128763486950101</v>
      </c>
      <c r="E558" s="1">
        <f t="shared" si="26"/>
        <v>0.8275519666474207</v>
      </c>
      <c r="I558" s="1">
        <v>0.18789109468213316</v>
      </c>
      <c r="J558">
        <f t="shared" si="24"/>
        <v>0.55284758024621639</v>
      </c>
    </row>
    <row r="559" spans="1:10">
      <c r="A559">
        <v>556</v>
      </c>
      <c r="B559">
        <v>0.8486281929990539</v>
      </c>
      <c r="C559">
        <v>0.9965514084292123</v>
      </c>
      <c r="D559" s="1">
        <f t="shared" si="25"/>
        <v>1.0305676477356969</v>
      </c>
      <c r="E559" s="1">
        <f t="shared" si="26"/>
        <v>3.7323358342204003</v>
      </c>
      <c r="I559" s="1">
        <v>0.19058529073603114</v>
      </c>
      <c r="J559">
        <f t="shared" si="24"/>
        <v>0.55360082490207185</v>
      </c>
    </row>
    <row r="560" spans="1:10">
      <c r="A560">
        <v>557</v>
      </c>
      <c r="B560">
        <v>0.70680867946409498</v>
      </c>
      <c r="C560">
        <v>2.2217474898525956E-2</v>
      </c>
      <c r="D560" s="1">
        <f t="shared" si="25"/>
        <v>0.5440854955838863</v>
      </c>
      <c r="E560" s="1">
        <f t="shared" si="26"/>
        <v>-1.4658789709810445</v>
      </c>
      <c r="I560" s="1">
        <v>0.19564473209844779</v>
      </c>
      <c r="J560">
        <f t="shared" si="24"/>
        <v>0.55501482137882097</v>
      </c>
    </row>
    <row r="561" spans="1:10">
      <c r="A561">
        <v>558</v>
      </c>
      <c r="B561">
        <v>0.84429456465346231</v>
      </c>
      <c r="C561">
        <v>0.24097415082247384</v>
      </c>
      <c r="D561" s="1">
        <f t="shared" si="25"/>
        <v>1.0122660336640399</v>
      </c>
      <c r="E561" s="1">
        <f t="shared" si="26"/>
        <v>0.30909360874413994</v>
      </c>
      <c r="I561" s="1">
        <v>0.20141510604619495</v>
      </c>
      <c r="J561">
        <f t="shared" si="24"/>
        <v>0.55662665197878392</v>
      </c>
    </row>
    <row r="562" spans="1:10">
      <c r="A562">
        <v>559</v>
      </c>
      <c r="B562">
        <v>0.70552690206610313</v>
      </c>
      <c r="C562">
        <v>0.12448500015259255</v>
      </c>
      <c r="D562" s="1">
        <f t="shared" si="25"/>
        <v>0.54036375885942711</v>
      </c>
      <c r="E562" s="1">
        <f t="shared" si="26"/>
        <v>-0.61249100908847021</v>
      </c>
      <c r="I562" s="1">
        <v>0.20195832255451895</v>
      </c>
      <c r="J562">
        <f t="shared" si="24"/>
        <v>0.55677834008113369</v>
      </c>
    </row>
    <row r="563" spans="1:10">
      <c r="A563">
        <v>560</v>
      </c>
      <c r="B563">
        <v>0.57170323801385536</v>
      </c>
      <c r="C563">
        <v>7.2908719138157288E-2</v>
      </c>
      <c r="D563" s="1">
        <f t="shared" si="25"/>
        <v>0.18071214683269118</v>
      </c>
      <c r="E563" s="1">
        <f t="shared" si="26"/>
        <v>-1.2737528243293492</v>
      </c>
      <c r="I563" s="1">
        <v>0.20327843315904168</v>
      </c>
      <c r="J563">
        <f t="shared" si="24"/>
        <v>0.55714693383243352</v>
      </c>
    </row>
    <row r="564" spans="1:10">
      <c r="A564">
        <v>561</v>
      </c>
      <c r="B564">
        <v>0.31052583391827143</v>
      </c>
      <c r="C564">
        <v>0.27576525162511062</v>
      </c>
      <c r="D564" s="1">
        <f t="shared" si="25"/>
        <v>-0.49436041098328543</v>
      </c>
      <c r="E564" s="1">
        <f t="shared" si="26"/>
        <v>-1.0898286801608701</v>
      </c>
      <c r="I564" s="1">
        <v>0.20386038828054498</v>
      </c>
      <c r="J564">
        <f t="shared" si="24"/>
        <v>0.55730940833420783</v>
      </c>
    </row>
    <row r="565" spans="1:10">
      <c r="A565">
        <v>562</v>
      </c>
      <c r="B565">
        <v>0.52079836420789205</v>
      </c>
      <c r="C565">
        <v>0.48731955931272319</v>
      </c>
      <c r="D565" s="1">
        <f t="shared" si="25"/>
        <v>5.2157406267649371E-2</v>
      </c>
      <c r="E565" s="1">
        <f t="shared" si="26"/>
        <v>2.0366901145168072E-2</v>
      </c>
      <c r="I565" s="1">
        <v>0.20423213773845977</v>
      </c>
      <c r="J565">
        <f t="shared" si="24"/>
        <v>0.55741319103330489</v>
      </c>
    </row>
    <row r="566" spans="1:10">
      <c r="A566">
        <v>563</v>
      </c>
      <c r="B566">
        <v>0.79287087618640706</v>
      </c>
      <c r="C566">
        <v>0.99945066682943207</v>
      </c>
      <c r="D566" s="1">
        <f t="shared" si="25"/>
        <v>0.81642299786174366</v>
      </c>
      <c r="E566" s="1">
        <f t="shared" si="26"/>
        <v>4.0803831040707914</v>
      </c>
      <c r="I566" s="1">
        <v>0.20588945358786209</v>
      </c>
      <c r="J566">
        <f t="shared" si="24"/>
        <v>0.55787582212231401</v>
      </c>
    </row>
    <row r="567" spans="1:10">
      <c r="A567">
        <v>564</v>
      </c>
      <c r="B567">
        <v>0.21860408337656789</v>
      </c>
      <c r="C567">
        <v>0.70195623645741145</v>
      </c>
      <c r="D567" s="1">
        <f t="shared" si="25"/>
        <v>-0.77691627803805363</v>
      </c>
      <c r="E567" s="1">
        <f t="shared" si="26"/>
        <v>-0.24688108016599419</v>
      </c>
      <c r="I567" s="1">
        <v>0.21368941911423933</v>
      </c>
      <c r="J567">
        <f t="shared" si="24"/>
        <v>0.56005207176738603</v>
      </c>
    </row>
    <row r="568" spans="1:10">
      <c r="A568">
        <v>565</v>
      </c>
      <c r="B568">
        <v>0.86349070711386455</v>
      </c>
      <c r="C568">
        <v>0.34003723258156071</v>
      </c>
      <c r="D568" s="1">
        <f t="shared" si="25"/>
        <v>1.09613754613506</v>
      </c>
      <c r="E568" s="1">
        <f t="shared" si="26"/>
        <v>0.68377602900699741</v>
      </c>
      <c r="I568" s="1">
        <v>0.21541184220565091</v>
      </c>
      <c r="J568">
        <f t="shared" si="24"/>
        <v>0.56053239879302974</v>
      </c>
    </row>
    <row r="569" spans="1:10">
      <c r="A569">
        <v>566</v>
      </c>
      <c r="B569">
        <v>0.71864986114078189</v>
      </c>
      <c r="C569">
        <v>0.30167546617023222</v>
      </c>
      <c r="D569" s="1">
        <f t="shared" si="25"/>
        <v>0.57883534773171075</v>
      </c>
      <c r="E569" s="1">
        <f t="shared" si="26"/>
        <v>5.9247589667286937E-2</v>
      </c>
      <c r="I569" s="1">
        <v>0.2237549526287822</v>
      </c>
      <c r="J569">
        <f t="shared" si="24"/>
        <v>0.5628577436264024</v>
      </c>
    </row>
    <row r="570" spans="1:10">
      <c r="A570">
        <v>567</v>
      </c>
      <c r="B570">
        <v>0.61534470656453144</v>
      </c>
      <c r="C570">
        <v>0.9506820886867885</v>
      </c>
      <c r="D570" s="1">
        <f t="shared" si="25"/>
        <v>0.29327679795927597</v>
      </c>
      <c r="E570" s="1">
        <f t="shared" si="26"/>
        <v>1.9447802197595521</v>
      </c>
      <c r="I570" s="1">
        <v>0.22628593062052871</v>
      </c>
      <c r="J570">
        <f t="shared" si="24"/>
        <v>0.5635627383099252</v>
      </c>
    </row>
    <row r="571" spans="1:10">
      <c r="A571">
        <v>568</v>
      </c>
      <c r="B571">
        <v>0.54414502395702991</v>
      </c>
      <c r="C571">
        <v>0.41709646900845365</v>
      </c>
      <c r="D571" s="1">
        <f t="shared" si="25"/>
        <v>0.11088195889902122</v>
      </c>
      <c r="E571" s="1">
        <f t="shared" si="26"/>
        <v>-9.8445089353216525E-2</v>
      </c>
      <c r="I571" s="1">
        <v>0.22698905357711685</v>
      </c>
      <c r="J571">
        <f t="shared" si="24"/>
        <v>0.5637585549100399</v>
      </c>
    </row>
    <row r="572" spans="1:10">
      <c r="A572">
        <v>569</v>
      </c>
      <c r="B572">
        <v>0.38502151554918057</v>
      </c>
      <c r="C572">
        <v>0.23233741264076663</v>
      </c>
      <c r="D572" s="1">
        <f t="shared" si="25"/>
        <v>-0.29231861011983612</v>
      </c>
      <c r="E572" s="1">
        <f t="shared" si="26"/>
        <v>-1.023489423355711</v>
      </c>
      <c r="I572" s="1">
        <v>0.23900907525919179</v>
      </c>
      <c r="J572">
        <f t="shared" si="24"/>
        <v>0.56710362129743497</v>
      </c>
    </row>
    <row r="573" spans="1:10">
      <c r="A573">
        <v>570</v>
      </c>
      <c r="B573">
        <v>2.8748435926389357E-2</v>
      </c>
      <c r="C573">
        <v>0.27924436170537431</v>
      </c>
      <c r="D573" s="1">
        <f t="shared" si="25"/>
        <v>-1.8995144248429221</v>
      </c>
      <c r="E573" s="1">
        <f t="shared" si="26"/>
        <v>-2.4846021627724277</v>
      </c>
      <c r="I573" s="1">
        <v>0.24664813519299389</v>
      </c>
      <c r="J573">
        <f t="shared" si="24"/>
        <v>0.56922702392289892</v>
      </c>
    </row>
    <row r="574" spans="1:10">
      <c r="A574">
        <v>571</v>
      </c>
      <c r="B574">
        <v>0.95336771752067628</v>
      </c>
      <c r="C574">
        <v>0.75194555497909477</v>
      </c>
      <c r="D574" s="1">
        <f t="shared" si="25"/>
        <v>1.6784229268368478</v>
      </c>
      <c r="E574" s="1">
        <f t="shared" si="26"/>
        <v>2.3590477907044369</v>
      </c>
      <c r="I574" s="1">
        <v>0.25626766209851404</v>
      </c>
      <c r="J574">
        <f t="shared" si="24"/>
        <v>0.57189807839067153</v>
      </c>
    </row>
    <row r="575" spans="1:10">
      <c r="A575">
        <v>572</v>
      </c>
      <c r="B575">
        <v>4.7273171178319653E-2</v>
      </c>
      <c r="C575">
        <v>0.71987060151982174</v>
      </c>
      <c r="D575" s="1">
        <f t="shared" si="25"/>
        <v>-1.6718883405055747</v>
      </c>
      <c r="E575" s="1">
        <f t="shared" si="26"/>
        <v>-1.0894311915741124</v>
      </c>
      <c r="I575" s="1">
        <v>0.2564182804916153</v>
      </c>
      <c r="J575">
        <f t="shared" si="24"/>
        <v>0.57193987475618779</v>
      </c>
    </row>
    <row r="576" spans="1:10">
      <c r="A576">
        <v>573</v>
      </c>
      <c r="B576">
        <v>0.35715811639759515</v>
      </c>
      <c r="C576">
        <v>0.47987304300057987</v>
      </c>
      <c r="D576" s="1">
        <f t="shared" si="25"/>
        <v>-0.3660654566327643</v>
      </c>
      <c r="E576" s="1">
        <f t="shared" si="26"/>
        <v>-0.41653767714514828</v>
      </c>
      <c r="I576" s="1">
        <v>0.26757134438564778</v>
      </c>
      <c r="J576">
        <f t="shared" si="24"/>
        <v>0.57503255869466274</v>
      </c>
    </row>
    <row r="577" spans="1:10">
      <c r="A577">
        <v>574</v>
      </c>
      <c r="B577">
        <v>0.56807153538621169</v>
      </c>
      <c r="C577">
        <v>0.24317148350474563</v>
      </c>
      <c r="D577" s="1">
        <f t="shared" si="25"/>
        <v>0.171466551150906</v>
      </c>
      <c r="E577" s="1">
        <f t="shared" si="26"/>
        <v>-0.52467056070085316</v>
      </c>
      <c r="I577" s="1">
        <v>0.27202673593645343</v>
      </c>
      <c r="J577">
        <f t="shared" si="24"/>
        <v>0.57626673593356426</v>
      </c>
    </row>
    <row r="578" spans="1:10">
      <c r="A578">
        <v>575</v>
      </c>
      <c r="B578">
        <v>0.26715903195287943</v>
      </c>
      <c r="C578">
        <v>0.21915341654713583</v>
      </c>
      <c r="D578" s="1">
        <f t="shared" si="25"/>
        <v>-0.621427984831041</v>
      </c>
      <c r="E578" s="1">
        <f t="shared" si="26"/>
        <v>-1.3964835391502954</v>
      </c>
      <c r="I578" s="1">
        <v>0.27903549038957237</v>
      </c>
      <c r="J578">
        <f t="shared" si="24"/>
        <v>0.57820669630779997</v>
      </c>
    </row>
    <row r="579" spans="1:10">
      <c r="A579">
        <v>576</v>
      </c>
      <c r="B579">
        <v>0.41422772911770989</v>
      </c>
      <c r="C579">
        <v>0.80550553910946987</v>
      </c>
      <c r="D579" s="1">
        <f t="shared" si="25"/>
        <v>-0.21668292181418625</v>
      </c>
      <c r="E579" s="1">
        <f t="shared" si="26"/>
        <v>0.64476948712520699</v>
      </c>
      <c r="I579" s="1">
        <v>0.28009826350831185</v>
      </c>
      <c r="J579">
        <f t="shared" si="24"/>
        <v>0.57850069795349635</v>
      </c>
    </row>
    <row r="580" spans="1:10">
      <c r="A580">
        <v>577</v>
      </c>
      <c r="B580">
        <v>2.0599993896298106E-2</v>
      </c>
      <c r="C580">
        <v>6.7537461470381782E-2</v>
      </c>
      <c r="D580" s="1">
        <f t="shared" si="25"/>
        <v>-2.0415117436607773</v>
      </c>
      <c r="E580" s="1">
        <f t="shared" si="26"/>
        <v>-3.5358971147153175</v>
      </c>
      <c r="I580" s="1">
        <v>0.28268193059330471</v>
      </c>
      <c r="J580">
        <f t="shared" ref="J580:J643" si="27">_xlfn.NORM.DIST(I580,$J$1,$J$2,TRUE)</f>
        <v>0.57921525130607954</v>
      </c>
    </row>
    <row r="581" spans="1:10">
      <c r="A581">
        <v>578</v>
      </c>
      <c r="B581">
        <v>0.2164372692037721</v>
      </c>
      <c r="C581">
        <v>2.6245918149357585E-2</v>
      </c>
      <c r="D581" s="1">
        <f t="shared" ref="D581:D644" si="28">_xlfn.NORM.INV(B581, 0, 1)</f>
        <v>-0.78428220549916972</v>
      </c>
      <c r="E581" s="1">
        <f t="shared" ref="E581:E644" si="29">_xlfn.NORM.INV(C581,D581,1)</f>
        <v>-2.7233602450011971</v>
      </c>
      <c r="I581" s="1">
        <v>0.28434707471330367</v>
      </c>
      <c r="J581">
        <f t="shared" si="27"/>
        <v>0.57967563472421912</v>
      </c>
    </row>
    <row r="582" spans="1:10">
      <c r="A582">
        <v>579</v>
      </c>
      <c r="B582">
        <v>0.61098055970946374</v>
      </c>
      <c r="C582">
        <v>0.99136326181829282</v>
      </c>
      <c r="D582" s="1">
        <f t="shared" si="28"/>
        <v>0.28187562479835321</v>
      </c>
      <c r="E582" s="1">
        <f t="shared" si="29"/>
        <v>2.6627099999496719</v>
      </c>
      <c r="I582" s="1">
        <v>0.28752645435925828</v>
      </c>
      <c r="J582">
        <f t="shared" si="27"/>
        <v>0.58055437475040483</v>
      </c>
    </row>
    <row r="583" spans="1:10">
      <c r="A583">
        <v>580</v>
      </c>
      <c r="B583">
        <v>0.90087588122196116</v>
      </c>
      <c r="C583">
        <v>0.84548478652302617</v>
      </c>
      <c r="D583" s="1">
        <f t="shared" si="28"/>
        <v>1.2865584391599718</v>
      </c>
      <c r="E583" s="1">
        <f t="shared" si="29"/>
        <v>2.30381703637486</v>
      </c>
      <c r="I583" s="1">
        <v>0.2909210349171551</v>
      </c>
      <c r="J583">
        <f t="shared" si="27"/>
        <v>0.58149215020997025</v>
      </c>
    </row>
    <row r="584" spans="1:10">
      <c r="A584">
        <v>581</v>
      </c>
      <c r="B584">
        <v>0.85247352519302955</v>
      </c>
      <c r="C584">
        <v>0.71608630634479808</v>
      </c>
      <c r="D584" s="1">
        <f t="shared" si="28"/>
        <v>1.0471011052829535</v>
      </c>
      <c r="E584" s="1">
        <f t="shared" si="29"/>
        <v>1.6183552397307501</v>
      </c>
      <c r="I584" s="1">
        <v>0.29862665839283298</v>
      </c>
      <c r="J584">
        <f t="shared" si="27"/>
        <v>0.58361915368906658</v>
      </c>
    </row>
    <row r="585" spans="1:10">
      <c r="A585">
        <v>582</v>
      </c>
      <c r="B585">
        <v>0.30872524185918759</v>
      </c>
      <c r="C585">
        <v>0.26181829279457991</v>
      </c>
      <c r="D585" s="1">
        <f t="shared" si="28"/>
        <v>-0.49946692243214136</v>
      </c>
      <c r="E585" s="1">
        <f t="shared" si="29"/>
        <v>-1.1372166865964142</v>
      </c>
      <c r="I585" s="1">
        <v>0.29950850415258934</v>
      </c>
      <c r="J585">
        <f t="shared" si="27"/>
        <v>0.58386241705616371</v>
      </c>
    </row>
    <row r="586" spans="1:10">
      <c r="A586">
        <v>583</v>
      </c>
      <c r="B586">
        <v>0.18189031647694326</v>
      </c>
      <c r="C586">
        <v>0.28211310159611802</v>
      </c>
      <c r="D586" s="1">
        <f t="shared" si="28"/>
        <v>-0.90818472513090587</v>
      </c>
      <c r="E586" s="1">
        <f t="shared" si="29"/>
        <v>-1.4847602998114242</v>
      </c>
      <c r="I586" s="1">
        <v>0.30437413188324591</v>
      </c>
      <c r="J586">
        <f t="shared" si="27"/>
        <v>0.58520405471758918</v>
      </c>
    </row>
    <row r="587" spans="1:10">
      <c r="A587">
        <v>584</v>
      </c>
      <c r="B587">
        <v>0.81078524124881746</v>
      </c>
      <c r="C587">
        <v>0.35746330149235511</v>
      </c>
      <c r="D587" s="1">
        <f t="shared" si="28"/>
        <v>0.88079364966241469</v>
      </c>
      <c r="E587" s="1">
        <f t="shared" si="29"/>
        <v>0.51554606790678703</v>
      </c>
      <c r="I587" s="1">
        <v>0.30619370794194356</v>
      </c>
      <c r="J587">
        <f t="shared" si="27"/>
        <v>0.58570552636035522</v>
      </c>
    </row>
    <row r="588" spans="1:10">
      <c r="A588">
        <v>585</v>
      </c>
      <c r="B588">
        <v>0.75673696096682641</v>
      </c>
      <c r="C588">
        <v>0.89614551225318151</v>
      </c>
      <c r="D588" s="1">
        <f t="shared" si="28"/>
        <v>0.69584472262887354</v>
      </c>
      <c r="E588" s="1">
        <f t="shared" si="29"/>
        <v>1.955734919847226</v>
      </c>
      <c r="I588" s="1">
        <v>0.30909360874413994</v>
      </c>
      <c r="J588">
        <f t="shared" si="27"/>
        <v>0.58650444440151239</v>
      </c>
    </row>
    <row r="589" spans="1:10">
      <c r="A589">
        <v>586</v>
      </c>
      <c r="B589">
        <v>0.18808557390057071</v>
      </c>
      <c r="C589">
        <v>0.96609393597216708</v>
      </c>
      <c r="D589" s="1">
        <f t="shared" si="28"/>
        <v>-0.88497308526972851</v>
      </c>
      <c r="E589" s="1">
        <f t="shared" si="29"/>
        <v>0.94128013537400268</v>
      </c>
      <c r="I589" s="1">
        <v>0.32463691275478723</v>
      </c>
      <c r="J589">
        <f t="shared" si="27"/>
        <v>0.5907804193446291</v>
      </c>
    </row>
    <row r="590" spans="1:10">
      <c r="A590">
        <v>587</v>
      </c>
      <c r="B590">
        <v>0.28492080446790979</v>
      </c>
      <c r="C590">
        <v>0.25836970122379221</v>
      </c>
      <c r="D590" s="1">
        <f t="shared" si="28"/>
        <v>-0.56828478451832853</v>
      </c>
      <c r="E590" s="1">
        <f t="shared" si="29"/>
        <v>-1.2166644756689935</v>
      </c>
      <c r="I590" s="1">
        <v>0.32546664740829345</v>
      </c>
      <c r="J590">
        <f t="shared" si="27"/>
        <v>0.59100838139129419</v>
      </c>
    </row>
    <row r="591" spans="1:10">
      <c r="A591">
        <v>588</v>
      </c>
      <c r="B591">
        <v>0.72551652577288128</v>
      </c>
      <c r="C591">
        <v>0.69499801629688407</v>
      </c>
      <c r="D591" s="1">
        <f t="shared" si="28"/>
        <v>0.59930884834640774</v>
      </c>
      <c r="E591" s="1">
        <f t="shared" si="29"/>
        <v>1.1093766421104174</v>
      </c>
      <c r="I591" s="1">
        <v>0.32571051904917853</v>
      </c>
      <c r="J591">
        <f t="shared" si="27"/>
        <v>0.59107537705650071</v>
      </c>
    </row>
    <row r="592" spans="1:10">
      <c r="A592">
        <v>589</v>
      </c>
      <c r="B592">
        <v>0.99905392620624411</v>
      </c>
      <c r="C592">
        <v>0.48527481917783133</v>
      </c>
      <c r="D592" s="1">
        <f t="shared" si="28"/>
        <v>3.1066586321395202</v>
      </c>
      <c r="E592" s="1">
        <f t="shared" si="29"/>
        <v>3.0697396924536795</v>
      </c>
      <c r="I592" s="1">
        <v>0.32910647322524067</v>
      </c>
      <c r="J592">
        <f t="shared" si="27"/>
        <v>0.59200802577470735</v>
      </c>
    </row>
    <row r="593" spans="1:10">
      <c r="A593">
        <v>590</v>
      </c>
      <c r="B593">
        <v>0.52690206610309154</v>
      </c>
      <c r="C593">
        <v>0.1923581652272103</v>
      </c>
      <c r="D593" s="1">
        <f t="shared" si="28"/>
        <v>6.7484667458208678E-2</v>
      </c>
      <c r="E593" s="1">
        <f t="shared" si="29"/>
        <v>-0.80175449609133886</v>
      </c>
      <c r="I593" s="1">
        <v>0.3304820582581629</v>
      </c>
      <c r="J593">
        <f t="shared" si="27"/>
        <v>0.5923856619273471</v>
      </c>
    </row>
    <row r="594" spans="1:10">
      <c r="A594">
        <v>591</v>
      </c>
      <c r="B594">
        <v>0.99523911252174446</v>
      </c>
      <c r="C594">
        <v>0.20181890316476944</v>
      </c>
      <c r="D594" s="1">
        <f t="shared" si="28"/>
        <v>2.5927290627479858</v>
      </c>
      <c r="E594" s="1">
        <f t="shared" si="29"/>
        <v>1.7575871425872702</v>
      </c>
      <c r="I594" s="1">
        <v>0.33643987135385867</v>
      </c>
      <c r="J594">
        <f t="shared" si="27"/>
        <v>0.59402025127267777</v>
      </c>
    </row>
    <row r="595" spans="1:10">
      <c r="A595">
        <v>592</v>
      </c>
      <c r="B595">
        <v>0.6428724021118809</v>
      </c>
      <c r="C595">
        <v>0.18698690755943478</v>
      </c>
      <c r="D595" s="1">
        <f t="shared" si="28"/>
        <v>0.36614725758081579</v>
      </c>
      <c r="E595" s="1">
        <f t="shared" si="29"/>
        <v>-0.52290719648773032</v>
      </c>
      <c r="I595" s="1">
        <v>0.33791315864004989</v>
      </c>
      <c r="J595">
        <f t="shared" si="27"/>
        <v>0.59442421183916727</v>
      </c>
    </row>
    <row r="596" spans="1:10">
      <c r="A596">
        <v>593</v>
      </c>
      <c r="B596">
        <v>0.41663869136631365</v>
      </c>
      <c r="C596">
        <v>0.4736167485580004</v>
      </c>
      <c r="D596" s="1">
        <f t="shared" si="28"/>
        <v>-0.21050008832394651</v>
      </c>
      <c r="E596" s="1">
        <f t="shared" si="29"/>
        <v>-0.27668137256362274</v>
      </c>
      <c r="I596" s="1">
        <v>0.33955868630385899</v>
      </c>
      <c r="J596">
        <f t="shared" si="27"/>
        <v>0.59487528010660273</v>
      </c>
    </row>
    <row r="597" spans="1:10">
      <c r="A597">
        <v>594</v>
      </c>
      <c r="B597">
        <v>0.82155827509384438</v>
      </c>
      <c r="C597">
        <v>0.53923154393139439</v>
      </c>
      <c r="D597" s="1">
        <f t="shared" si="28"/>
        <v>0.92131987058960318</v>
      </c>
      <c r="E597" s="1">
        <f t="shared" si="29"/>
        <v>1.0198178049367295</v>
      </c>
      <c r="I597" s="1">
        <v>0.34066367688562438</v>
      </c>
      <c r="J597">
        <f t="shared" si="27"/>
        <v>0.59517810691093365</v>
      </c>
    </row>
    <row r="598" spans="1:10">
      <c r="A598">
        <v>595</v>
      </c>
      <c r="B598">
        <v>0.29877620777001251</v>
      </c>
      <c r="C598">
        <v>0.11041596728415784</v>
      </c>
      <c r="D598" s="1">
        <f t="shared" si="28"/>
        <v>-0.5279235256232786</v>
      </c>
      <c r="E598" s="1">
        <f t="shared" si="29"/>
        <v>-1.7522424661594687</v>
      </c>
      <c r="I598" s="1">
        <v>0.34174411640827085</v>
      </c>
      <c r="J598">
        <f t="shared" si="27"/>
        <v>0.59547415030098227</v>
      </c>
    </row>
    <row r="599" spans="1:10">
      <c r="A599">
        <v>596</v>
      </c>
      <c r="B599">
        <v>0.67955565050202948</v>
      </c>
      <c r="C599">
        <v>0.95944090090639977</v>
      </c>
      <c r="D599" s="1">
        <f t="shared" si="28"/>
        <v>0.46645660966733349</v>
      </c>
      <c r="E599" s="1">
        <f t="shared" si="29"/>
        <v>2.2106911645933272</v>
      </c>
      <c r="I599" s="1">
        <v>0.3469670702855836</v>
      </c>
      <c r="J599">
        <f t="shared" si="27"/>
        <v>0.59690448041551347</v>
      </c>
    </row>
    <row r="600" spans="1:10">
      <c r="A600">
        <v>597</v>
      </c>
      <c r="B600">
        <v>0.9353617969298379</v>
      </c>
      <c r="C600">
        <v>0.62459181493575855</v>
      </c>
      <c r="D600" s="1">
        <f t="shared" si="28"/>
        <v>1.5169614941896354</v>
      </c>
      <c r="E600" s="1">
        <f t="shared" si="29"/>
        <v>1.834524591603615</v>
      </c>
      <c r="I600" s="1">
        <v>0.3590280473289944</v>
      </c>
      <c r="J600">
        <f t="shared" si="27"/>
        <v>0.6002024546738175</v>
      </c>
    </row>
    <row r="601" spans="1:10">
      <c r="A601">
        <v>598</v>
      </c>
      <c r="B601">
        <v>0.96722312082277906</v>
      </c>
      <c r="C601">
        <v>0.79299295022431104</v>
      </c>
      <c r="D601" s="1">
        <f t="shared" si="28"/>
        <v>1.8414628602912424</v>
      </c>
      <c r="E601" s="1">
        <f t="shared" si="29"/>
        <v>2.6583129563213808</v>
      </c>
      <c r="I601" s="1">
        <v>0.36338181378238071</v>
      </c>
      <c r="J601">
        <f t="shared" si="27"/>
        <v>0.60139121566249942</v>
      </c>
    </row>
    <row r="602" spans="1:10">
      <c r="A602">
        <v>599</v>
      </c>
      <c r="B602">
        <v>0.99298074282052062</v>
      </c>
      <c r="C602">
        <v>0.89513840144047363</v>
      </c>
      <c r="D602" s="1">
        <f t="shared" si="28"/>
        <v>2.4562763789797737</v>
      </c>
      <c r="E602" s="1">
        <f t="shared" si="29"/>
        <v>3.7106033154084361</v>
      </c>
      <c r="I602" s="1">
        <v>0.36653160908760629</v>
      </c>
      <c r="J602">
        <f t="shared" si="27"/>
        <v>0.60225065657880472</v>
      </c>
    </row>
    <row r="603" spans="1:10">
      <c r="A603">
        <v>600</v>
      </c>
      <c r="B603">
        <v>0.49467452009643847</v>
      </c>
      <c r="C603">
        <v>0.9693594164860988</v>
      </c>
      <c r="D603" s="1">
        <f t="shared" si="28"/>
        <v>-1.3349394982799238E-2</v>
      </c>
      <c r="E603" s="1">
        <f t="shared" si="29"/>
        <v>1.8581119202905498</v>
      </c>
      <c r="I603" s="1">
        <v>0.36834357111803873</v>
      </c>
      <c r="J603">
        <f t="shared" si="27"/>
        <v>0.60274483703624915</v>
      </c>
    </row>
    <row r="604" spans="1:10">
      <c r="A604">
        <v>601</v>
      </c>
      <c r="B604">
        <v>0.92388683736686306</v>
      </c>
      <c r="C604">
        <v>0.49702444532609025</v>
      </c>
      <c r="D604" s="1">
        <f t="shared" si="28"/>
        <v>1.4317117745030192</v>
      </c>
      <c r="E604" s="1">
        <f t="shared" si="29"/>
        <v>1.424253095868536</v>
      </c>
      <c r="I604" s="1">
        <v>0.36912474701665865</v>
      </c>
      <c r="J604">
        <f t="shared" si="27"/>
        <v>0.6029578380641315</v>
      </c>
    </row>
    <row r="605" spans="1:10">
      <c r="A605">
        <v>602</v>
      </c>
      <c r="B605">
        <v>0.31897946104312264</v>
      </c>
      <c r="C605">
        <v>0.48658711508529923</v>
      </c>
      <c r="D605" s="1">
        <f t="shared" si="28"/>
        <v>-0.47055447792413946</v>
      </c>
      <c r="E605" s="1">
        <f t="shared" si="29"/>
        <v>-0.50418193110627874</v>
      </c>
      <c r="I605" s="1">
        <v>0.37155786017570991</v>
      </c>
      <c r="J605">
        <f t="shared" si="27"/>
        <v>0.60362107111839447</v>
      </c>
    </row>
    <row r="606" spans="1:10">
      <c r="A606">
        <v>603</v>
      </c>
      <c r="B606">
        <v>0.12802514725180822</v>
      </c>
      <c r="C606">
        <v>0.82873012482070374</v>
      </c>
      <c r="D606" s="1">
        <f t="shared" si="28"/>
        <v>-1.1357760701983821</v>
      </c>
      <c r="E606" s="1">
        <f t="shared" si="29"/>
        <v>-0.18661706962219304</v>
      </c>
      <c r="I606" s="1">
        <v>0.37305117556136752</v>
      </c>
      <c r="J606">
        <f t="shared" si="27"/>
        <v>0.60402797996160729</v>
      </c>
    </row>
    <row r="607" spans="1:10">
      <c r="A607">
        <v>604</v>
      </c>
      <c r="B607">
        <v>9.02432325205237E-2</v>
      </c>
      <c r="C607">
        <v>0.28351695303201391</v>
      </c>
      <c r="D607" s="1">
        <f t="shared" si="28"/>
        <v>-1.3392587114617993</v>
      </c>
      <c r="E607" s="1">
        <f t="shared" si="29"/>
        <v>-1.9116839726808925</v>
      </c>
      <c r="I607" s="1">
        <v>0.37835034902057874</v>
      </c>
      <c r="J607">
        <f t="shared" si="27"/>
        <v>0.60547101768874967</v>
      </c>
    </row>
    <row r="608" spans="1:10">
      <c r="A608">
        <v>605</v>
      </c>
      <c r="B608">
        <v>0.41776787621692557</v>
      </c>
      <c r="C608">
        <v>0.73491622669148837</v>
      </c>
      <c r="D608" s="1">
        <f t="shared" si="28"/>
        <v>-0.20760710988940806</v>
      </c>
      <c r="E608" s="1">
        <f t="shared" si="29"/>
        <v>0.42014316271818192</v>
      </c>
      <c r="I608" s="1">
        <v>0.38110026038860428</v>
      </c>
      <c r="J608">
        <f t="shared" si="27"/>
        <v>0.60621928768014133</v>
      </c>
    </row>
    <row r="609" spans="1:10">
      <c r="A609">
        <v>606</v>
      </c>
      <c r="B609">
        <v>0.14575640125736258</v>
      </c>
      <c r="C609">
        <v>0.65550706503494371</v>
      </c>
      <c r="D609" s="1">
        <f t="shared" si="28"/>
        <v>-1.0548087488153746</v>
      </c>
      <c r="E609" s="1">
        <f t="shared" si="29"/>
        <v>-0.65457705102085983</v>
      </c>
      <c r="I609" s="1">
        <v>0.38456839162898493</v>
      </c>
      <c r="J609">
        <f t="shared" si="27"/>
        <v>0.60716243103816603</v>
      </c>
    </row>
    <row r="610" spans="1:10">
      <c r="A610">
        <v>607</v>
      </c>
      <c r="B610">
        <v>0.27103488265633108</v>
      </c>
      <c r="C610">
        <v>0.40299691763054291</v>
      </c>
      <c r="D610" s="1">
        <f t="shared" si="28"/>
        <v>-0.60968609809098839</v>
      </c>
      <c r="E610" s="1">
        <f t="shared" si="29"/>
        <v>-0.85528358442874342</v>
      </c>
      <c r="I610" s="1">
        <v>0.38684606233745156</v>
      </c>
      <c r="J610">
        <f t="shared" si="27"/>
        <v>0.60778149205488963</v>
      </c>
    </row>
    <row r="611" spans="1:10">
      <c r="A611">
        <v>608</v>
      </c>
      <c r="B611">
        <v>0.14471877193517868</v>
      </c>
      <c r="C611">
        <v>0.13223670155949582</v>
      </c>
      <c r="D611" s="1">
        <f t="shared" si="28"/>
        <v>-1.0593562994988917</v>
      </c>
      <c r="E611" s="1">
        <f t="shared" si="29"/>
        <v>-2.1752365347607929</v>
      </c>
      <c r="I611" s="1">
        <v>0.39103157354864371</v>
      </c>
      <c r="J611">
        <f t="shared" si="27"/>
        <v>0.608918383843848</v>
      </c>
    </row>
    <row r="612" spans="1:10">
      <c r="A612">
        <v>609</v>
      </c>
      <c r="B612">
        <v>0.74352244636371956</v>
      </c>
      <c r="C612">
        <v>3.0732139042329173E-2</v>
      </c>
      <c r="D612" s="1">
        <f t="shared" si="28"/>
        <v>0.65424324069529105</v>
      </c>
      <c r="E612" s="1">
        <f t="shared" si="29"/>
        <v>-1.2158974867528389</v>
      </c>
      <c r="I612" s="1">
        <v>0.39303274910301589</v>
      </c>
      <c r="J612">
        <f t="shared" si="27"/>
        <v>0.60946162620609745</v>
      </c>
    </row>
    <row r="613" spans="1:10">
      <c r="A613">
        <v>610</v>
      </c>
      <c r="B613">
        <v>0.88271736808374279</v>
      </c>
      <c r="C613">
        <v>0.5721915341654713</v>
      </c>
      <c r="D613" s="1">
        <f t="shared" si="28"/>
        <v>1.1886808887654223</v>
      </c>
      <c r="E613" s="1">
        <f t="shared" si="29"/>
        <v>1.3706373024308127</v>
      </c>
      <c r="I613" s="1">
        <v>0.3944357593213067</v>
      </c>
      <c r="J613">
        <f t="shared" si="27"/>
        <v>0.60984236232588951</v>
      </c>
    </row>
    <row r="614" spans="1:10">
      <c r="A614">
        <v>611</v>
      </c>
      <c r="B614">
        <v>0.3729056672872097</v>
      </c>
      <c r="C614">
        <v>0.25019074068422498</v>
      </c>
      <c r="D614" s="1">
        <f t="shared" si="28"/>
        <v>-0.32416735642925992</v>
      </c>
      <c r="E614" s="1">
        <f t="shared" si="29"/>
        <v>-0.99805699286126837</v>
      </c>
      <c r="I614" s="1">
        <v>0.40436166705171872</v>
      </c>
      <c r="J614">
        <f t="shared" si="27"/>
        <v>0.61253293600908543</v>
      </c>
    </row>
    <row r="615" spans="1:10">
      <c r="A615">
        <v>612</v>
      </c>
      <c r="B615">
        <v>0.53608813745536665</v>
      </c>
      <c r="C615">
        <v>0.76970732749412518</v>
      </c>
      <c r="D615" s="1">
        <f t="shared" si="28"/>
        <v>9.0583270994578996E-2</v>
      </c>
      <c r="E615" s="1">
        <f t="shared" si="29"/>
        <v>0.82846660878625289</v>
      </c>
      <c r="I615" s="1">
        <v>0.40692997884167648</v>
      </c>
      <c r="J615">
        <f t="shared" si="27"/>
        <v>0.61322824385270569</v>
      </c>
    </row>
    <row r="616" spans="1:10">
      <c r="A616">
        <v>613</v>
      </c>
      <c r="B616">
        <v>0.57432782982879116</v>
      </c>
      <c r="C616">
        <v>0.66924039429914239</v>
      </c>
      <c r="D616" s="1">
        <f t="shared" si="28"/>
        <v>0.1874034212667802</v>
      </c>
      <c r="E616" s="1">
        <f t="shared" si="29"/>
        <v>0.62522005591420882</v>
      </c>
      <c r="I616" s="1">
        <v>0.40862735960402152</v>
      </c>
      <c r="J616">
        <f t="shared" si="27"/>
        <v>0.6136875691072079</v>
      </c>
    </row>
    <row r="617" spans="1:10">
      <c r="A617">
        <v>614</v>
      </c>
      <c r="B617">
        <v>8.8717307046723842E-2</v>
      </c>
      <c r="C617">
        <v>0.74044007690664393</v>
      </c>
      <c r="D617" s="1">
        <f t="shared" si="28"/>
        <v>-1.3486960521776048</v>
      </c>
      <c r="E617" s="1">
        <f t="shared" si="29"/>
        <v>-0.70399332117694624</v>
      </c>
      <c r="I617" s="1">
        <v>0.41291270387754675</v>
      </c>
      <c r="J617">
        <f t="shared" si="27"/>
        <v>0.61484650866670942</v>
      </c>
    </row>
    <row r="618" spans="1:10">
      <c r="A618">
        <v>615</v>
      </c>
      <c r="B618">
        <v>0.52073732718894006</v>
      </c>
      <c r="C618">
        <v>0.28513443403424177</v>
      </c>
      <c r="D618" s="1">
        <f t="shared" si="28"/>
        <v>5.2004201513762879E-2</v>
      </c>
      <c r="E618" s="1">
        <f t="shared" si="29"/>
        <v>-0.51565136541810697</v>
      </c>
      <c r="I618" s="1">
        <v>0.41479777714122351</v>
      </c>
      <c r="J618">
        <f t="shared" si="27"/>
        <v>0.61535598873644548</v>
      </c>
    </row>
    <row r="619" spans="1:10">
      <c r="A619">
        <v>616</v>
      </c>
      <c r="B619">
        <v>0.21054719687490464</v>
      </c>
      <c r="C619">
        <v>0.67244483779412212</v>
      </c>
      <c r="D619" s="1">
        <f t="shared" si="28"/>
        <v>-0.80452403575811027</v>
      </c>
      <c r="E619" s="1">
        <f t="shared" si="29"/>
        <v>-0.35784985199693292</v>
      </c>
      <c r="I619" s="1">
        <v>0.4172124085825567</v>
      </c>
      <c r="J619">
        <f t="shared" si="27"/>
        <v>0.61600830182797073</v>
      </c>
    </row>
    <row r="620" spans="1:10">
      <c r="A620">
        <v>617</v>
      </c>
      <c r="B620">
        <v>0.94875942258980073</v>
      </c>
      <c r="C620">
        <v>5.716116824854274E-2</v>
      </c>
      <c r="D620" s="1">
        <f t="shared" si="28"/>
        <v>1.632942194234078</v>
      </c>
      <c r="E620" s="1">
        <f t="shared" si="29"/>
        <v>5.3882373396473504E-2</v>
      </c>
      <c r="I620" s="1">
        <v>0.41759917986316758</v>
      </c>
      <c r="J620">
        <f t="shared" si="27"/>
        <v>0.61611275767718288</v>
      </c>
    </row>
    <row r="621" spans="1:10">
      <c r="A621">
        <v>618</v>
      </c>
      <c r="B621">
        <v>0.51585436567278053</v>
      </c>
      <c r="C621">
        <v>0.93069246498001035</v>
      </c>
      <c r="D621" s="1">
        <f t="shared" si="28"/>
        <v>3.9751467864509837E-2</v>
      </c>
      <c r="E621" s="1">
        <f t="shared" si="29"/>
        <v>1.5207195837332665</v>
      </c>
      <c r="I621" s="1">
        <v>0.41767855137901816</v>
      </c>
      <c r="J621">
        <f t="shared" si="27"/>
        <v>0.61613419260821112</v>
      </c>
    </row>
    <row r="622" spans="1:10">
      <c r="A622">
        <v>619</v>
      </c>
      <c r="B622">
        <v>0.35581530198065126</v>
      </c>
      <c r="C622">
        <v>0.72463148899807739</v>
      </c>
      <c r="D622" s="1">
        <f t="shared" si="28"/>
        <v>-0.369667025362164</v>
      </c>
      <c r="E622" s="1">
        <f t="shared" si="29"/>
        <v>0.22698905357711685</v>
      </c>
      <c r="I622" s="1">
        <v>0.42014316271818192</v>
      </c>
      <c r="J622">
        <f t="shared" si="27"/>
        <v>0.61679960406866352</v>
      </c>
    </row>
    <row r="623" spans="1:10">
      <c r="A623">
        <v>620</v>
      </c>
      <c r="B623">
        <v>5.3529465620899074E-2</v>
      </c>
      <c r="C623">
        <v>0.10684530167546617</v>
      </c>
      <c r="D623" s="1">
        <f t="shared" si="28"/>
        <v>-1.6115544418549022</v>
      </c>
      <c r="E623" s="1">
        <f t="shared" si="29"/>
        <v>-2.8550355364201363</v>
      </c>
      <c r="I623" s="1">
        <v>0.42038577824300383</v>
      </c>
      <c r="J623">
        <f t="shared" si="27"/>
        <v>0.61686508836131715</v>
      </c>
    </row>
    <row r="624" spans="1:10">
      <c r="A624">
        <v>621</v>
      </c>
      <c r="B624">
        <v>0.2836085085604419</v>
      </c>
      <c r="C624">
        <v>0.14590899380474256</v>
      </c>
      <c r="D624" s="1">
        <f t="shared" si="28"/>
        <v>-0.57215493156137742</v>
      </c>
      <c r="E624" s="1">
        <f t="shared" si="29"/>
        <v>-1.6262967611902133</v>
      </c>
      <c r="I624" s="1">
        <v>0.42049382560277487</v>
      </c>
      <c r="J624">
        <f t="shared" si="27"/>
        <v>0.61689425032122069</v>
      </c>
    </row>
    <row r="625" spans="1:10">
      <c r="A625">
        <v>622</v>
      </c>
      <c r="B625">
        <v>0.19531846064638203</v>
      </c>
      <c r="C625">
        <v>0.53733939634388261</v>
      </c>
      <c r="D625" s="1">
        <f t="shared" si="28"/>
        <v>-0.85846287602802451</v>
      </c>
      <c r="E625" s="1">
        <f t="shared" si="29"/>
        <v>-0.76472981541702501</v>
      </c>
      <c r="I625" s="1">
        <v>0.42306308600351283</v>
      </c>
      <c r="J625">
        <f t="shared" si="27"/>
        <v>0.61758749765563947</v>
      </c>
    </row>
    <row r="626" spans="1:10">
      <c r="A626">
        <v>623</v>
      </c>
      <c r="B626">
        <v>0.43888668477431564</v>
      </c>
      <c r="C626">
        <v>0.13946958830530717</v>
      </c>
      <c r="D626" s="1">
        <f t="shared" si="28"/>
        <v>-0.15379247218394831</v>
      </c>
      <c r="E626" s="1">
        <f t="shared" si="29"/>
        <v>-1.2364979392638487</v>
      </c>
      <c r="I626" s="1">
        <v>0.4244546113537645</v>
      </c>
      <c r="J626">
        <f t="shared" si="27"/>
        <v>0.61796280705399309</v>
      </c>
    </row>
    <row r="627" spans="1:10">
      <c r="A627">
        <v>624</v>
      </c>
      <c r="B627">
        <v>0.91827143162327951</v>
      </c>
      <c r="C627">
        <v>0.59706411938840909</v>
      </c>
      <c r="D627" s="1">
        <f t="shared" si="28"/>
        <v>1.3935380844145728</v>
      </c>
      <c r="E627" s="1">
        <f t="shared" si="29"/>
        <v>1.6392932554589477</v>
      </c>
      <c r="I627" s="1">
        <v>0.42767164040503641</v>
      </c>
      <c r="J627">
        <f t="shared" si="27"/>
        <v>0.61883004968722377</v>
      </c>
    </row>
    <row r="628" spans="1:10">
      <c r="A628">
        <v>625</v>
      </c>
      <c r="B628">
        <v>0.91216772972808013</v>
      </c>
      <c r="C628">
        <v>0.15265358439893795</v>
      </c>
      <c r="D628" s="1">
        <f t="shared" si="28"/>
        <v>1.3542252033753892</v>
      </c>
      <c r="E628" s="1">
        <f t="shared" si="29"/>
        <v>0.32910647322524067</v>
      </c>
      <c r="I628" s="1">
        <v>0.42778980813515088</v>
      </c>
      <c r="J628">
        <f t="shared" si="27"/>
        <v>0.61886189386423629</v>
      </c>
    </row>
    <row r="629" spans="1:10">
      <c r="A629">
        <v>626</v>
      </c>
      <c r="B629">
        <v>0.94836268196661277</v>
      </c>
      <c r="C629">
        <v>4.0162358470412308E-2</v>
      </c>
      <c r="D629" s="1">
        <f t="shared" si="28"/>
        <v>1.6291813395375243</v>
      </c>
      <c r="E629" s="1">
        <f t="shared" si="29"/>
        <v>-0.11962374889180527</v>
      </c>
      <c r="I629" s="1">
        <v>0.43589062382387433</v>
      </c>
      <c r="J629">
        <f t="shared" si="27"/>
        <v>0.62104299509881045</v>
      </c>
    </row>
    <row r="630" spans="1:10">
      <c r="A630">
        <v>627</v>
      </c>
      <c r="B630">
        <v>0.34415723136082033</v>
      </c>
      <c r="C630">
        <v>0.1966307565538499</v>
      </c>
      <c r="D630" s="1">
        <f t="shared" si="28"/>
        <v>-0.40114351768511181</v>
      </c>
      <c r="E630" s="1">
        <f t="shared" si="29"/>
        <v>-1.254861057858293</v>
      </c>
      <c r="I630" s="1">
        <v>0.43760515452996479</v>
      </c>
      <c r="J630">
        <f t="shared" si="27"/>
        <v>0.62150413216518574</v>
      </c>
    </row>
    <row r="631" spans="1:10">
      <c r="A631">
        <v>628</v>
      </c>
      <c r="B631">
        <v>0.4693441572313608</v>
      </c>
      <c r="C631">
        <v>0.32441175572985015</v>
      </c>
      <c r="D631" s="1">
        <f t="shared" si="28"/>
        <v>-7.6918582728244506E-2</v>
      </c>
      <c r="E631" s="1">
        <f t="shared" si="29"/>
        <v>-0.5323157797229694</v>
      </c>
      <c r="I631" s="1">
        <v>0.43810116618343614</v>
      </c>
      <c r="J631">
        <f t="shared" si="27"/>
        <v>0.62163750632974091</v>
      </c>
    </row>
    <row r="632" spans="1:10">
      <c r="A632">
        <v>629</v>
      </c>
      <c r="B632">
        <v>0.17883846552934354</v>
      </c>
      <c r="C632">
        <v>0.48689230018005919</v>
      </c>
      <c r="D632" s="1">
        <f t="shared" si="28"/>
        <v>-0.91980067405195221</v>
      </c>
      <c r="E632" s="1">
        <f t="shared" si="29"/>
        <v>-0.95266271877494657</v>
      </c>
      <c r="I632" s="1">
        <v>0.43893220986790804</v>
      </c>
      <c r="J632">
        <f t="shared" si="27"/>
        <v>0.62186093584673752</v>
      </c>
    </row>
    <row r="633" spans="1:10">
      <c r="A633">
        <v>630</v>
      </c>
      <c r="B633">
        <v>0.2262337107455672</v>
      </c>
      <c r="C633">
        <v>0.84981841486861787</v>
      </c>
      <c r="D633" s="1">
        <f t="shared" si="28"/>
        <v>-0.75130782423014941</v>
      </c>
      <c r="E633" s="1">
        <f t="shared" si="29"/>
        <v>0.28434707471330367</v>
      </c>
      <c r="I633" s="1">
        <v>0.43956485694392883</v>
      </c>
      <c r="J633">
        <f t="shared" si="27"/>
        <v>0.62203099830570863</v>
      </c>
    </row>
    <row r="634" spans="1:10">
      <c r="A634">
        <v>631</v>
      </c>
      <c r="B634">
        <v>0.76287118137150178</v>
      </c>
      <c r="C634">
        <v>0.2465590380565813</v>
      </c>
      <c r="D634" s="1">
        <f t="shared" si="28"/>
        <v>0.7155688117664023</v>
      </c>
      <c r="E634" s="1">
        <f t="shared" si="29"/>
        <v>3.0210868403984681E-2</v>
      </c>
      <c r="I634" s="1">
        <v>0.44927906943472001</v>
      </c>
      <c r="J634">
        <f t="shared" si="27"/>
        <v>0.6246392976135271</v>
      </c>
    </row>
    <row r="635" spans="1:10">
      <c r="A635">
        <v>632</v>
      </c>
      <c r="B635">
        <v>0.99691763054292426</v>
      </c>
      <c r="C635">
        <v>0.98998992889187287</v>
      </c>
      <c r="D635" s="1">
        <f t="shared" si="28"/>
        <v>2.738887900929821</v>
      </c>
      <c r="E635" s="1">
        <f t="shared" si="29"/>
        <v>5.0648580685816276</v>
      </c>
      <c r="I635" s="1">
        <v>0.45508315714210323</v>
      </c>
      <c r="J635">
        <f t="shared" si="27"/>
        <v>0.62619500873367606</v>
      </c>
    </row>
    <row r="636" spans="1:10">
      <c r="A636">
        <v>633</v>
      </c>
      <c r="B636">
        <v>0.62218085268715473</v>
      </c>
      <c r="C636">
        <v>0.28812524796288952</v>
      </c>
      <c r="D636" s="1">
        <f t="shared" si="28"/>
        <v>0.31121353439441313</v>
      </c>
      <c r="E636" s="1">
        <f t="shared" si="29"/>
        <v>-0.24765639089964842</v>
      </c>
      <c r="I636" s="1">
        <v>0.4564304084328511</v>
      </c>
      <c r="J636">
        <f t="shared" si="27"/>
        <v>0.62655582937493093</v>
      </c>
    </row>
    <row r="637" spans="1:10">
      <c r="A637">
        <v>634</v>
      </c>
      <c r="B637">
        <v>0.68752098147526475</v>
      </c>
      <c r="C637">
        <v>0.31980346079897459</v>
      </c>
      <c r="D637" s="1">
        <f t="shared" si="28"/>
        <v>0.48883567760896385</v>
      </c>
      <c r="E637" s="1">
        <f t="shared" si="29"/>
        <v>2.0587218382156824E-2</v>
      </c>
      <c r="I637" s="1">
        <v>0.4614225438017836</v>
      </c>
      <c r="J637">
        <f t="shared" si="27"/>
        <v>0.62789185303186978</v>
      </c>
    </row>
    <row r="638" spans="1:10">
      <c r="A638">
        <v>635</v>
      </c>
      <c r="B638">
        <v>0.3979308450575274</v>
      </c>
      <c r="C638">
        <v>0.41276284066286201</v>
      </c>
      <c r="D638" s="1">
        <f t="shared" si="28"/>
        <v>-0.25870651798391281</v>
      </c>
      <c r="E638" s="1">
        <f t="shared" si="29"/>
        <v>-0.47915013240709431</v>
      </c>
      <c r="I638" s="1">
        <v>0.46946086302352369</v>
      </c>
      <c r="J638">
        <f t="shared" si="27"/>
        <v>0.63003987561614272</v>
      </c>
    </row>
    <row r="639" spans="1:10">
      <c r="A639">
        <v>636</v>
      </c>
      <c r="B639">
        <v>0.85741752372814106</v>
      </c>
      <c r="C639">
        <v>0.17108676412244025</v>
      </c>
      <c r="D639" s="1">
        <f t="shared" si="28"/>
        <v>1.0687885662548189</v>
      </c>
      <c r="E639" s="1">
        <f t="shared" si="29"/>
        <v>0.11890915262400092</v>
      </c>
      <c r="I639" s="1">
        <v>0.47098467635429841</v>
      </c>
      <c r="J639">
        <f t="shared" si="27"/>
        <v>0.63044661868781837</v>
      </c>
    </row>
    <row r="640" spans="1:10">
      <c r="A640">
        <v>637</v>
      </c>
      <c r="B640">
        <v>0.27652821436201058</v>
      </c>
      <c r="C640">
        <v>0.48112430188909572</v>
      </c>
      <c r="D640" s="1">
        <f t="shared" si="28"/>
        <v>-0.59318637684203679</v>
      </c>
      <c r="E640" s="1">
        <f t="shared" si="29"/>
        <v>-0.64051840264538296</v>
      </c>
      <c r="I640" s="1">
        <v>0.47254209048674228</v>
      </c>
      <c r="J640">
        <f t="shared" si="27"/>
        <v>0.6308621798382581</v>
      </c>
    </row>
    <row r="641" spans="1:10">
      <c r="A641">
        <v>638</v>
      </c>
      <c r="B641">
        <v>0.41694387646107361</v>
      </c>
      <c r="C641">
        <v>0.20563371684926909</v>
      </c>
      <c r="D641" s="1">
        <f t="shared" si="28"/>
        <v>-0.20971802952632915</v>
      </c>
      <c r="E641" s="1">
        <f t="shared" si="29"/>
        <v>-1.0313832938787624</v>
      </c>
      <c r="I641" s="1">
        <v>0.48797970374995214</v>
      </c>
      <c r="J641">
        <f t="shared" si="27"/>
        <v>0.63497302154775626</v>
      </c>
    </row>
    <row r="642" spans="1:10">
      <c r="A642">
        <v>639</v>
      </c>
      <c r="B642">
        <v>0.93093661305581832</v>
      </c>
      <c r="C642">
        <v>0.33936582537308879</v>
      </c>
      <c r="D642" s="1">
        <f t="shared" si="28"/>
        <v>1.4828029431584808</v>
      </c>
      <c r="E642" s="1">
        <f t="shared" si="29"/>
        <v>1.0686084176281572</v>
      </c>
      <c r="I642" s="1">
        <v>0.49629975223029293</v>
      </c>
      <c r="J642">
        <f t="shared" si="27"/>
        <v>0.63718216378628234</v>
      </c>
    </row>
    <row r="643" spans="1:10">
      <c r="A643">
        <v>640</v>
      </c>
      <c r="B643">
        <v>0.69820245979186379</v>
      </c>
      <c r="C643">
        <v>0.70332956938383129</v>
      </c>
      <c r="D643" s="1">
        <f t="shared" si="28"/>
        <v>0.51923757326121989</v>
      </c>
      <c r="E643" s="1">
        <f t="shared" si="29"/>
        <v>1.0532385457630626</v>
      </c>
      <c r="I643" s="1">
        <v>0.49958524256022596</v>
      </c>
      <c r="J643">
        <f t="shared" si="27"/>
        <v>0.63805327720052896</v>
      </c>
    </row>
    <row r="644" spans="1:10">
      <c r="A644">
        <v>641</v>
      </c>
      <c r="B644">
        <v>0.62450025940733056</v>
      </c>
      <c r="C644">
        <v>0.75502792443617051</v>
      </c>
      <c r="D644" s="1">
        <f t="shared" si="28"/>
        <v>0.3173217423758587</v>
      </c>
      <c r="E644" s="1">
        <f t="shared" si="29"/>
        <v>1.0077193972019989</v>
      </c>
      <c r="I644" s="1">
        <v>0.50344347364668551</v>
      </c>
      <c r="J644">
        <f t="shared" ref="J644:J707" si="30">_xlfn.NORM.DIST(I644,$J$1,$J$2,TRUE)</f>
        <v>0.63907533419031781</v>
      </c>
    </row>
    <row r="645" spans="1:10">
      <c r="A645">
        <v>642</v>
      </c>
      <c r="B645">
        <v>0.19394512771996217</v>
      </c>
      <c r="C645">
        <v>0.35239722891933956</v>
      </c>
      <c r="D645" s="1">
        <f t="shared" ref="D645:D708" si="31">_xlfn.NORM.INV(B645, 0, 1)</f>
        <v>-0.86344971507310597</v>
      </c>
      <c r="E645" s="1">
        <f t="shared" ref="E645:E708" si="32">_xlfn.NORM.INV(C645,D645,1)</f>
        <v>-1.2423061753461493</v>
      </c>
      <c r="I645" s="1">
        <v>0.50401025719349546</v>
      </c>
      <c r="J645">
        <f t="shared" si="30"/>
        <v>0.63922539343206686</v>
      </c>
    </row>
    <row r="646" spans="1:10">
      <c r="A646">
        <v>643</v>
      </c>
      <c r="B646">
        <v>0.84243293557542653</v>
      </c>
      <c r="C646">
        <v>0.2533951841792047</v>
      </c>
      <c r="D646" s="1">
        <f t="shared" si="31"/>
        <v>1.004507352975381</v>
      </c>
      <c r="E646" s="1">
        <f t="shared" si="32"/>
        <v>0.34066367688562438</v>
      </c>
      <c r="I646" s="1">
        <v>0.51344339715982334</v>
      </c>
      <c r="J646">
        <f t="shared" si="30"/>
        <v>0.6417197094085646</v>
      </c>
    </row>
    <row r="647" spans="1:10">
      <c r="A647">
        <v>644</v>
      </c>
      <c r="B647">
        <v>0.12088381603442488</v>
      </c>
      <c r="C647">
        <v>0.11896114993743706</v>
      </c>
      <c r="D647" s="1">
        <f t="shared" si="31"/>
        <v>-1.1705800205245205</v>
      </c>
      <c r="E647" s="1">
        <f t="shared" si="32"/>
        <v>-2.3507759443418821</v>
      </c>
      <c r="I647" s="1">
        <v>0.51486842566998048</v>
      </c>
      <c r="J647">
        <f t="shared" si="30"/>
        <v>0.64209599404324025</v>
      </c>
    </row>
    <row r="648" spans="1:10">
      <c r="A648">
        <v>645</v>
      </c>
      <c r="B648">
        <v>0.23059785760063478</v>
      </c>
      <c r="C648">
        <v>0.37266151921140173</v>
      </c>
      <c r="D648" s="1">
        <f t="shared" si="31"/>
        <v>-0.73687936254949815</v>
      </c>
      <c r="E648" s="1">
        <f t="shared" si="32"/>
        <v>-1.0616917899237479</v>
      </c>
      <c r="I648" s="1">
        <v>0.51554606790678703</v>
      </c>
      <c r="J648">
        <f t="shared" si="30"/>
        <v>0.64227487986155185</v>
      </c>
    </row>
    <row r="649" spans="1:10">
      <c r="A649">
        <v>646</v>
      </c>
      <c r="B649">
        <v>0.71584215826899011</v>
      </c>
      <c r="C649">
        <v>0.89211706900234988</v>
      </c>
      <c r="D649" s="1">
        <f t="shared" si="31"/>
        <v>0.5705338303890739</v>
      </c>
      <c r="E649" s="1">
        <f t="shared" si="32"/>
        <v>1.8083995313867678</v>
      </c>
      <c r="I649" s="1">
        <v>0.51769767723819582</v>
      </c>
      <c r="J649">
        <f t="shared" si="30"/>
        <v>0.64284266020263936</v>
      </c>
    </row>
    <row r="650" spans="1:10">
      <c r="A650">
        <v>647</v>
      </c>
      <c r="B650">
        <v>0.36725974303415021</v>
      </c>
      <c r="C650">
        <v>0.49757377849665824</v>
      </c>
      <c r="D650" s="1">
        <f t="shared" si="31"/>
        <v>-0.33911979600347081</v>
      </c>
      <c r="E650" s="1">
        <f t="shared" si="32"/>
        <v>-0.34520146891427161</v>
      </c>
      <c r="I650" s="1">
        <v>0.52245359948633985</v>
      </c>
      <c r="J650">
        <f t="shared" si="30"/>
        <v>0.64409655987403391</v>
      </c>
    </row>
    <row r="651" spans="1:10">
      <c r="A651">
        <v>648</v>
      </c>
      <c r="B651">
        <v>0.94097720267342144</v>
      </c>
      <c r="C651">
        <v>0.67372661519211396</v>
      </c>
      <c r="D651" s="1">
        <f t="shared" si="31"/>
        <v>1.5630297620306921</v>
      </c>
      <c r="E651" s="1">
        <f t="shared" si="32"/>
        <v>2.0132567621418582</v>
      </c>
      <c r="I651" s="1">
        <v>0.52387602110283327</v>
      </c>
      <c r="J651">
        <f t="shared" si="30"/>
        <v>0.64447127967426376</v>
      </c>
    </row>
    <row r="652" spans="1:10">
      <c r="A652">
        <v>649</v>
      </c>
      <c r="B652">
        <v>0.5884273812067019</v>
      </c>
      <c r="C652">
        <v>0.21594897305215613</v>
      </c>
      <c r="D652" s="1">
        <f t="shared" si="31"/>
        <v>0.22350147203328058</v>
      </c>
      <c r="E652" s="1">
        <f t="shared" si="32"/>
        <v>-0.56244653807375444</v>
      </c>
      <c r="I652" s="1">
        <v>0.52943064445305321</v>
      </c>
      <c r="J652">
        <f t="shared" si="30"/>
        <v>0.64593323822037241</v>
      </c>
    </row>
    <row r="653" spans="1:10">
      <c r="A653">
        <v>650</v>
      </c>
      <c r="B653">
        <v>0.18225653859065524</v>
      </c>
      <c r="C653">
        <v>0.7321390423291726</v>
      </c>
      <c r="D653" s="1">
        <f t="shared" si="31"/>
        <v>-0.906799040903568</v>
      </c>
      <c r="E653" s="1">
        <f t="shared" si="32"/>
        <v>-0.28750385507477649</v>
      </c>
      <c r="I653" s="1">
        <v>0.53358554137147196</v>
      </c>
      <c r="J653">
        <f t="shared" si="30"/>
        <v>0.64702539012386806</v>
      </c>
    </row>
    <row r="654" spans="1:10">
      <c r="A654">
        <v>651</v>
      </c>
      <c r="B654">
        <v>0.36576433606982633</v>
      </c>
      <c r="C654">
        <v>0.18994720297860654</v>
      </c>
      <c r="D654" s="1">
        <f t="shared" si="31"/>
        <v>-0.343092767286578</v>
      </c>
      <c r="E654" s="1">
        <f t="shared" si="32"/>
        <v>-1.2211836396694822</v>
      </c>
      <c r="I654" s="1">
        <v>0.53415521832198298</v>
      </c>
      <c r="J654">
        <f t="shared" si="30"/>
        <v>0.64717504067569953</v>
      </c>
    </row>
    <row r="655" spans="1:10">
      <c r="A655">
        <v>652</v>
      </c>
      <c r="B655">
        <v>0.69911801507614368</v>
      </c>
      <c r="C655">
        <v>0.99218726157414472</v>
      </c>
      <c r="D655" s="1">
        <f t="shared" si="31"/>
        <v>0.52186551562419259</v>
      </c>
      <c r="E655" s="1">
        <f t="shared" si="32"/>
        <v>2.9394134254330271</v>
      </c>
      <c r="I655" s="1">
        <v>0.54439806710941396</v>
      </c>
      <c r="J655">
        <f t="shared" si="30"/>
        <v>0.64986186773905708</v>
      </c>
    </row>
    <row r="656" spans="1:10">
      <c r="A656">
        <v>653</v>
      </c>
      <c r="B656">
        <v>0.21121860408337656</v>
      </c>
      <c r="C656">
        <v>0.97412030396435434</v>
      </c>
      <c r="D656" s="1">
        <f t="shared" si="31"/>
        <v>-0.80220011795824897</v>
      </c>
      <c r="E656" s="1">
        <f t="shared" si="32"/>
        <v>1.1429293998228227</v>
      </c>
      <c r="I656" s="1">
        <v>0.54735051539570589</v>
      </c>
      <c r="J656">
        <f t="shared" si="30"/>
        <v>0.65063494815117096</v>
      </c>
    </row>
    <row r="657" spans="1:10">
      <c r="A657">
        <v>654</v>
      </c>
      <c r="B657">
        <v>0.14764854884487441</v>
      </c>
      <c r="C657">
        <v>0.61598559526352736</v>
      </c>
      <c r="D657" s="1">
        <f t="shared" si="31"/>
        <v>-1.0465718348279365</v>
      </c>
      <c r="E657" s="1">
        <f t="shared" si="32"/>
        <v>-0.75161755942878039</v>
      </c>
      <c r="I657" s="1">
        <v>0.54881210772318123</v>
      </c>
      <c r="J657">
        <f t="shared" si="30"/>
        <v>0.65101742621927139</v>
      </c>
    </row>
    <row r="658" spans="1:10">
      <c r="A658">
        <v>655</v>
      </c>
      <c r="B658">
        <v>0.39219336527603993</v>
      </c>
      <c r="C658">
        <v>0.16714987640003662</v>
      </c>
      <c r="D658" s="1">
        <f t="shared" si="31"/>
        <v>-0.27360690038490132</v>
      </c>
      <c r="E658" s="1">
        <f t="shared" si="32"/>
        <v>-1.2390962802148799</v>
      </c>
      <c r="I658" s="1">
        <v>0.55265113338761707</v>
      </c>
      <c r="J658">
        <f t="shared" si="30"/>
        <v>0.65202131364352911</v>
      </c>
    </row>
    <row r="659" spans="1:10">
      <c r="A659">
        <v>656</v>
      </c>
      <c r="B659">
        <v>0.58067567979979862</v>
      </c>
      <c r="C659">
        <v>0.86388744773705251</v>
      </c>
      <c r="D659" s="1">
        <f t="shared" si="31"/>
        <v>0.20362233191677917</v>
      </c>
      <c r="E659" s="1">
        <f t="shared" si="32"/>
        <v>1.3015751222478507</v>
      </c>
      <c r="I659" s="1">
        <v>0.55598029070034272</v>
      </c>
      <c r="J659">
        <f t="shared" si="30"/>
        <v>0.65289101135713024</v>
      </c>
    </row>
    <row r="660" spans="1:10">
      <c r="A660">
        <v>657</v>
      </c>
      <c r="B660">
        <v>0.49845881527146213</v>
      </c>
      <c r="C660">
        <v>0.88052003540147095</v>
      </c>
      <c r="D660" s="1">
        <f t="shared" si="31"/>
        <v>-3.8631868261311737E-3</v>
      </c>
      <c r="E660" s="1">
        <f t="shared" si="32"/>
        <v>1.1737272374649594</v>
      </c>
      <c r="I660" s="1">
        <v>0.55747300028922242</v>
      </c>
      <c r="J660">
        <f t="shared" si="30"/>
        <v>0.65328070073754507</v>
      </c>
    </row>
    <row r="661" spans="1:10">
      <c r="A661">
        <v>658</v>
      </c>
      <c r="B661">
        <v>4.6906949064607684E-2</v>
      </c>
      <c r="C661">
        <v>0.53721732230597863</v>
      </c>
      <c r="D661" s="1">
        <f t="shared" si="31"/>
        <v>-1.675613625683227</v>
      </c>
      <c r="E661" s="1">
        <f t="shared" si="32"/>
        <v>-1.5821879020573972</v>
      </c>
      <c r="I661" s="1">
        <v>0.56043267541457675</v>
      </c>
      <c r="J661">
        <f t="shared" si="30"/>
        <v>0.65405287900529419</v>
      </c>
    </row>
    <row r="662" spans="1:10">
      <c r="A662">
        <v>659</v>
      </c>
      <c r="B662">
        <v>0.74175237281411177</v>
      </c>
      <c r="C662">
        <v>0.86672566911832027</v>
      </c>
      <c r="D662" s="1">
        <f t="shared" si="31"/>
        <v>0.64875731055272445</v>
      </c>
      <c r="E662" s="1">
        <f t="shared" si="32"/>
        <v>1.7598030500973294</v>
      </c>
      <c r="I662" s="1">
        <v>0.56129533624894057</v>
      </c>
      <c r="J662">
        <f t="shared" si="30"/>
        <v>0.65427782657720812</v>
      </c>
    </row>
    <row r="663" spans="1:10">
      <c r="A663">
        <v>660</v>
      </c>
      <c r="B663">
        <v>0.39976195562608724</v>
      </c>
      <c r="C663">
        <v>0.22101504562517166</v>
      </c>
      <c r="D663" s="1">
        <f t="shared" si="31"/>
        <v>-0.25396329977367504</v>
      </c>
      <c r="E663" s="1">
        <f t="shared" si="32"/>
        <v>-1.0227329123559605</v>
      </c>
      <c r="I663" s="1">
        <v>0.56415608860498789</v>
      </c>
      <c r="J663">
        <f t="shared" si="30"/>
        <v>0.65502340670243031</v>
      </c>
    </row>
    <row r="664" spans="1:10">
      <c r="A664">
        <v>661</v>
      </c>
      <c r="B664">
        <v>0.40864284188360239</v>
      </c>
      <c r="C664">
        <v>0.9047822504348888</v>
      </c>
      <c r="D664" s="1">
        <f t="shared" si="31"/>
        <v>-0.23103748128463183</v>
      </c>
      <c r="E664" s="1">
        <f t="shared" si="32"/>
        <v>1.0782543986920612</v>
      </c>
      <c r="I664" s="1">
        <v>0.56624983605896395</v>
      </c>
      <c r="J664">
        <f t="shared" si="30"/>
        <v>0.65556870609182893</v>
      </c>
    </row>
    <row r="665" spans="1:10">
      <c r="A665">
        <v>662</v>
      </c>
      <c r="B665">
        <v>0.30173650318918421</v>
      </c>
      <c r="C665">
        <v>0.78875087740714744</v>
      </c>
      <c r="D665" s="1">
        <f t="shared" si="31"/>
        <v>-0.51941265770091416</v>
      </c>
      <c r="E665" s="1">
        <f t="shared" si="32"/>
        <v>0.28268193059330471</v>
      </c>
      <c r="I665" s="1">
        <v>0.5690053799978303</v>
      </c>
      <c r="J665">
        <f t="shared" si="30"/>
        <v>0.65628587228798141</v>
      </c>
    </row>
    <row r="666" spans="1:10">
      <c r="A666">
        <v>663</v>
      </c>
      <c r="B666">
        <v>0.75731681264687034</v>
      </c>
      <c r="C666">
        <v>0.30509353923154392</v>
      </c>
      <c r="D666" s="1">
        <f t="shared" si="31"/>
        <v>0.69769752756952186</v>
      </c>
      <c r="E666" s="1">
        <f t="shared" si="32"/>
        <v>0.18789109468213316</v>
      </c>
      <c r="I666" s="1">
        <v>0.56992443748378063</v>
      </c>
      <c r="J666">
        <f t="shared" si="30"/>
        <v>0.65652494409732787</v>
      </c>
    </row>
    <row r="667" spans="1:10">
      <c r="A667">
        <v>664</v>
      </c>
      <c r="B667">
        <v>0.80394909512619406</v>
      </c>
      <c r="C667">
        <v>0.82891323587755972</v>
      </c>
      <c r="D667" s="1">
        <f t="shared" si="31"/>
        <v>0.8558119399941172</v>
      </c>
      <c r="E667" s="1">
        <f t="shared" si="32"/>
        <v>1.805691353624935</v>
      </c>
      <c r="I667" s="1">
        <v>0.57991403494363991</v>
      </c>
      <c r="J667">
        <f t="shared" si="30"/>
        <v>0.65911945340323508</v>
      </c>
    </row>
    <row r="668" spans="1:10">
      <c r="A668">
        <v>665</v>
      </c>
      <c r="B668">
        <v>0.47038178655354473</v>
      </c>
      <c r="C668">
        <v>0.8061159092989898</v>
      </c>
      <c r="D668" s="1">
        <f t="shared" si="31"/>
        <v>-7.4310184842882404E-2</v>
      </c>
      <c r="E668" s="1">
        <f t="shared" si="32"/>
        <v>0.78936166576103028</v>
      </c>
      <c r="I668" s="1">
        <v>0.58097165078847934</v>
      </c>
      <c r="J668">
        <f t="shared" si="30"/>
        <v>0.65939370113667573</v>
      </c>
    </row>
    <row r="669" spans="1:10">
      <c r="A669">
        <v>666</v>
      </c>
      <c r="B669">
        <v>0.41288491470076599</v>
      </c>
      <c r="C669">
        <v>0.42750328073976868</v>
      </c>
      <c r="D669" s="1">
        <f t="shared" si="31"/>
        <v>-0.22013010500047195</v>
      </c>
      <c r="E669" s="1">
        <f t="shared" si="32"/>
        <v>-0.4028643283915736</v>
      </c>
      <c r="I669" s="1">
        <v>0.58330025380988038</v>
      </c>
      <c r="J669">
        <f t="shared" si="30"/>
        <v>0.65999722828303786</v>
      </c>
    </row>
    <row r="670" spans="1:10">
      <c r="A670">
        <v>667</v>
      </c>
      <c r="B670">
        <v>0.1773125400555437</v>
      </c>
      <c r="C670">
        <v>0.80803857539597768</v>
      </c>
      <c r="D670" s="1">
        <f t="shared" si="31"/>
        <v>-0.92565542445188187</v>
      </c>
      <c r="E670" s="1">
        <f t="shared" si="32"/>
        <v>-5.4964342587215387E-2</v>
      </c>
      <c r="I670" s="1">
        <v>0.58399334315082185</v>
      </c>
      <c r="J670">
        <f t="shared" si="30"/>
        <v>0.66017678405767133</v>
      </c>
    </row>
    <row r="671" spans="1:10">
      <c r="A671">
        <v>668</v>
      </c>
      <c r="B671">
        <v>0.35584582049012725</v>
      </c>
      <c r="C671">
        <v>0.72072511978514975</v>
      </c>
      <c r="D671" s="1">
        <f t="shared" si="31"/>
        <v>-0.36958511843094322</v>
      </c>
      <c r="E671" s="1">
        <f t="shared" si="32"/>
        <v>0.21541184220565091</v>
      </c>
      <c r="I671" s="1">
        <v>0.58453702119254547</v>
      </c>
      <c r="J671">
        <f t="shared" si="30"/>
        <v>0.66031760704000697</v>
      </c>
    </row>
    <row r="672" spans="1:10">
      <c r="A672">
        <v>669</v>
      </c>
      <c r="B672">
        <v>0.16220587786492507</v>
      </c>
      <c r="C672">
        <v>0.9541001617481002</v>
      </c>
      <c r="D672" s="1">
        <f t="shared" si="31"/>
        <v>-0.98543232988587914</v>
      </c>
      <c r="E672" s="1">
        <f t="shared" si="32"/>
        <v>0.7005475409182127</v>
      </c>
      <c r="I672" s="1">
        <v>0.59868064471640681</v>
      </c>
      <c r="J672">
        <f t="shared" si="30"/>
        <v>0.66397316257078864</v>
      </c>
    </row>
    <row r="673" spans="1:10">
      <c r="A673">
        <v>670</v>
      </c>
      <c r="B673">
        <v>0.94524979400006104</v>
      </c>
      <c r="C673">
        <v>0.43681142612994783</v>
      </c>
      <c r="D673" s="1">
        <f t="shared" si="31"/>
        <v>1.6004426858764029</v>
      </c>
      <c r="E673" s="1">
        <f t="shared" si="32"/>
        <v>1.4413842723939874</v>
      </c>
      <c r="I673" s="1">
        <v>0.60700683854517457</v>
      </c>
      <c r="J673">
        <f t="shared" si="30"/>
        <v>0.66611794470675978</v>
      </c>
    </row>
    <row r="674" spans="1:10">
      <c r="A674">
        <v>671</v>
      </c>
      <c r="B674">
        <v>0.80565813165684985</v>
      </c>
      <c r="C674">
        <v>0.64864040040284432</v>
      </c>
      <c r="D674" s="1">
        <f t="shared" si="31"/>
        <v>0.86200687123248732</v>
      </c>
      <c r="E674" s="1">
        <f t="shared" si="32"/>
        <v>1.2436592876636032</v>
      </c>
      <c r="I674" s="1">
        <v>0.60843899101070753</v>
      </c>
      <c r="J674">
        <f t="shared" si="30"/>
        <v>0.66648631544377523</v>
      </c>
    </row>
    <row r="675" spans="1:10">
      <c r="A675">
        <v>672</v>
      </c>
      <c r="B675">
        <v>0.64812158574175238</v>
      </c>
      <c r="C675">
        <v>0.90765099032563246</v>
      </c>
      <c r="D675" s="1">
        <f t="shared" si="31"/>
        <v>0.38025406677853391</v>
      </c>
      <c r="E675" s="1">
        <f t="shared" si="32"/>
        <v>1.7066819156972617</v>
      </c>
      <c r="I675" s="1">
        <v>0.60982567182932979</v>
      </c>
      <c r="J675">
        <f t="shared" si="30"/>
        <v>0.66684283730681171</v>
      </c>
    </row>
    <row r="676" spans="1:10">
      <c r="A676">
        <v>673</v>
      </c>
      <c r="B676">
        <v>0.19299905392620625</v>
      </c>
      <c r="C676">
        <v>0.32364879299295024</v>
      </c>
      <c r="D676" s="1">
        <f t="shared" si="31"/>
        <v>-0.86689761968703338</v>
      </c>
      <c r="E676" s="1">
        <f t="shared" si="32"/>
        <v>-1.3244172638341667</v>
      </c>
      <c r="I676" s="1">
        <v>0.61953113685970562</v>
      </c>
      <c r="J676">
        <f t="shared" si="30"/>
        <v>0.66933392149259041</v>
      </c>
    </row>
    <row r="677" spans="1:10">
      <c r="A677">
        <v>674</v>
      </c>
      <c r="B677">
        <v>0.81160924100466936</v>
      </c>
      <c r="C677">
        <v>0.36713766899624622</v>
      </c>
      <c r="D677" s="1">
        <f t="shared" si="31"/>
        <v>0.88384198588010032</v>
      </c>
      <c r="E677" s="1">
        <f t="shared" si="32"/>
        <v>0.54439806710941396</v>
      </c>
      <c r="I677" s="1">
        <v>0.62522005591420882</v>
      </c>
      <c r="J677">
        <f t="shared" si="30"/>
        <v>0.67079061587102395</v>
      </c>
    </row>
    <row r="678" spans="1:10">
      <c r="A678">
        <v>675</v>
      </c>
      <c r="B678">
        <v>0.28531754509109775</v>
      </c>
      <c r="C678">
        <v>0.25028229621265297</v>
      </c>
      <c r="D678" s="1">
        <f t="shared" si="31"/>
        <v>-0.56711641640097055</v>
      </c>
      <c r="E678" s="1">
        <f t="shared" si="32"/>
        <v>-1.2407180844210508</v>
      </c>
      <c r="I678" s="1">
        <v>0.62798763269465041</v>
      </c>
      <c r="J678">
        <f t="shared" si="30"/>
        <v>0.67149834190535973</v>
      </c>
    </row>
    <row r="679" spans="1:10">
      <c r="A679">
        <v>676</v>
      </c>
      <c r="B679">
        <v>0.1076693014313181</v>
      </c>
      <c r="C679">
        <v>0.39545884578997159</v>
      </c>
      <c r="D679" s="1">
        <f t="shared" si="31"/>
        <v>-1.2390186191283188</v>
      </c>
      <c r="E679" s="1">
        <f t="shared" si="32"/>
        <v>-1.504137748212544</v>
      </c>
      <c r="I679" s="1">
        <v>0.6315378614926821</v>
      </c>
      <c r="J679">
        <f t="shared" si="30"/>
        <v>0.67240530768219331</v>
      </c>
    </row>
    <row r="680" spans="1:10">
      <c r="A680">
        <v>677</v>
      </c>
      <c r="B680">
        <v>0.71419415875728631</v>
      </c>
      <c r="C680">
        <v>0.5697500534073916</v>
      </c>
      <c r="D680" s="1">
        <f t="shared" si="31"/>
        <v>0.56567948664678047</v>
      </c>
      <c r="E680" s="1">
        <f t="shared" si="32"/>
        <v>0.74141734282213523</v>
      </c>
      <c r="I680" s="1">
        <v>0.64476948712520699</v>
      </c>
      <c r="J680">
        <f t="shared" si="30"/>
        <v>0.67577656170614264</v>
      </c>
    </row>
    <row r="681" spans="1:10">
      <c r="A681">
        <v>678</v>
      </c>
      <c r="B681">
        <v>0.76149784844508195</v>
      </c>
      <c r="C681">
        <v>0.73659474471266828</v>
      </c>
      <c r="D681" s="1">
        <f t="shared" si="31"/>
        <v>0.7111289961649393</v>
      </c>
      <c r="E681" s="1">
        <f t="shared" si="32"/>
        <v>1.3440112909965871</v>
      </c>
      <c r="I681" s="1">
        <v>0.64575577446752541</v>
      </c>
      <c r="J681">
        <f t="shared" si="30"/>
        <v>0.67602728367444342</v>
      </c>
    </row>
    <row r="682" spans="1:10">
      <c r="A682">
        <v>679</v>
      </c>
      <c r="B682">
        <v>0.25678273873104035</v>
      </c>
      <c r="C682">
        <v>0.11001922666096987</v>
      </c>
      <c r="D682" s="1">
        <f t="shared" si="31"/>
        <v>-0.65329598944481604</v>
      </c>
      <c r="E682" s="1">
        <f t="shared" si="32"/>
        <v>-1.8797218657635142</v>
      </c>
      <c r="I682" s="1">
        <v>0.64605518708195109</v>
      </c>
      <c r="J682">
        <f t="shared" si="30"/>
        <v>0.67610338091519062</v>
      </c>
    </row>
    <row r="683" spans="1:10">
      <c r="A683">
        <v>680</v>
      </c>
      <c r="B683">
        <v>0.64577166051210055</v>
      </c>
      <c r="C683">
        <v>3.9277321695608387E-2</v>
      </c>
      <c r="D683" s="1">
        <f t="shared" si="31"/>
        <v>0.37392961976288502</v>
      </c>
      <c r="E683" s="1">
        <f t="shared" si="32"/>
        <v>-1.3852050149318365</v>
      </c>
      <c r="I683" s="1">
        <v>0.64634413468345875</v>
      </c>
      <c r="J683">
        <f t="shared" si="30"/>
        <v>0.67617681144133734</v>
      </c>
    </row>
    <row r="684" spans="1:10">
      <c r="A684">
        <v>681</v>
      </c>
      <c r="B684">
        <v>0.99438459425641657</v>
      </c>
      <c r="C684">
        <v>0.58851893673512989</v>
      </c>
      <c r="D684" s="1">
        <f t="shared" si="31"/>
        <v>2.535433920250306</v>
      </c>
      <c r="E684" s="1">
        <f t="shared" si="32"/>
        <v>2.7591706983196937</v>
      </c>
      <c r="I684" s="1">
        <v>0.64640096685314463</v>
      </c>
      <c r="J684">
        <f t="shared" si="30"/>
        <v>0.67619125344730113</v>
      </c>
    </row>
    <row r="685" spans="1:10">
      <c r="A685">
        <v>682</v>
      </c>
      <c r="B685">
        <v>0.48155156102175972</v>
      </c>
      <c r="C685">
        <v>0.97231971190527056</v>
      </c>
      <c r="D685" s="1">
        <f t="shared" si="31"/>
        <v>-4.6259872638958435E-2</v>
      </c>
      <c r="E685" s="1">
        <f t="shared" si="32"/>
        <v>1.8697756352485153</v>
      </c>
      <c r="I685" s="1">
        <v>0.65191340478875681</v>
      </c>
      <c r="J685">
        <f t="shared" si="30"/>
        <v>0.67759079272587763</v>
      </c>
    </row>
    <row r="686" spans="1:10">
      <c r="A686">
        <v>683</v>
      </c>
      <c r="B686">
        <v>0.68221076082644128</v>
      </c>
      <c r="C686">
        <v>9.8941007721182903E-2</v>
      </c>
      <c r="D686" s="1">
        <f t="shared" si="31"/>
        <v>0.47388982087296383</v>
      </c>
      <c r="E686" s="1">
        <f t="shared" si="32"/>
        <v>-0.81371943583322937</v>
      </c>
      <c r="I686" s="1">
        <v>0.65258906951591988</v>
      </c>
      <c r="J686">
        <f t="shared" si="30"/>
        <v>0.67776216306442616</v>
      </c>
    </row>
    <row r="687" spans="1:10">
      <c r="A687">
        <v>684</v>
      </c>
      <c r="B687">
        <v>0.80996124149296544</v>
      </c>
      <c r="C687">
        <v>0.26718955046235543</v>
      </c>
      <c r="D687" s="1">
        <f t="shared" si="31"/>
        <v>0.87775347619803012</v>
      </c>
      <c r="E687" s="1">
        <f t="shared" si="32"/>
        <v>0.2564182804916153</v>
      </c>
      <c r="I687" s="1">
        <v>0.65507898093325689</v>
      </c>
      <c r="J687">
        <f t="shared" si="30"/>
        <v>0.67839335844769211</v>
      </c>
    </row>
    <row r="688" spans="1:10">
      <c r="A688">
        <v>685</v>
      </c>
      <c r="B688">
        <v>0.58873256630146187</v>
      </c>
      <c r="C688">
        <v>0.47105319376201665</v>
      </c>
      <c r="D688" s="1">
        <f t="shared" si="31"/>
        <v>0.22428587369010056</v>
      </c>
      <c r="E688" s="1">
        <f t="shared" si="32"/>
        <v>0.1516632052284709</v>
      </c>
      <c r="I688" s="1">
        <v>0.66602908588744225</v>
      </c>
      <c r="J688">
        <f t="shared" si="30"/>
        <v>0.68116309458062241</v>
      </c>
    </row>
    <row r="689" spans="1:10">
      <c r="A689">
        <v>686</v>
      </c>
      <c r="B689">
        <v>0.21320230719931638</v>
      </c>
      <c r="C689">
        <v>0.17456587420270395</v>
      </c>
      <c r="D689" s="1">
        <f t="shared" si="31"/>
        <v>-0.79535915127333046</v>
      </c>
      <c r="E689" s="1">
        <f t="shared" si="32"/>
        <v>-1.7316338949689432</v>
      </c>
      <c r="I689" s="1">
        <v>0.67552014960423024</v>
      </c>
      <c r="J689">
        <f t="shared" si="30"/>
        <v>0.68355562717926788</v>
      </c>
    </row>
    <row r="690" spans="1:10">
      <c r="A690">
        <v>687</v>
      </c>
      <c r="B690">
        <v>0.61711478011413923</v>
      </c>
      <c r="C690">
        <v>0.2959074678792688</v>
      </c>
      <c r="D690" s="1">
        <f t="shared" si="31"/>
        <v>0.29791185475314957</v>
      </c>
      <c r="E690" s="1">
        <f t="shared" si="32"/>
        <v>-0.23829595624474992</v>
      </c>
      <c r="I690" s="1">
        <v>0.67670257202515494</v>
      </c>
      <c r="J690">
        <f t="shared" si="30"/>
        <v>0.68385316064937529</v>
      </c>
    </row>
    <row r="691" spans="1:10">
      <c r="A691">
        <v>688</v>
      </c>
      <c r="B691">
        <v>0.59425641651661731</v>
      </c>
      <c r="C691">
        <v>0.20450453199865717</v>
      </c>
      <c r="D691" s="1">
        <f t="shared" si="31"/>
        <v>0.2385079281748885</v>
      </c>
      <c r="E691" s="1">
        <f t="shared" si="32"/>
        <v>-0.58713079139474589</v>
      </c>
      <c r="I691" s="1">
        <v>0.6773379763426387</v>
      </c>
      <c r="J691">
        <f t="shared" si="30"/>
        <v>0.68401299856490527</v>
      </c>
    </row>
    <row r="692" spans="1:10">
      <c r="A692">
        <v>689</v>
      </c>
      <c r="B692">
        <v>0.53318887905514689</v>
      </c>
      <c r="C692">
        <v>0.25605029450361644</v>
      </c>
      <c r="D692" s="1">
        <f t="shared" si="31"/>
        <v>8.3288377130502148E-2</v>
      </c>
      <c r="E692" s="1">
        <f t="shared" si="32"/>
        <v>-0.57228200251295902</v>
      </c>
      <c r="I692" s="1">
        <v>0.67868447047942282</v>
      </c>
      <c r="J692">
        <f t="shared" si="30"/>
        <v>0.68435159962499204</v>
      </c>
    </row>
    <row r="693" spans="1:10">
      <c r="A693">
        <v>690</v>
      </c>
      <c r="B693">
        <v>0.29428998687704094</v>
      </c>
      <c r="C693">
        <v>0.48380993072298351</v>
      </c>
      <c r="D693" s="1">
        <f t="shared" si="31"/>
        <v>-0.54089497630259298</v>
      </c>
      <c r="E693" s="1">
        <f t="shared" si="32"/>
        <v>-0.58148860762000221</v>
      </c>
      <c r="I693" s="1">
        <v>0.68173359802165145</v>
      </c>
      <c r="J693">
        <f t="shared" si="30"/>
        <v>0.68511778751127417</v>
      </c>
    </row>
    <row r="694" spans="1:10">
      <c r="A694">
        <v>691</v>
      </c>
      <c r="B694">
        <v>0.21051667836542864</v>
      </c>
      <c r="C694">
        <v>1.0528885769219032E-2</v>
      </c>
      <c r="D694" s="1">
        <f t="shared" si="31"/>
        <v>-0.80462977159702009</v>
      </c>
      <c r="E694" s="1">
        <f t="shared" si="32"/>
        <v>-3.1115768323600088</v>
      </c>
      <c r="I694" s="1">
        <v>0.68377602900699741</v>
      </c>
      <c r="J694">
        <f t="shared" si="30"/>
        <v>0.68563056669574629</v>
      </c>
    </row>
    <row r="695" spans="1:10">
      <c r="A695">
        <v>692</v>
      </c>
      <c r="B695">
        <v>0.56382946256904809</v>
      </c>
      <c r="C695">
        <v>0.22952970976897488</v>
      </c>
      <c r="D695" s="1">
        <f t="shared" si="31"/>
        <v>0.16068554505295987</v>
      </c>
      <c r="E695" s="1">
        <f t="shared" si="32"/>
        <v>-0.57971099185416797</v>
      </c>
      <c r="I695" s="1">
        <v>0.68625152730278993</v>
      </c>
      <c r="J695">
        <f t="shared" si="30"/>
        <v>0.68625159322181428</v>
      </c>
    </row>
    <row r="696" spans="1:10">
      <c r="A696">
        <v>693</v>
      </c>
      <c r="B696">
        <v>0.59572130497146525</v>
      </c>
      <c r="C696">
        <v>0.38724936674092836</v>
      </c>
      <c r="D696" s="1">
        <f t="shared" si="31"/>
        <v>0.24228751132344184</v>
      </c>
      <c r="E696" s="1">
        <f t="shared" si="32"/>
        <v>-4.4207866053905032E-2</v>
      </c>
      <c r="I696" s="1">
        <v>0.68723146192578055</v>
      </c>
      <c r="J696">
        <f t="shared" si="30"/>
        <v>0.68649728314090075</v>
      </c>
    </row>
    <row r="697" spans="1:10">
      <c r="A697">
        <v>694</v>
      </c>
      <c r="B697">
        <v>0.53080843531601918</v>
      </c>
      <c r="C697">
        <v>0.33274330881679737</v>
      </c>
      <c r="D697" s="1">
        <f t="shared" si="31"/>
        <v>7.7302214370072855E-2</v>
      </c>
      <c r="E697" s="1">
        <f t="shared" si="32"/>
        <v>-0.35504838370927561</v>
      </c>
      <c r="I697" s="1">
        <v>0.691306932882778</v>
      </c>
      <c r="J697">
        <f t="shared" si="30"/>
        <v>0.68751819980942619</v>
      </c>
    </row>
    <row r="698" spans="1:10">
      <c r="A698">
        <v>695</v>
      </c>
      <c r="B698">
        <v>0.21485030671102023</v>
      </c>
      <c r="C698">
        <v>0.15198217719046603</v>
      </c>
      <c r="D698" s="1">
        <f t="shared" si="31"/>
        <v>-0.78970407079295357</v>
      </c>
      <c r="E698" s="1">
        <f t="shared" si="32"/>
        <v>-1.8176731893590667</v>
      </c>
      <c r="I698" s="1">
        <v>0.69491725315268571</v>
      </c>
      <c r="J698">
        <f t="shared" si="30"/>
        <v>0.68842139468721508</v>
      </c>
    </row>
    <row r="699" spans="1:10">
      <c r="A699">
        <v>696</v>
      </c>
      <c r="B699">
        <v>0.4502395702993866</v>
      </c>
      <c r="C699">
        <v>0.49217200231940672</v>
      </c>
      <c r="D699" s="1">
        <f t="shared" si="31"/>
        <v>-0.12505609609467463</v>
      </c>
      <c r="E699" s="1">
        <f t="shared" si="32"/>
        <v>-0.14467923571443167</v>
      </c>
      <c r="I699" s="1">
        <v>0.69504556472008383</v>
      </c>
      <c r="J699">
        <f t="shared" si="30"/>
        <v>0.68845347361993481</v>
      </c>
    </row>
    <row r="700" spans="1:10">
      <c r="A700">
        <v>697</v>
      </c>
      <c r="B700">
        <v>0.1152378917813654</v>
      </c>
      <c r="C700">
        <v>0.28257087923825802</v>
      </c>
      <c r="D700" s="1">
        <f t="shared" si="31"/>
        <v>-1.1991341592269988</v>
      </c>
      <c r="E700" s="1">
        <f t="shared" si="32"/>
        <v>-1.7743552827421527</v>
      </c>
      <c r="I700" s="1">
        <v>0.69808323597773092</v>
      </c>
      <c r="J700">
        <f t="shared" si="30"/>
        <v>0.68921249785499283</v>
      </c>
    </row>
    <row r="701" spans="1:10">
      <c r="A701">
        <v>698</v>
      </c>
      <c r="B701">
        <v>0.80495620593890194</v>
      </c>
      <c r="C701">
        <v>0.36466566972869047</v>
      </c>
      <c r="D701" s="1">
        <f t="shared" si="31"/>
        <v>0.85945853344057976</v>
      </c>
      <c r="E701" s="1">
        <f t="shared" si="32"/>
        <v>0.51344339715982334</v>
      </c>
      <c r="I701" s="1">
        <v>0.69811493954321491</v>
      </c>
      <c r="J701">
        <f t="shared" si="30"/>
        <v>0.68922041540204959</v>
      </c>
    </row>
    <row r="702" spans="1:10">
      <c r="A702">
        <v>699</v>
      </c>
      <c r="B702">
        <v>0.78676717429120757</v>
      </c>
      <c r="C702">
        <v>0.59971922971282088</v>
      </c>
      <c r="D702" s="1">
        <f t="shared" si="31"/>
        <v>0.79525419663364716</v>
      </c>
      <c r="E702" s="1">
        <f t="shared" si="32"/>
        <v>1.0478746273391935</v>
      </c>
      <c r="I702" s="1">
        <v>0.70025217190152445</v>
      </c>
      <c r="J702">
        <f t="shared" si="30"/>
        <v>0.68975395877907464</v>
      </c>
    </row>
    <row r="703" spans="1:10">
      <c r="A703">
        <v>700</v>
      </c>
      <c r="B703">
        <v>0.87386700033570364</v>
      </c>
      <c r="C703">
        <v>0.42677083651234476</v>
      </c>
      <c r="D703" s="1">
        <f t="shared" si="31"/>
        <v>1.1448627917338796</v>
      </c>
      <c r="E703" s="1">
        <f t="shared" si="32"/>
        <v>0.96026137292814928</v>
      </c>
      <c r="I703" s="1">
        <v>0.7005475409182127</v>
      </c>
      <c r="J703">
        <f t="shared" si="30"/>
        <v>0.68982766397988926</v>
      </c>
    </row>
    <row r="704" spans="1:10">
      <c r="A704">
        <v>701</v>
      </c>
      <c r="B704">
        <v>0.45979186376537368</v>
      </c>
      <c r="C704">
        <v>0.92068239387188333</v>
      </c>
      <c r="D704" s="1">
        <f t="shared" si="31"/>
        <v>-0.10095809243842041</v>
      </c>
      <c r="E704" s="1">
        <f t="shared" si="32"/>
        <v>1.30871845681425</v>
      </c>
      <c r="I704" s="1">
        <v>0.71562388711921343</v>
      </c>
      <c r="J704">
        <f t="shared" si="30"/>
        <v>0.6935795739007462</v>
      </c>
    </row>
    <row r="705" spans="1:10">
      <c r="A705">
        <v>702</v>
      </c>
      <c r="B705">
        <v>0.82570879238257999</v>
      </c>
      <c r="C705">
        <v>0.29850154118472855</v>
      </c>
      <c r="D705" s="1">
        <f t="shared" si="31"/>
        <v>0.93734248597010073</v>
      </c>
      <c r="E705" s="1">
        <f t="shared" si="32"/>
        <v>0.40862735960402152</v>
      </c>
      <c r="I705" s="1">
        <v>0.71779009570848584</v>
      </c>
      <c r="J705">
        <f t="shared" si="30"/>
        <v>0.69411700700793</v>
      </c>
    </row>
    <row r="706" spans="1:10">
      <c r="A706">
        <v>703</v>
      </c>
      <c r="B706">
        <v>0.86031678212836082</v>
      </c>
      <c r="C706">
        <v>0.73244422742393267</v>
      </c>
      <c r="D706" s="1">
        <f t="shared" si="31"/>
        <v>1.0817436858046616</v>
      </c>
      <c r="E706" s="1">
        <f t="shared" si="32"/>
        <v>1.7019658288546569</v>
      </c>
      <c r="I706" s="1">
        <v>0.71885032468924248</v>
      </c>
      <c r="J706">
        <f t="shared" si="30"/>
        <v>0.69437989605302763</v>
      </c>
    </row>
    <row r="707" spans="1:10">
      <c r="A707">
        <v>704</v>
      </c>
      <c r="B707">
        <v>0.34922330393383588</v>
      </c>
      <c r="C707">
        <v>0.79042939542832724</v>
      </c>
      <c r="D707" s="1">
        <f t="shared" si="31"/>
        <v>-0.38741823280407478</v>
      </c>
      <c r="E707" s="1">
        <f t="shared" si="32"/>
        <v>0.42049382560277487</v>
      </c>
      <c r="I707" s="1">
        <v>0.71941687973490298</v>
      </c>
      <c r="J707">
        <f t="shared" si="30"/>
        <v>0.69452033513729527</v>
      </c>
    </row>
    <row r="708" spans="1:10">
      <c r="A708">
        <v>705</v>
      </c>
      <c r="B708">
        <v>0.63493758964812164</v>
      </c>
      <c r="C708">
        <v>0.8511612292855617</v>
      </c>
      <c r="D708" s="1">
        <f t="shared" si="31"/>
        <v>0.34495949676101889</v>
      </c>
      <c r="E708" s="1">
        <f t="shared" si="32"/>
        <v>1.3863862284245658</v>
      </c>
      <c r="I708" s="1">
        <v>0.72332351533618622</v>
      </c>
      <c r="J708">
        <f t="shared" ref="J708:J771" si="33">_xlfn.NORM.DIST(I708,$J$1,$J$2,TRUE)</f>
        <v>0.69548794185693419</v>
      </c>
    </row>
    <row r="709" spans="1:10">
      <c r="A709">
        <v>706</v>
      </c>
      <c r="B709">
        <v>0.42823572496719259</v>
      </c>
      <c r="C709">
        <v>0.5229346598712119</v>
      </c>
      <c r="D709" s="1">
        <f t="shared" ref="D709:D772" si="34">_xlfn.NORM.INV(B709, 0, 1)</f>
        <v>-0.18086766484774983</v>
      </c>
      <c r="E709" s="1">
        <f t="shared" ref="E709:E772" si="35">_xlfn.NORM.INV(C709,D709,1)</f>
        <v>-0.12334729509940387</v>
      </c>
      <c r="I709" s="1">
        <v>0.72600641147111034</v>
      </c>
      <c r="J709">
        <f t="shared" si="33"/>
        <v>0.6961516583407058</v>
      </c>
    </row>
    <row r="710" spans="1:10">
      <c r="A710">
        <v>707</v>
      </c>
      <c r="B710">
        <v>0.87380596331675164</v>
      </c>
      <c r="C710">
        <v>0.77135532700582898</v>
      </c>
      <c r="D710" s="1">
        <f t="shared" si="34"/>
        <v>1.1445681954585254</v>
      </c>
      <c r="E710" s="1">
        <f t="shared" si="35"/>
        <v>1.8878859151900631</v>
      </c>
      <c r="I710" s="1">
        <v>0.72619030731434697</v>
      </c>
      <c r="J710">
        <f t="shared" si="33"/>
        <v>0.69619712833748859</v>
      </c>
    </row>
    <row r="711" spans="1:10">
      <c r="A711">
        <v>708</v>
      </c>
      <c r="B711">
        <v>0.23007904293954284</v>
      </c>
      <c r="C711">
        <v>0.2576677755058443</v>
      </c>
      <c r="D711" s="1">
        <f t="shared" si="34"/>
        <v>-0.73858656320151972</v>
      </c>
      <c r="E711" s="1">
        <f t="shared" si="35"/>
        <v>-1.3891388312658044</v>
      </c>
      <c r="I711" s="1">
        <v>0.73483105362819046</v>
      </c>
      <c r="J711">
        <f t="shared" si="33"/>
        <v>0.69833020254803491</v>
      </c>
    </row>
    <row r="712" spans="1:10">
      <c r="A712">
        <v>709</v>
      </c>
      <c r="B712">
        <v>7.406842249824519E-2</v>
      </c>
      <c r="C712">
        <v>0.53517258217108676</v>
      </c>
      <c r="D712" s="1">
        <f t="shared" si="34"/>
        <v>-1.4461438993031175</v>
      </c>
      <c r="E712" s="1">
        <f t="shared" si="35"/>
        <v>-1.3578647814129823</v>
      </c>
      <c r="I712" s="1">
        <v>0.74141734282213523</v>
      </c>
      <c r="J712">
        <f t="shared" si="33"/>
        <v>0.69995157094044114</v>
      </c>
    </row>
    <row r="713" spans="1:10">
      <c r="A713">
        <v>710</v>
      </c>
      <c r="B713">
        <v>0.32853175450910976</v>
      </c>
      <c r="C713">
        <v>0.69991149632251959</v>
      </c>
      <c r="D713" s="1">
        <f t="shared" si="34"/>
        <v>-0.44397105774521545</v>
      </c>
      <c r="E713" s="1">
        <f t="shared" si="35"/>
        <v>8.0174926196788399E-2</v>
      </c>
      <c r="I713" s="1">
        <v>0.75149440295275627</v>
      </c>
      <c r="J713">
        <f t="shared" si="33"/>
        <v>0.70242461257537336</v>
      </c>
    </row>
    <row r="714" spans="1:10">
      <c r="A714">
        <v>711</v>
      </c>
      <c r="B714">
        <v>0.13101596118045594</v>
      </c>
      <c r="C714">
        <v>9.4454786828211304E-2</v>
      </c>
      <c r="D714" s="1">
        <f t="shared" si="34"/>
        <v>-1.121601479384821</v>
      </c>
      <c r="E714" s="1">
        <f t="shared" si="35"/>
        <v>-2.4354131961914556</v>
      </c>
      <c r="I714" s="1">
        <v>0.75340067117272458</v>
      </c>
      <c r="J714">
        <f t="shared" si="33"/>
        <v>0.70289138708699073</v>
      </c>
    </row>
    <row r="715" spans="1:10">
      <c r="A715">
        <v>712</v>
      </c>
      <c r="B715">
        <v>0.750022888882107</v>
      </c>
      <c r="C715">
        <v>0.1033356730857265</v>
      </c>
      <c r="D715" s="1">
        <f t="shared" si="34"/>
        <v>0.67456178016968427</v>
      </c>
      <c r="E715" s="1">
        <f t="shared" si="35"/>
        <v>-0.5882096187154634</v>
      </c>
      <c r="I715" s="1">
        <v>0.75580079145081025</v>
      </c>
      <c r="J715">
        <f t="shared" si="33"/>
        <v>0.70347861109127607</v>
      </c>
    </row>
    <row r="716" spans="1:10">
      <c r="A716">
        <v>713</v>
      </c>
      <c r="B716">
        <v>0.14142277291177099</v>
      </c>
      <c r="C716">
        <v>0.42219306009094515</v>
      </c>
      <c r="D716" s="1">
        <f t="shared" si="34"/>
        <v>-1.0739489871519365</v>
      </c>
      <c r="E716" s="1">
        <f t="shared" si="35"/>
        <v>-1.2702352407088118</v>
      </c>
      <c r="I716" s="1">
        <v>0.75691495494199823</v>
      </c>
      <c r="J716">
        <f t="shared" si="33"/>
        <v>0.70375102638584863</v>
      </c>
    </row>
    <row r="717" spans="1:10">
      <c r="A717">
        <v>714</v>
      </c>
      <c r="B717">
        <v>0.73915829950865197</v>
      </c>
      <c r="C717">
        <v>0.15924558244575335</v>
      </c>
      <c r="D717" s="1">
        <f t="shared" si="34"/>
        <v>0.64075265008463511</v>
      </c>
      <c r="E717" s="1">
        <f t="shared" si="35"/>
        <v>-0.35681064950660091</v>
      </c>
      <c r="I717" s="1">
        <v>0.75950847189118842</v>
      </c>
      <c r="J717">
        <f t="shared" si="33"/>
        <v>0.70438470167125167</v>
      </c>
    </row>
    <row r="718" spans="1:10">
      <c r="A718">
        <v>715</v>
      </c>
      <c r="B718">
        <v>0.57884456923123873</v>
      </c>
      <c r="C718">
        <v>0.17743461409344768</v>
      </c>
      <c r="D718" s="1">
        <f t="shared" si="34"/>
        <v>0.19893848874770426</v>
      </c>
      <c r="E718" s="1">
        <f t="shared" si="35"/>
        <v>-0.72624738891368046</v>
      </c>
      <c r="I718" s="1">
        <v>0.76529105721766277</v>
      </c>
      <c r="J718">
        <f t="shared" si="33"/>
        <v>0.70579531543496887</v>
      </c>
    </row>
    <row r="719" spans="1:10">
      <c r="A719">
        <v>716</v>
      </c>
      <c r="B719">
        <v>0.81505783257545705</v>
      </c>
      <c r="C719">
        <v>4.4251838740195929E-3</v>
      </c>
      <c r="D719" s="1">
        <f t="shared" si="34"/>
        <v>0.89669004367793015</v>
      </c>
      <c r="E719" s="1">
        <f t="shared" si="35"/>
        <v>-1.7210906015036578</v>
      </c>
      <c r="I719" s="1">
        <v>0.77173197832009133</v>
      </c>
      <c r="J719">
        <f t="shared" si="33"/>
        <v>0.70736285359452256</v>
      </c>
    </row>
    <row r="720" spans="1:10">
      <c r="A720">
        <v>717</v>
      </c>
      <c r="B720">
        <v>0.3792229987487411</v>
      </c>
      <c r="C720">
        <v>0.66930143131809439</v>
      </c>
      <c r="D720" s="1">
        <f t="shared" si="34"/>
        <v>-0.30752210867868196</v>
      </c>
      <c r="E720" s="1">
        <f t="shared" si="35"/>
        <v>0.13046291848342756</v>
      </c>
      <c r="I720" s="1">
        <v>0.77234796609053413</v>
      </c>
      <c r="J720">
        <f t="shared" si="33"/>
        <v>0.70751256411281838</v>
      </c>
    </row>
    <row r="721" spans="1:10">
      <c r="A721">
        <v>718</v>
      </c>
      <c r="B721">
        <v>0.7525864436780908</v>
      </c>
      <c r="C721">
        <v>0.36576433606982633</v>
      </c>
      <c r="D721" s="1">
        <f t="shared" si="34"/>
        <v>0.682651453590437</v>
      </c>
      <c r="E721" s="1">
        <f t="shared" si="35"/>
        <v>0.33955868630385899</v>
      </c>
      <c r="I721" s="1">
        <v>0.78347309785858987</v>
      </c>
      <c r="J721">
        <f t="shared" si="33"/>
        <v>0.71021028297905298</v>
      </c>
    </row>
    <row r="722" spans="1:10">
      <c r="A722">
        <v>719</v>
      </c>
      <c r="B722">
        <v>0.28186895352031005</v>
      </c>
      <c r="C722">
        <v>0.31794183172093876</v>
      </c>
      <c r="D722" s="1">
        <f t="shared" si="34"/>
        <v>-0.57729838121217303</v>
      </c>
      <c r="E722" s="1">
        <f t="shared" si="35"/>
        <v>-1.0507603000694712</v>
      </c>
      <c r="I722" s="1">
        <v>0.78714720729356946</v>
      </c>
      <c r="J722">
        <f t="shared" si="33"/>
        <v>0.71109864178730842</v>
      </c>
    </row>
    <row r="723" spans="1:10">
      <c r="A723">
        <v>720</v>
      </c>
      <c r="B723">
        <v>0.70439771721549116</v>
      </c>
      <c r="C723">
        <v>0.49226355784783471</v>
      </c>
      <c r="D723" s="1">
        <f t="shared" si="34"/>
        <v>0.53709127750670715</v>
      </c>
      <c r="E723" s="1">
        <f t="shared" si="35"/>
        <v>0.51769767723819582</v>
      </c>
      <c r="I723" s="1">
        <v>0.78715770925319606</v>
      </c>
      <c r="J723">
        <f t="shared" si="33"/>
        <v>0.71110117920650273</v>
      </c>
    </row>
    <row r="724" spans="1:10">
      <c r="A724">
        <v>721</v>
      </c>
      <c r="B724">
        <v>3.0274361400189215E-2</v>
      </c>
      <c r="C724">
        <v>0.90942106387524035</v>
      </c>
      <c r="D724" s="1">
        <f t="shared" si="34"/>
        <v>-1.8767765715125306</v>
      </c>
      <c r="E724" s="1">
        <f t="shared" si="35"/>
        <v>-0.53957813534659604</v>
      </c>
      <c r="I724" s="1">
        <v>0.78936166576103028</v>
      </c>
      <c r="J724">
        <f t="shared" si="33"/>
        <v>0.71163345348086993</v>
      </c>
    </row>
    <row r="725" spans="1:10">
      <c r="A725">
        <v>722</v>
      </c>
      <c r="B725">
        <v>0.89870906704916531</v>
      </c>
      <c r="C725">
        <v>0.23947874385814996</v>
      </c>
      <c r="D725" s="1">
        <f t="shared" si="34"/>
        <v>1.2742301417901274</v>
      </c>
      <c r="E725" s="1">
        <f t="shared" si="35"/>
        <v>0.56624983605896395</v>
      </c>
      <c r="I725" s="1">
        <v>0.79001120405081859</v>
      </c>
      <c r="J725">
        <f t="shared" si="33"/>
        <v>0.71179023425574528</v>
      </c>
    </row>
    <row r="726" spans="1:10">
      <c r="A726">
        <v>723</v>
      </c>
      <c r="B726">
        <v>0.37577440717795341</v>
      </c>
      <c r="C726">
        <v>0.79927976317636651</v>
      </c>
      <c r="D726" s="1">
        <f t="shared" si="34"/>
        <v>-0.31659778809371419</v>
      </c>
      <c r="E726" s="1">
        <f t="shared" si="35"/>
        <v>0.52245359948633985</v>
      </c>
      <c r="I726" s="1">
        <v>0.79168954155872528</v>
      </c>
      <c r="J726">
        <f t="shared" si="33"/>
        <v>0.71219515273536493</v>
      </c>
    </row>
    <row r="727" spans="1:10">
      <c r="A727">
        <v>724</v>
      </c>
      <c r="B727">
        <v>0.33579515976439711</v>
      </c>
      <c r="C727">
        <v>8.658101138340403E-2</v>
      </c>
      <c r="D727" s="1">
        <f t="shared" si="34"/>
        <v>-0.42396639751596377</v>
      </c>
      <c r="E727" s="1">
        <f t="shared" si="35"/>
        <v>-1.7860800424237135</v>
      </c>
      <c r="I727" s="1">
        <v>0.7929067181993773</v>
      </c>
      <c r="J727">
        <f t="shared" si="33"/>
        <v>0.71248864256905442</v>
      </c>
    </row>
    <row r="728" spans="1:10">
      <c r="A728">
        <v>725</v>
      </c>
      <c r="B728">
        <v>0.86727500228888821</v>
      </c>
      <c r="C728">
        <v>0.97460860011597028</v>
      </c>
      <c r="D728" s="1">
        <f t="shared" si="34"/>
        <v>1.113601936207665</v>
      </c>
      <c r="E728" s="1">
        <f t="shared" si="35"/>
        <v>3.0669125569369058</v>
      </c>
      <c r="I728" s="1">
        <v>0.79907067647025232</v>
      </c>
      <c r="J728">
        <f t="shared" si="33"/>
        <v>0.71397274027442903</v>
      </c>
    </row>
    <row r="729" spans="1:10">
      <c r="A729">
        <v>726</v>
      </c>
      <c r="B729">
        <v>0.78185369426557205</v>
      </c>
      <c r="C729">
        <v>0.61095004119998775</v>
      </c>
      <c r="D729" s="1">
        <f t="shared" si="34"/>
        <v>0.77846893830190433</v>
      </c>
      <c r="E729" s="1">
        <f t="shared" si="35"/>
        <v>1.0602649652076737</v>
      </c>
      <c r="I729" s="1">
        <v>0.80203975927600057</v>
      </c>
      <c r="J729">
        <f t="shared" si="33"/>
        <v>0.71468630557341739</v>
      </c>
    </row>
    <row r="730" spans="1:10">
      <c r="A730">
        <v>727</v>
      </c>
      <c r="B730">
        <v>0.78026673177282024</v>
      </c>
      <c r="C730">
        <v>0.64980010376293218</v>
      </c>
      <c r="D730" s="1">
        <f t="shared" si="34"/>
        <v>0.77309436382013463</v>
      </c>
      <c r="E730" s="1">
        <f t="shared" si="35"/>
        <v>1.157875208189951</v>
      </c>
      <c r="I730" s="1">
        <v>0.81229552126305204</v>
      </c>
      <c r="J730">
        <f t="shared" si="33"/>
        <v>0.7171445469136164</v>
      </c>
    </row>
    <row r="731" spans="1:10">
      <c r="A731">
        <v>728</v>
      </c>
      <c r="B731">
        <v>0.25150303659169287</v>
      </c>
      <c r="C731">
        <v>0.64217047639393288</v>
      </c>
      <c r="D731" s="1">
        <f t="shared" si="34"/>
        <v>-0.66976740796326983</v>
      </c>
      <c r="E731" s="1">
        <f t="shared" si="35"/>
        <v>-0.30550095371345665</v>
      </c>
      <c r="I731" s="1">
        <v>0.8126068977413532</v>
      </c>
      <c r="J731">
        <f t="shared" si="33"/>
        <v>0.71721902249868186</v>
      </c>
    </row>
    <row r="732" spans="1:10">
      <c r="A732">
        <v>729</v>
      </c>
      <c r="B732">
        <v>0.85976744895779289</v>
      </c>
      <c r="C732">
        <v>0.98059022797326578</v>
      </c>
      <c r="D732" s="1">
        <f t="shared" si="34"/>
        <v>1.0792751168297392</v>
      </c>
      <c r="E732" s="1">
        <f t="shared" si="35"/>
        <v>3.1453697589816363</v>
      </c>
      <c r="I732" s="1">
        <v>0.82315009004424944</v>
      </c>
      <c r="J732">
        <f t="shared" si="33"/>
        <v>0.71973518619753252</v>
      </c>
    </row>
    <row r="733" spans="1:10">
      <c r="A733">
        <v>730</v>
      </c>
      <c r="B733">
        <v>0.20471816156498918</v>
      </c>
      <c r="C733">
        <v>0.59245582445753353</v>
      </c>
      <c r="D733" s="1">
        <f t="shared" si="34"/>
        <v>-0.82488598623112364</v>
      </c>
      <c r="E733" s="1">
        <f t="shared" si="35"/>
        <v>-0.59101913831853159</v>
      </c>
      <c r="I733" s="1">
        <v>0.8275519666474207</v>
      </c>
      <c r="J733">
        <f t="shared" si="33"/>
        <v>0.72078248835209879</v>
      </c>
    </row>
    <row r="734" spans="1:10">
      <c r="A734">
        <v>731</v>
      </c>
      <c r="B734">
        <v>0.45304727317117832</v>
      </c>
      <c r="C734">
        <v>0.65431684316537986</v>
      </c>
      <c r="D734" s="1">
        <f t="shared" si="34"/>
        <v>-0.11796606494627648</v>
      </c>
      <c r="E734" s="1">
        <f t="shared" si="35"/>
        <v>0.27903549038957237</v>
      </c>
      <c r="I734" s="1">
        <v>0.82846660878625289</v>
      </c>
      <c r="J734">
        <f t="shared" si="33"/>
        <v>0.72099986268495919</v>
      </c>
    </row>
    <row r="735" spans="1:10">
      <c r="A735">
        <v>732</v>
      </c>
      <c r="B735">
        <v>0.98107852412488172</v>
      </c>
      <c r="C735">
        <v>0.93990905484176157</v>
      </c>
      <c r="D735" s="1">
        <f t="shared" si="34"/>
        <v>2.0765517322351958</v>
      </c>
      <c r="E735" s="1">
        <f t="shared" si="35"/>
        <v>3.630562323379555</v>
      </c>
      <c r="I735" s="1">
        <v>0.8306925529797583</v>
      </c>
      <c r="J735">
        <f t="shared" si="33"/>
        <v>0.72152853759161917</v>
      </c>
    </row>
    <row r="736" spans="1:10">
      <c r="A736">
        <v>733</v>
      </c>
      <c r="B736">
        <v>0.71056245612964264</v>
      </c>
      <c r="C736">
        <v>0.67897579882198555</v>
      </c>
      <c r="D736" s="1">
        <f t="shared" si="34"/>
        <v>0.555028615477417</v>
      </c>
      <c r="E736" s="1">
        <f t="shared" si="35"/>
        <v>1.0198653175769621</v>
      </c>
      <c r="I736" s="1">
        <v>0.84005875408526465</v>
      </c>
      <c r="J736">
        <f t="shared" si="33"/>
        <v>0.72374770292308477</v>
      </c>
    </row>
    <row r="737" spans="1:10">
      <c r="A737">
        <v>734</v>
      </c>
      <c r="B737">
        <v>0.684499649037141</v>
      </c>
      <c r="C737">
        <v>0.14639728995635853</v>
      </c>
      <c r="D737" s="1">
        <f t="shared" si="34"/>
        <v>0.48031882941647208</v>
      </c>
      <c r="E737" s="1">
        <f t="shared" si="35"/>
        <v>-0.5716920026637814</v>
      </c>
      <c r="I737" s="1">
        <v>0.85255292065269295</v>
      </c>
      <c r="J737">
        <f t="shared" si="33"/>
        <v>0.72669441281532832</v>
      </c>
    </row>
    <row r="738" spans="1:10">
      <c r="A738">
        <v>735</v>
      </c>
      <c r="B738">
        <v>0.46626178777428512</v>
      </c>
      <c r="C738">
        <v>0.77358317819757683</v>
      </c>
      <c r="D738" s="1">
        <f t="shared" si="34"/>
        <v>-8.4670215438339802E-2</v>
      </c>
      <c r="E738" s="1">
        <f t="shared" si="35"/>
        <v>0.66602908588744225</v>
      </c>
      <c r="I738" s="1">
        <v>0.85569948554131769</v>
      </c>
      <c r="J738">
        <f t="shared" si="33"/>
        <v>0.72743405865604838</v>
      </c>
    </row>
    <row r="739" spans="1:10">
      <c r="A739">
        <v>736</v>
      </c>
      <c r="B739">
        <v>0.93752861110263375</v>
      </c>
      <c r="C739">
        <v>5.3041169469283118E-2</v>
      </c>
      <c r="D739" s="1">
        <f t="shared" si="34"/>
        <v>1.5343532268348212</v>
      </c>
      <c r="E739" s="1">
        <f t="shared" si="35"/>
        <v>-8.170215896252353E-2</v>
      </c>
      <c r="I739" s="1">
        <v>0.86149380551582155</v>
      </c>
      <c r="J739">
        <f t="shared" si="33"/>
        <v>0.72879349275292293</v>
      </c>
    </row>
    <row r="740" spans="1:10">
      <c r="A740">
        <v>737</v>
      </c>
      <c r="B740">
        <v>0.79229102450636313</v>
      </c>
      <c r="C740">
        <v>0.48323007904293952</v>
      </c>
      <c r="D740" s="1">
        <f t="shared" si="34"/>
        <v>0.81439631152917036</v>
      </c>
      <c r="E740" s="1">
        <f t="shared" si="35"/>
        <v>0.77234796609053413</v>
      </c>
      <c r="I740" s="1">
        <v>0.87104584006666208</v>
      </c>
      <c r="J740">
        <f t="shared" si="33"/>
        <v>0.73102713826879184</v>
      </c>
    </row>
    <row r="741" spans="1:10">
      <c r="A741">
        <v>738</v>
      </c>
      <c r="B741">
        <v>0.76778466139713741</v>
      </c>
      <c r="C741">
        <v>0.63249610889004182</v>
      </c>
      <c r="D741" s="1">
        <f t="shared" si="34"/>
        <v>0.73157063459010852</v>
      </c>
      <c r="E741" s="1">
        <f t="shared" si="35"/>
        <v>1.0700422918848116</v>
      </c>
      <c r="I741" s="1">
        <v>0.87465131094968074</v>
      </c>
      <c r="J741">
        <f t="shared" si="33"/>
        <v>0.73186783350404361</v>
      </c>
    </row>
    <row r="742" spans="1:10">
      <c r="A742">
        <v>739</v>
      </c>
      <c r="B742">
        <v>0.68620868556779691</v>
      </c>
      <c r="C742">
        <v>0.62834559160130621</v>
      </c>
      <c r="D742" s="1">
        <f t="shared" si="34"/>
        <v>0.48513212015273044</v>
      </c>
      <c r="E742" s="1">
        <f t="shared" si="35"/>
        <v>0.8126068977413532</v>
      </c>
      <c r="I742" s="1">
        <v>0.88340562419800039</v>
      </c>
      <c r="J742">
        <f t="shared" si="33"/>
        <v>0.73390357608426005</v>
      </c>
    </row>
    <row r="743" spans="1:10">
      <c r="A743">
        <v>740</v>
      </c>
      <c r="B743">
        <v>0.50300607318338575</v>
      </c>
      <c r="C743">
        <v>0.52024903103732412</v>
      </c>
      <c r="D743" s="1">
        <f t="shared" si="34"/>
        <v>7.5351793430446651E-3</v>
      </c>
      <c r="E743" s="1">
        <f t="shared" si="35"/>
        <v>5.8313786464273452E-2</v>
      </c>
      <c r="I743" s="1">
        <v>0.89006493976696088</v>
      </c>
      <c r="J743">
        <f t="shared" si="33"/>
        <v>0.73544688562450822</v>
      </c>
    </row>
    <row r="744" spans="1:10">
      <c r="A744">
        <v>741</v>
      </c>
      <c r="B744">
        <v>0.51564073610644856</v>
      </c>
      <c r="C744">
        <v>7.4800866725669116E-2</v>
      </c>
      <c r="D744" s="1">
        <f t="shared" si="34"/>
        <v>3.921556038369034E-2</v>
      </c>
      <c r="E744" s="1">
        <f t="shared" si="35"/>
        <v>-1.4017240886254361</v>
      </c>
      <c r="I744" s="1">
        <v>0.89124720479671704</v>
      </c>
      <c r="J744">
        <f t="shared" si="33"/>
        <v>0.73572040109727688</v>
      </c>
    </row>
    <row r="745" spans="1:10">
      <c r="A745">
        <v>742</v>
      </c>
      <c r="B745">
        <v>5.0996429334391309E-2</v>
      </c>
      <c r="C745">
        <v>0.61433759575182345</v>
      </c>
      <c r="D745" s="1">
        <f t="shared" si="34"/>
        <v>-1.6352680954861785</v>
      </c>
      <c r="E745" s="1">
        <f t="shared" si="35"/>
        <v>-1.3446256690842426</v>
      </c>
      <c r="I745" s="1">
        <v>0.89128639877974569</v>
      </c>
      <c r="J745">
        <f t="shared" si="33"/>
        <v>0.73572946610765766</v>
      </c>
    </row>
    <row r="746" spans="1:10">
      <c r="A746">
        <v>743</v>
      </c>
      <c r="B746">
        <v>0.33783989989928892</v>
      </c>
      <c r="C746">
        <v>0.20404675435651723</v>
      </c>
      <c r="D746" s="1">
        <f t="shared" si="34"/>
        <v>-0.41836564635061513</v>
      </c>
      <c r="E746" s="1">
        <f t="shared" si="35"/>
        <v>-1.2456189434964382</v>
      </c>
      <c r="I746" s="1">
        <v>0.89174088620649394</v>
      </c>
      <c r="J746">
        <f t="shared" si="33"/>
        <v>0.73583457101611727</v>
      </c>
    </row>
    <row r="747" spans="1:10">
      <c r="A747">
        <v>744</v>
      </c>
      <c r="B747">
        <v>0.46000549333170571</v>
      </c>
      <c r="C747">
        <v>0.85644093142490918</v>
      </c>
      <c r="D747" s="1">
        <f t="shared" si="34"/>
        <v>-0.10041988115786978</v>
      </c>
      <c r="E747" s="1">
        <f t="shared" si="35"/>
        <v>0.96404504041560868</v>
      </c>
      <c r="I747" s="1">
        <v>0.89415453913454956</v>
      </c>
      <c r="J747">
        <f t="shared" si="33"/>
        <v>0.73639239614035501</v>
      </c>
    </row>
    <row r="748" spans="1:10">
      <c r="A748">
        <v>745</v>
      </c>
      <c r="B748">
        <v>0.6606952116458632</v>
      </c>
      <c r="C748">
        <v>0.99554429761650443</v>
      </c>
      <c r="D748" s="1">
        <f t="shared" si="34"/>
        <v>0.41436123159379795</v>
      </c>
      <c r="E748" s="1">
        <f t="shared" si="35"/>
        <v>3.0297955930243168</v>
      </c>
      <c r="I748" s="1">
        <v>0.89491538485982725</v>
      </c>
      <c r="J748">
        <f t="shared" si="33"/>
        <v>0.73656811235567055</v>
      </c>
    </row>
    <row r="749" spans="1:10">
      <c r="A749">
        <v>746</v>
      </c>
      <c r="B749">
        <v>0.31171605578783534</v>
      </c>
      <c r="C749">
        <v>0.70726645710623492</v>
      </c>
      <c r="D749" s="1">
        <f t="shared" si="34"/>
        <v>-0.49099199181196052</v>
      </c>
      <c r="E749" s="1">
        <f t="shared" si="35"/>
        <v>5.4424521293058081E-2</v>
      </c>
      <c r="I749" s="1">
        <v>0.89627698145973111</v>
      </c>
      <c r="J749">
        <f t="shared" si="33"/>
        <v>0.73688242179720786</v>
      </c>
    </row>
    <row r="750" spans="1:10">
      <c r="A750">
        <v>747</v>
      </c>
      <c r="B750">
        <v>0.23557237464522232</v>
      </c>
      <c r="C750">
        <v>0.43253883480330818</v>
      </c>
      <c r="D750" s="1">
        <f t="shared" si="34"/>
        <v>-0.72061771853165413</v>
      </c>
      <c r="E750" s="1">
        <f t="shared" si="35"/>
        <v>-0.8905318472215985</v>
      </c>
      <c r="I750" s="1">
        <v>0.92024521295712303</v>
      </c>
      <c r="J750">
        <f t="shared" si="33"/>
        <v>0.74238367298753927</v>
      </c>
    </row>
    <row r="751" spans="1:10">
      <c r="A751">
        <v>748</v>
      </c>
      <c r="B751">
        <v>0.42454298532059692</v>
      </c>
      <c r="C751">
        <v>0.43263039033173623</v>
      </c>
      <c r="D751" s="1">
        <f t="shared" si="34"/>
        <v>-0.19028479138442478</v>
      </c>
      <c r="E751" s="1">
        <f t="shared" si="35"/>
        <v>-0.35996609211159908</v>
      </c>
      <c r="I751" s="1">
        <v>0.92560976678788043</v>
      </c>
      <c r="J751">
        <f t="shared" si="33"/>
        <v>0.74360672814288797</v>
      </c>
    </row>
    <row r="752" spans="1:10">
      <c r="A752">
        <v>749</v>
      </c>
      <c r="B752">
        <v>0.70213934751426743</v>
      </c>
      <c r="C752">
        <v>0.13245033112582782</v>
      </c>
      <c r="D752" s="1">
        <f t="shared" si="34"/>
        <v>0.5305634850715123</v>
      </c>
      <c r="E752" s="1">
        <f t="shared" si="35"/>
        <v>-0.584319282271757</v>
      </c>
      <c r="I752" s="1">
        <v>0.93666489121433361</v>
      </c>
      <c r="J752">
        <f t="shared" si="33"/>
        <v>0.7461175906494687</v>
      </c>
    </row>
    <row r="753" spans="1:10">
      <c r="A753">
        <v>750</v>
      </c>
      <c r="B753">
        <v>0.65767387920773945</v>
      </c>
      <c r="C753">
        <v>0.7483748893704032</v>
      </c>
      <c r="D753" s="1">
        <f t="shared" si="34"/>
        <v>0.40612298016119469</v>
      </c>
      <c r="E753" s="1">
        <f t="shared" si="35"/>
        <v>1.0755075040551114</v>
      </c>
      <c r="I753" s="1">
        <v>0.93932602487987382</v>
      </c>
      <c r="J753">
        <f t="shared" si="33"/>
        <v>0.74672005977799416</v>
      </c>
    </row>
    <row r="754" spans="1:10">
      <c r="A754">
        <v>751</v>
      </c>
      <c r="B754">
        <v>0.96093630787072359</v>
      </c>
      <c r="C754">
        <v>0.80675679799798583</v>
      </c>
      <c r="D754" s="1">
        <f t="shared" si="34"/>
        <v>1.7616563070682645</v>
      </c>
      <c r="E754" s="1">
        <f t="shared" si="35"/>
        <v>2.627663159488006</v>
      </c>
      <c r="I754" s="1">
        <v>0.94128013537400268</v>
      </c>
      <c r="J754">
        <f t="shared" si="33"/>
        <v>0.74716198281397339</v>
      </c>
    </row>
    <row r="755" spans="1:10">
      <c r="A755">
        <v>752</v>
      </c>
      <c r="B755">
        <v>0.43763542588579973</v>
      </c>
      <c r="C755">
        <v>0.25666066469313636</v>
      </c>
      <c r="D755" s="1">
        <f t="shared" si="34"/>
        <v>-0.15696700516802436</v>
      </c>
      <c r="E755" s="1">
        <f t="shared" si="35"/>
        <v>-0.81064182472522628</v>
      </c>
      <c r="I755" s="1">
        <v>0.96026137292814928</v>
      </c>
      <c r="J755">
        <f t="shared" si="33"/>
        <v>0.7514333907507964</v>
      </c>
    </row>
    <row r="756" spans="1:10">
      <c r="A756">
        <v>753</v>
      </c>
      <c r="B756">
        <v>0.65993224890896329</v>
      </c>
      <c r="C756">
        <v>0.50196844386120187</v>
      </c>
      <c r="D756" s="1">
        <f t="shared" si="34"/>
        <v>0.41227823152178666</v>
      </c>
      <c r="E756" s="1">
        <f t="shared" si="35"/>
        <v>0.4172124085825567</v>
      </c>
      <c r="I756" s="1">
        <v>0.96082593128487659</v>
      </c>
      <c r="J756">
        <f t="shared" si="33"/>
        <v>0.75155984373870566</v>
      </c>
    </row>
    <row r="757" spans="1:10">
      <c r="A757">
        <v>754</v>
      </c>
      <c r="B757">
        <v>9.9642933439130832E-2</v>
      </c>
      <c r="C757">
        <v>7.0162053285317549E-2</v>
      </c>
      <c r="D757" s="1">
        <f t="shared" si="34"/>
        <v>-1.2835888107298259</v>
      </c>
      <c r="E757" s="1">
        <f t="shared" si="35"/>
        <v>-2.7581739724717989</v>
      </c>
      <c r="I757" s="1">
        <v>0.96103167439178261</v>
      </c>
      <c r="J757">
        <f t="shared" si="33"/>
        <v>0.75160591872341653</v>
      </c>
    </row>
    <row r="758" spans="1:10">
      <c r="A758">
        <v>755</v>
      </c>
      <c r="B758">
        <v>0.76897488326670127</v>
      </c>
      <c r="C758">
        <v>0.6852931302835169</v>
      </c>
      <c r="D758" s="1">
        <f t="shared" si="34"/>
        <v>0.73547504363587968</v>
      </c>
      <c r="E758" s="1">
        <f t="shared" si="35"/>
        <v>1.2180272245977208</v>
      </c>
      <c r="I758" s="1">
        <v>0.96404504041560868</v>
      </c>
      <c r="J758">
        <f t="shared" si="33"/>
        <v>0.75228022253331617</v>
      </c>
    </row>
    <row r="759" spans="1:10">
      <c r="A759">
        <v>756</v>
      </c>
      <c r="B759">
        <v>0.37122714926602984</v>
      </c>
      <c r="C759">
        <v>0.68495742667928095</v>
      </c>
      <c r="D759" s="1">
        <f t="shared" si="34"/>
        <v>-0.32860496003504908</v>
      </c>
      <c r="E759" s="1">
        <f t="shared" si="35"/>
        <v>0.15300204831388375</v>
      </c>
      <c r="I759" s="1">
        <v>0.97557895479914225</v>
      </c>
      <c r="J759">
        <f t="shared" si="33"/>
        <v>0.75485212106097144</v>
      </c>
    </row>
    <row r="760" spans="1:10">
      <c r="A760">
        <v>757</v>
      </c>
      <c r="B760">
        <v>0.50672933133945741</v>
      </c>
      <c r="C760">
        <v>0.23834955900753807</v>
      </c>
      <c r="D760" s="1">
        <f t="shared" si="34"/>
        <v>1.6868732181920813E-2</v>
      </c>
      <c r="E760" s="1">
        <f t="shared" si="35"/>
        <v>-0.69475288356204934</v>
      </c>
      <c r="I760" s="1">
        <v>0.9770111602063718</v>
      </c>
      <c r="J760">
        <f t="shared" si="33"/>
        <v>0.75517047717841046</v>
      </c>
    </row>
    <row r="761" spans="1:10">
      <c r="A761">
        <v>758</v>
      </c>
      <c r="B761">
        <v>0.4545426801355022</v>
      </c>
      <c r="C761">
        <v>0.15875728629413741</v>
      </c>
      <c r="D761" s="1">
        <f t="shared" si="34"/>
        <v>-0.11419229422356429</v>
      </c>
      <c r="E761" s="1">
        <f t="shared" si="35"/>
        <v>-1.1137707107454902</v>
      </c>
      <c r="I761" s="1">
        <v>0.99519203826026659</v>
      </c>
      <c r="J761">
        <f t="shared" si="33"/>
        <v>0.75919238202433914</v>
      </c>
    </row>
    <row r="762" spans="1:10">
      <c r="A762">
        <v>759</v>
      </c>
      <c r="B762">
        <v>0.50453199865718557</v>
      </c>
      <c r="C762">
        <v>0.44230475783562728</v>
      </c>
      <c r="D762" s="1">
        <f t="shared" si="34"/>
        <v>1.1360280321958374E-2</v>
      </c>
      <c r="E762" s="1">
        <f t="shared" si="35"/>
        <v>-0.13376809438782541</v>
      </c>
      <c r="I762" s="1">
        <v>1.0077193972019989</v>
      </c>
      <c r="J762">
        <f t="shared" si="33"/>
        <v>0.76194257979527236</v>
      </c>
    </row>
    <row r="763" spans="1:10">
      <c r="A763">
        <v>760</v>
      </c>
      <c r="B763">
        <v>0.30460524307992798</v>
      </c>
      <c r="C763">
        <v>0.59749137852107304</v>
      </c>
      <c r="D763" s="1">
        <f t="shared" si="34"/>
        <v>-0.51120076058946107</v>
      </c>
      <c r="E763" s="1">
        <f t="shared" si="35"/>
        <v>-0.26434162524991289</v>
      </c>
      <c r="I763" s="1">
        <v>1.0198178049367295</v>
      </c>
      <c r="J763">
        <f t="shared" si="33"/>
        <v>0.76458218286038826</v>
      </c>
    </row>
    <row r="764" spans="1:10">
      <c r="A764">
        <v>761</v>
      </c>
      <c r="B764">
        <v>0.66313669240394302</v>
      </c>
      <c r="C764">
        <v>0.19421979430524614</v>
      </c>
      <c r="D764" s="1">
        <f t="shared" si="34"/>
        <v>0.42103898410417784</v>
      </c>
      <c r="E764" s="1">
        <f t="shared" si="35"/>
        <v>-0.4414116478375818</v>
      </c>
      <c r="I764" s="1">
        <v>1.0198653175769621</v>
      </c>
      <c r="J764">
        <f t="shared" si="33"/>
        <v>0.76459251711905063</v>
      </c>
    </row>
    <row r="765" spans="1:10">
      <c r="A765">
        <v>762</v>
      </c>
      <c r="B765">
        <v>0.98458815271462141</v>
      </c>
      <c r="C765">
        <v>0.478286080507828</v>
      </c>
      <c r="D765" s="1">
        <f t="shared" si="34"/>
        <v>2.1593413477104333</v>
      </c>
      <c r="E765" s="1">
        <f t="shared" si="35"/>
        <v>2.1048857212014194</v>
      </c>
      <c r="I765" s="1">
        <v>1.0201987383858504</v>
      </c>
      <c r="J765">
        <f t="shared" si="33"/>
        <v>0.764665030921578</v>
      </c>
    </row>
    <row r="766" spans="1:10">
      <c r="A766">
        <v>763</v>
      </c>
      <c r="B766">
        <v>0.30927457502975553</v>
      </c>
      <c r="C766">
        <v>0.11944944608905302</v>
      </c>
      <c r="D766" s="1">
        <f t="shared" si="34"/>
        <v>-0.49790762874316236</v>
      </c>
      <c r="E766" s="1">
        <f t="shared" si="35"/>
        <v>-1.6756510964460354</v>
      </c>
      <c r="I766" s="1">
        <v>1.0257695635446717</v>
      </c>
      <c r="J766">
        <f t="shared" si="33"/>
        <v>0.76587477231385481</v>
      </c>
    </row>
    <row r="767" spans="1:10">
      <c r="A767">
        <v>764</v>
      </c>
      <c r="B767">
        <v>0.52824488052003538</v>
      </c>
      <c r="C767">
        <v>6.6927091280861842E-2</v>
      </c>
      <c r="D767" s="1">
        <f t="shared" si="34"/>
        <v>7.0858667807370726E-2</v>
      </c>
      <c r="E767" s="1">
        <f t="shared" si="35"/>
        <v>-1.4282163082847272</v>
      </c>
      <c r="I767" s="1">
        <v>1.028756366746854</v>
      </c>
      <c r="J767">
        <f t="shared" si="33"/>
        <v>0.76652195552205593</v>
      </c>
    </row>
    <row r="768" spans="1:10">
      <c r="A768">
        <v>765</v>
      </c>
      <c r="B768">
        <v>0.61201818903164773</v>
      </c>
      <c r="C768">
        <v>5.8290353099154639E-2</v>
      </c>
      <c r="D768" s="1">
        <f t="shared" si="34"/>
        <v>0.28458301961930105</v>
      </c>
      <c r="E768" s="1">
        <f t="shared" si="35"/>
        <v>-1.2847055856073033</v>
      </c>
      <c r="I768" s="1">
        <v>1.0303960393306004</v>
      </c>
      <c r="J768">
        <f t="shared" si="33"/>
        <v>0.76687681891881321</v>
      </c>
    </row>
    <row r="769" spans="1:10">
      <c r="A769">
        <v>766</v>
      </c>
      <c r="B769">
        <v>0.67909787285988954</v>
      </c>
      <c r="C769">
        <v>0.74248481704153568</v>
      </c>
      <c r="D769" s="1">
        <f t="shared" si="34"/>
        <v>0.46517763377734339</v>
      </c>
      <c r="E769" s="1">
        <f t="shared" si="35"/>
        <v>1.1162026074173139</v>
      </c>
      <c r="I769" s="1">
        <v>1.0345388864714409</v>
      </c>
      <c r="J769">
        <f t="shared" si="33"/>
        <v>0.76777209217842168</v>
      </c>
    </row>
    <row r="770" spans="1:10">
      <c r="A770">
        <v>767</v>
      </c>
      <c r="B770">
        <v>0.40107425153355508</v>
      </c>
      <c r="C770">
        <v>0.73619800408948022</v>
      </c>
      <c r="D770" s="1">
        <f t="shared" si="34"/>
        <v>-0.25056751087491852</v>
      </c>
      <c r="E770" s="1">
        <f t="shared" si="35"/>
        <v>0.38110026038860428</v>
      </c>
      <c r="I770" s="1">
        <v>1.035280642720916</v>
      </c>
      <c r="J770">
        <f t="shared" si="33"/>
        <v>0.76793218423452436</v>
      </c>
    </row>
    <row r="771" spans="1:10">
      <c r="A771">
        <v>768</v>
      </c>
      <c r="B771">
        <v>0.33021027253028962</v>
      </c>
      <c r="C771">
        <v>5.3163243507187111E-2</v>
      </c>
      <c r="D771" s="1">
        <f t="shared" si="34"/>
        <v>-0.43933261497080106</v>
      </c>
      <c r="E771" s="1">
        <f t="shared" si="35"/>
        <v>-2.0542596953697756</v>
      </c>
      <c r="I771" s="1">
        <v>1.0356358524751039</v>
      </c>
      <c r="J771">
        <f t="shared" si="33"/>
        <v>0.76800882682253668</v>
      </c>
    </row>
    <row r="772" spans="1:10">
      <c r="A772">
        <v>769</v>
      </c>
      <c r="B772">
        <v>0.16330454420606097</v>
      </c>
      <c r="C772">
        <v>0.39692373424481947</v>
      </c>
      <c r="D772" s="1">
        <f t="shared" si="34"/>
        <v>-0.98096685169757691</v>
      </c>
      <c r="E772" s="1">
        <f t="shared" si="35"/>
        <v>-1.2422846159502114</v>
      </c>
      <c r="I772" s="1">
        <v>1.0478746273391935</v>
      </c>
      <c r="J772">
        <f t="shared" ref="J772:J835" si="36">_xlfn.NORM.DIST(I772,$J$1,$J$2,TRUE)</f>
        <v>0.77064092715651911</v>
      </c>
    </row>
    <row r="773" spans="1:10">
      <c r="A773">
        <v>770</v>
      </c>
      <c r="B773">
        <v>0.58534501174962617</v>
      </c>
      <c r="C773">
        <v>0.41483809930722981</v>
      </c>
      <c r="D773" s="1">
        <f t="shared" ref="D773:D836" si="37">_xlfn.NORM.INV(B773, 0, 1)</f>
        <v>0.21558663250696722</v>
      </c>
      <c r="E773" s="1">
        <f t="shared" ref="E773:E836" si="38">_xlfn.NORM.INV(C773,D773,1)</f>
        <v>4.6975889211797739E-4</v>
      </c>
      <c r="I773" s="1">
        <v>1.0484697857242087</v>
      </c>
      <c r="J773">
        <f t="shared" si="36"/>
        <v>0.77076849511023982</v>
      </c>
    </row>
    <row r="774" spans="1:10">
      <c r="A774">
        <v>771</v>
      </c>
      <c r="B774">
        <v>0.70714438306833094</v>
      </c>
      <c r="C774">
        <v>0.91430402539139988</v>
      </c>
      <c r="D774" s="1">
        <f t="shared" si="37"/>
        <v>0.54506148070694249</v>
      </c>
      <c r="E774" s="1">
        <f t="shared" si="38"/>
        <v>1.9128063520139407</v>
      </c>
      <c r="I774" s="1">
        <v>1.0532385457630626</v>
      </c>
      <c r="J774">
        <f t="shared" si="36"/>
        <v>0.77178920705216725</v>
      </c>
    </row>
    <row r="775" spans="1:10">
      <c r="A775">
        <v>772</v>
      </c>
      <c r="B775">
        <v>0.22257148960844753</v>
      </c>
      <c r="C775">
        <v>0.15417950987273782</v>
      </c>
      <c r="D775" s="1">
        <f t="shared" si="37"/>
        <v>-0.76353737870167127</v>
      </c>
      <c r="E775" s="1">
        <f t="shared" si="38"/>
        <v>-1.7822087260217649</v>
      </c>
      <c r="I775" s="1">
        <v>1.0562716882923431</v>
      </c>
      <c r="J775">
        <f t="shared" si="36"/>
        <v>0.77243709334158717</v>
      </c>
    </row>
    <row r="776" spans="1:10">
      <c r="A776">
        <v>773</v>
      </c>
      <c r="B776">
        <v>0.40040284432508316</v>
      </c>
      <c r="C776">
        <v>0.52586443678090766</v>
      </c>
      <c r="D776" s="1">
        <f t="shared" si="37"/>
        <v>-0.25230452779617807</v>
      </c>
      <c r="E776" s="1">
        <f t="shared" si="38"/>
        <v>-0.18742651435540089</v>
      </c>
      <c r="I776" s="1">
        <v>1.0602649652076737</v>
      </c>
      <c r="J776">
        <f t="shared" si="36"/>
        <v>0.77328848497146341</v>
      </c>
    </row>
    <row r="777" spans="1:10">
      <c r="A777">
        <v>774</v>
      </c>
      <c r="B777">
        <v>9.4180120242927337E-2</v>
      </c>
      <c r="C777">
        <v>0.71843623157444991</v>
      </c>
      <c r="D777" s="1">
        <f t="shared" si="37"/>
        <v>-1.3154454460348888</v>
      </c>
      <c r="E777" s="1">
        <f t="shared" si="38"/>
        <v>-0.73724313226934945</v>
      </c>
      <c r="I777" s="1">
        <v>1.0619459962241167</v>
      </c>
      <c r="J777">
        <f t="shared" si="36"/>
        <v>0.77364635297918771</v>
      </c>
    </row>
    <row r="778" spans="1:10">
      <c r="A778">
        <v>775</v>
      </c>
      <c r="B778">
        <v>0.63142796105838195</v>
      </c>
      <c r="C778">
        <v>0.97326578569902644</v>
      </c>
      <c r="D778" s="1">
        <f t="shared" si="37"/>
        <v>0.33563771746041882</v>
      </c>
      <c r="E778" s="1">
        <f t="shared" si="38"/>
        <v>2.2667559835864894</v>
      </c>
      <c r="I778" s="1">
        <v>1.0620437061792618</v>
      </c>
      <c r="J778">
        <f t="shared" si="36"/>
        <v>0.77366714424653193</v>
      </c>
    </row>
    <row r="779" spans="1:10">
      <c r="A779">
        <v>776</v>
      </c>
      <c r="B779">
        <v>0.76329844050416573</v>
      </c>
      <c r="C779">
        <v>0.94521927549058504</v>
      </c>
      <c r="D779" s="1">
        <f t="shared" si="37"/>
        <v>0.71695296534821895</v>
      </c>
      <c r="E779" s="1">
        <f t="shared" si="38"/>
        <v>2.3171203791358748</v>
      </c>
      <c r="I779" s="1">
        <v>1.0686084176281572</v>
      </c>
      <c r="J779">
        <f t="shared" si="36"/>
        <v>0.77506154692691365</v>
      </c>
    </row>
    <row r="780" spans="1:10">
      <c r="A780">
        <v>777</v>
      </c>
      <c r="B780">
        <v>0.83956419568468277</v>
      </c>
      <c r="C780">
        <v>0.61836603900265508</v>
      </c>
      <c r="D780" s="1">
        <f t="shared" si="37"/>
        <v>0.99266833997921877</v>
      </c>
      <c r="E780" s="1">
        <f t="shared" si="38"/>
        <v>1.2938605600982702</v>
      </c>
      <c r="I780" s="1">
        <v>1.0700422918848116</v>
      </c>
      <c r="J780">
        <f t="shared" si="36"/>
        <v>0.7753654652556301</v>
      </c>
    </row>
    <row r="781" spans="1:10">
      <c r="A781">
        <v>778</v>
      </c>
      <c r="B781">
        <v>0.58723715933713794</v>
      </c>
      <c r="C781">
        <v>0.93688772240363782</v>
      </c>
      <c r="D781" s="1">
        <f t="shared" si="37"/>
        <v>0.22044361442318133</v>
      </c>
      <c r="E781" s="1">
        <f t="shared" si="38"/>
        <v>1.749604537847147</v>
      </c>
      <c r="I781" s="1">
        <v>1.0755075040551114</v>
      </c>
      <c r="J781">
        <f t="shared" si="36"/>
        <v>0.77652171184631158</v>
      </c>
    </row>
    <row r="782" spans="1:10">
      <c r="A782">
        <v>779</v>
      </c>
      <c r="B782">
        <v>0.73860896633808404</v>
      </c>
      <c r="C782">
        <v>0.15250099185155797</v>
      </c>
      <c r="D782" s="1">
        <f t="shared" si="37"/>
        <v>0.63906281759763739</v>
      </c>
      <c r="E782" s="1">
        <f t="shared" si="38"/>
        <v>-0.38670299630850735</v>
      </c>
      <c r="I782" s="1">
        <v>1.0778811321968536</v>
      </c>
      <c r="J782">
        <f t="shared" si="36"/>
        <v>0.7770228315933414</v>
      </c>
    </row>
    <row r="783" spans="1:10">
      <c r="A783">
        <v>780</v>
      </c>
      <c r="B783">
        <v>0.62996307260353401</v>
      </c>
      <c r="C783">
        <v>0.93685720389416183</v>
      </c>
      <c r="D783" s="1">
        <f t="shared" si="37"/>
        <v>0.33175554499143595</v>
      </c>
      <c r="E783" s="1">
        <f t="shared" si="38"/>
        <v>1.8606702423176895</v>
      </c>
      <c r="I783" s="1">
        <v>1.0782543986920612</v>
      </c>
      <c r="J783">
        <f t="shared" si="36"/>
        <v>0.77710157723856865</v>
      </c>
    </row>
    <row r="784" spans="1:10">
      <c r="A784">
        <v>781</v>
      </c>
      <c r="B784">
        <v>0.83309427167577133</v>
      </c>
      <c r="C784">
        <v>0.95562608722190012</v>
      </c>
      <c r="D784" s="1">
        <f t="shared" si="37"/>
        <v>0.96646519139906006</v>
      </c>
      <c r="E784" s="1">
        <f t="shared" si="38"/>
        <v>2.6685054292964026</v>
      </c>
      <c r="I784" s="1">
        <v>1.0783079803081499</v>
      </c>
      <c r="J784">
        <f t="shared" si="36"/>
        <v>0.77711287970897003</v>
      </c>
    </row>
    <row r="785" spans="1:10">
      <c r="A785">
        <v>782</v>
      </c>
      <c r="B785">
        <v>0.35148167363505967</v>
      </c>
      <c r="C785">
        <v>0.28748435926389354</v>
      </c>
      <c r="D785" s="1">
        <f t="shared" si="37"/>
        <v>-0.38132332593941104</v>
      </c>
      <c r="E785" s="1">
        <f t="shared" si="38"/>
        <v>-0.94207223757813718</v>
      </c>
      <c r="I785" s="1">
        <v>1.0856802005477149</v>
      </c>
      <c r="J785">
        <f t="shared" si="36"/>
        <v>0.77866485502745342</v>
      </c>
    </row>
    <row r="786" spans="1:10">
      <c r="A786">
        <v>783</v>
      </c>
      <c r="B786">
        <v>0.63496810815759763</v>
      </c>
      <c r="C786">
        <v>0.11703848384044924</v>
      </c>
      <c r="D786" s="1">
        <f t="shared" si="37"/>
        <v>0.34504068613957123</v>
      </c>
      <c r="E786" s="1">
        <f t="shared" si="38"/>
        <v>-0.84488152497902358</v>
      </c>
      <c r="I786" s="1">
        <v>1.089890315352674</v>
      </c>
      <c r="J786">
        <f t="shared" si="36"/>
        <v>0.77954837485164585</v>
      </c>
    </row>
    <row r="787" spans="1:10">
      <c r="A787">
        <v>784</v>
      </c>
      <c r="B787">
        <v>0.10190130314035463</v>
      </c>
      <c r="C787">
        <v>0.68352305673390912</v>
      </c>
      <c r="D787" s="1">
        <f t="shared" si="37"/>
        <v>-1.2707921384062124</v>
      </c>
      <c r="E787" s="1">
        <f t="shared" si="38"/>
        <v>-0.7932187657286045</v>
      </c>
      <c r="I787" s="1">
        <v>1.0989918717547302</v>
      </c>
      <c r="J787">
        <f t="shared" si="36"/>
        <v>0.78145147133859105</v>
      </c>
    </row>
    <row r="788" spans="1:10">
      <c r="A788">
        <v>785</v>
      </c>
      <c r="B788">
        <v>0.74852748191778318</v>
      </c>
      <c r="C788">
        <v>0.72634052552873318</v>
      </c>
      <c r="D788" s="1">
        <f t="shared" si="37"/>
        <v>0.66986314432226457</v>
      </c>
      <c r="E788" s="1">
        <f t="shared" si="38"/>
        <v>1.2716456090296409</v>
      </c>
      <c r="I788" s="1">
        <v>1.1041184879464594</v>
      </c>
      <c r="J788">
        <f t="shared" si="36"/>
        <v>0.78251924686523577</v>
      </c>
    </row>
    <row r="789" spans="1:10">
      <c r="A789">
        <v>786</v>
      </c>
      <c r="B789">
        <v>0.16788232062746056</v>
      </c>
      <c r="C789">
        <v>0.1479537339396344</v>
      </c>
      <c r="D789" s="1">
        <f t="shared" si="37"/>
        <v>-0.96256744541599881</v>
      </c>
      <c r="E789" s="1">
        <f t="shared" si="38"/>
        <v>-2.00781738499699</v>
      </c>
      <c r="I789" s="1">
        <v>1.1045398361346195</v>
      </c>
      <c r="J789">
        <f t="shared" si="36"/>
        <v>0.78260687145754471</v>
      </c>
    </row>
    <row r="790" spans="1:10">
      <c r="A790">
        <v>787</v>
      </c>
      <c r="B790">
        <v>0.82784508804589985</v>
      </c>
      <c r="C790">
        <v>0.402233954893643</v>
      </c>
      <c r="D790" s="1">
        <f t="shared" si="37"/>
        <v>0.94568392503437704</v>
      </c>
      <c r="E790" s="1">
        <f t="shared" si="38"/>
        <v>0.69811493954321491</v>
      </c>
      <c r="I790" s="1">
        <v>1.1057795781756046</v>
      </c>
      <c r="J790">
        <f t="shared" si="36"/>
        <v>0.78286457296697676</v>
      </c>
    </row>
    <row r="791" spans="1:10">
      <c r="A791">
        <v>788</v>
      </c>
      <c r="B791">
        <v>0.60683004242072813</v>
      </c>
      <c r="C791">
        <v>7.370220038453322E-2</v>
      </c>
      <c r="D791" s="1">
        <f t="shared" si="37"/>
        <v>0.27106646263758499</v>
      </c>
      <c r="E791" s="1">
        <f t="shared" si="38"/>
        <v>-1.1776943149035357</v>
      </c>
      <c r="I791" s="1">
        <v>1.1093766421104174</v>
      </c>
      <c r="J791">
        <f t="shared" si="36"/>
        <v>0.7836112842980526</v>
      </c>
    </row>
    <row r="792" spans="1:10">
      <c r="A792">
        <v>789</v>
      </c>
      <c r="B792">
        <v>0.95382549516281623</v>
      </c>
      <c r="C792">
        <v>0.28128910184026612</v>
      </c>
      <c r="D792" s="1">
        <f t="shared" si="37"/>
        <v>1.6831347451272314</v>
      </c>
      <c r="E792" s="1">
        <f t="shared" si="38"/>
        <v>1.1041184879464594</v>
      </c>
      <c r="I792" s="1">
        <v>1.1098197503734151</v>
      </c>
      <c r="J792">
        <f t="shared" si="36"/>
        <v>0.7837031658218061</v>
      </c>
    </row>
    <row r="793" spans="1:10">
      <c r="A793">
        <v>790</v>
      </c>
      <c r="B793">
        <v>0.47981200598162788</v>
      </c>
      <c r="C793">
        <v>0.91784417249061556</v>
      </c>
      <c r="D793" s="1">
        <f t="shared" si="37"/>
        <v>-5.0625413222763004E-2</v>
      </c>
      <c r="E793" s="1">
        <f t="shared" si="38"/>
        <v>1.3400902861650099</v>
      </c>
      <c r="I793" s="1">
        <v>1.1157539978333277</v>
      </c>
      <c r="J793">
        <f t="shared" si="36"/>
        <v>0.7849314941513803</v>
      </c>
    </row>
    <row r="794" spans="1:10">
      <c r="A794">
        <v>791</v>
      </c>
      <c r="B794">
        <v>0.84499649037141022</v>
      </c>
      <c r="C794">
        <v>0.95458845789971614</v>
      </c>
      <c r="D794" s="1">
        <f t="shared" si="37"/>
        <v>1.0152073047940575</v>
      </c>
      <c r="E794" s="1">
        <f t="shared" si="38"/>
        <v>2.7062791370988655</v>
      </c>
      <c r="I794" s="1">
        <v>1.1162026074173139</v>
      </c>
      <c r="J794">
        <f t="shared" si="36"/>
        <v>0.78502418678160146</v>
      </c>
    </row>
    <row r="795" spans="1:10">
      <c r="A795">
        <v>792</v>
      </c>
      <c r="B795">
        <v>0.48777733695486314</v>
      </c>
      <c r="C795">
        <v>0.33295693838312934</v>
      </c>
      <c r="D795" s="1">
        <f t="shared" si="37"/>
        <v>-3.0642467450923944E-2</v>
      </c>
      <c r="E795" s="1">
        <f t="shared" si="38"/>
        <v>-0.46240518806133468</v>
      </c>
      <c r="I795" s="1">
        <v>1.1212033281787384</v>
      </c>
      <c r="J795">
        <f t="shared" si="36"/>
        <v>0.78605587411880196</v>
      </c>
    </row>
    <row r="796" spans="1:10">
      <c r="A796">
        <v>793</v>
      </c>
      <c r="B796">
        <v>0.14084292123172704</v>
      </c>
      <c r="C796">
        <v>0.24900051881466109</v>
      </c>
      <c r="D796" s="1">
        <f t="shared" si="37"/>
        <v>-1.0765399534463425</v>
      </c>
      <c r="E796" s="1">
        <f t="shared" si="38"/>
        <v>-1.7541782822046859</v>
      </c>
      <c r="I796" s="1">
        <v>1.1416142758376775</v>
      </c>
      <c r="J796">
        <f t="shared" si="36"/>
        <v>0.79023680821624931</v>
      </c>
    </row>
    <row r="797" spans="1:10">
      <c r="A797">
        <v>794</v>
      </c>
      <c r="B797">
        <v>0.54805139316995755</v>
      </c>
      <c r="C797">
        <v>0.29587694936979275</v>
      </c>
      <c r="D797" s="1">
        <f t="shared" si="37"/>
        <v>0.12073969910642239</v>
      </c>
      <c r="E797" s="1">
        <f t="shared" si="38"/>
        <v>-0.41555643970008843</v>
      </c>
      <c r="I797" s="1">
        <v>1.1429293998228227</v>
      </c>
      <c r="J797">
        <f t="shared" si="36"/>
        <v>0.79050453790610342</v>
      </c>
    </row>
    <row r="798" spans="1:10">
      <c r="A798">
        <v>795</v>
      </c>
      <c r="B798">
        <v>0.39472640156254768</v>
      </c>
      <c r="C798">
        <v>0.42414624469740897</v>
      </c>
      <c r="D798" s="1">
        <f t="shared" si="37"/>
        <v>-0.26702124568124103</v>
      </c>
      <c r="E798" s="1">
        <f t="shared" si="38"/>
        <v>-0.45831878428232065</v>
      </c>
      <c r="I798" s="1">
        <v>1.1456054192662368</v>
      </c>
      <c r="J798">
        <f t="shared" si="36"/>
        <v>0.79104869421381219</v>
      </c>
    </row>
    <row r="799" spans="1:10">
      <c r="A799">
        <v>796</v>
      </c>
      <c r="B799">
        <v>0.64754173406170845</v>
      </c>
      <c r="C799">
        <v>0.77111117893002101</v>
      </c>
      <c r="D799" s="1">
        <f t="shared" si="37"/>
        <v>0.37869208467239135</v>
      </c>
      <c r="E799" s="1">
        <f t="shared" si="38"/>
        <v>1.1212033281787384</v>
      </c>
      <c r="I799" s="1">
        <v>1.1492265097832055</v>
      </c>
      <c r="J799">
        <f t="shared" si="36"/>
        <v>0.79178369931640424</v>
      </c>
    </row>
    <row r="800" spans="1:10">
      <c r="A800">
        <v>797</v>
      </c>
      <c r="B800">
        <v>1.7914365062410353E-2</v>
      </c>
      <c r="C800">
        <v>0.41926328318124945</v>
      </c>
      <c r="D800" s="1">
        <f t="shared" si="37"/>
        <v>-2.0988658258892379</v>
      </c>
      <c r="E800" s="1">
        <f t="shared" si="38"/>
        <v>-2.3026443623012649</v>
      </c>
      <c r="I800" s="1">
        <v>1.1528183207336182</v>
      </c>
      <c r="J800">
        <f t="shared" si="36"/>
        <v>0.79251125201400252</v>
      </c>
    </row>
    <row r="801" spans="1:10">
      <c r="A801">
        <v>798</v>
      </c>
      <c r="B801">
        <v>0.49824518570513016</v>
      </c>
      <c r="C801">
        <v>0.25495162816248057</v>
      </c>
      <c r="D801" s="1">
        <f t="shared" si="37"/>
        <v>-4.3986813127785129E-3</v>
      </c>
      <c r="E801" s="1">
        <f t="shared" si="38"/>
        <v>-0.66338702106983027</v>
      </c>
      <c r="I801" s="1">
        <v>1.1535462345835663</v>
      </c>
      <c r="J801">
        <f t="shared" si="36"/>
        <v>0.79265851400242504</v>
      </c>
    </row>
    <row r="802" spans="1:10">
      <c r="A802">
        <v>799</v>
      </c>
      <c r="B802">
        <v>0.8486281929990539</v>
      </c>
      <c r="C802">
        <v>0.36567278054139835</v>
      </c>
      <c r="D802" s="1">
        <f t="shared" si="37"/>
        <v>1.0305676477356969</v>
      </c>
      <c r="E802" s="1">
        <f t="shared" si="38"/>
        <v>0.68723146192578055</v>
      </c>
      <c r="I802" s="1">
        <v>1.156576133116461</v>
      </c>
      <c r="J802">
        <f t="shared" si="36"/>
        <v>0.79327081907241193</v>
      </c>
    </row>
    <row r="803" spans="1:10">
      <c r="A803">
        <v>800</v>
      </c>
      <c r="B803">
        <v>0.22580645161290322</v>
      </c>
      <c r="C803">
        <v>0.80474257637256996</v>
      </c>
      <c r="D803" s="1">
        <f t="shared" si="37"/>
        <v>-0.75272879425816996</v>
      </c>
      <c r="E803" s="1">
        <f t="shared" si="38"/>
        <v>0.10595526540433697</v>
      </c>
      <c r="I803" s="1">
        <v>1.157875208189951</v>
      </c>
      <c r="J803">
        <f t="shared" si="36"/>
        <v>0.7935330178371014</v>
      </c>
    </row>
    <row r="804" spans="1:10">
      <c r="A804">
        <v>801</v>
      </c>
      <c r="B804">
        <v>0.90261543626209295</v>
      </c>
      <c r="C804">
        <v>0.80046998504593037</v>
      </c>
      <c r="D804" s="1">
        <f t="shared" si="37"/>
        <v>1.2965992011541922</v>
      </c>
      <c r="E804" s="1">
        <f t="shared" si="38"/>
        <v>2.1399003688879716</v>
      </c>
      <c r="I804" s="1">
        <v>1.1737272374649594</v>
      </c>
      <c r="J804">
        <f t="shared" si="36"/>
        <v>0.79671661136245819</v>
      </c>
    </row>
    <row r="805" spans="1:10">
      <c r="A805">
        <v>802</v>
      </c>
      <c r="B805">
        <v>0.66728720969267863</v>
      </c>
      <c r="C805">
        <v>0.49519333475753047</v>
      </c>
      <c r="D805" s="1">
        <f t="shared" si="37"/>
        <v>0.4324345927690782</v>
      </c>
      <c r="E805" s="1">
        <f t="shared" si="38"/>
        <v>0.42038577824300383</v>
      </c>
      <c r="I805" s="1">
        <v>1.1752486944716973</v>
      </c>
      <c r="J805">
        <f t="shared" si="36"/>
        <v>0.79702061998899898</v>
      </c>
    </row>
    <row r="806" spans="1:10">
      <c r="A806">
        <v>803</v>
      </c>
      <c r="B806">
        <v>0.82747886593218789</v>
      </c>
      <c r="C806">
        <v>3.4791100802636799E-3</v>
      </c>
      <c r="D806" s="1">
        <f t="shared" si="37"/>
        <v>0.94424929897464505</v>
      </c>
      <c r="E806" s="1">
        <f t="shared" si="38"/>
        <v>-1.7545879225216208</v>
      </c>
      <c r="I806" s="1">
        <v>1.1763918227905907</v>
      </c>
      <c r="J806">
        <f t="shared" si="36"/>
        <v>0.79724885445733773</v>
      </c>
    </row>
    <row r="807" spans="1:10">
      <c r="A807">
        <v>804</v>
      </c>
      <c r="B807">
        <v>0.96624652851954707</v>
      </c>
      <c r="C807">
        <v>0.28662984099856564</v>
      </c>
      <c r="D807" s="1">
        <f t="shared" si="37"/>
        <v>1.8282839792085466</v>
      </c>
      <c r="E807" s="1">
        <f t="shared" si="38"/>
        <v>1.2650266676691488</v>
      </c>
      <c r="I807" s="1">
        <v>1.1824903216491576</v>
      </c>
      <c r="J807">
        <f t="shared" si="36"/>
        <v>0.7984638737823635</v>
      </c>
    </row>
    <row r="808" spans="1:10">
      <c r="A808">
        <v>805</v>
      </c>
      <c r="B808">
        <v>0.24625385296182134</v>
      </c>
      <c r="C808">
        <v>0.75673696096682641</v>
      </c>
      <c r="D808" s="1">
        <f t="shared" si="37"/>
        <v>-0.68632576376789245</v>
      </c>
      <c r="E808" s="1">
        <f t="shared" si="38"/>
        <v>9.518958860981086E-3</v>
      </c>
      <c r="I808" s="1">
        <v>1.1836342923433185</v>
      </c>
      <c r="J808">
        <f t="shared" si="36"/>
        <v>0.7986913030588314</v>
      </c>
    </row>
    <row r="809" spans="1:10">
      <c r="A809">
        <v>806</v>
      </c>
      <c r="B809">
        <v>0.15454573198644977</v>
      </c>
      <c r="C809">
        <v>0.65694143498031554</v>
      </c>
      <c r="D809" s="1">
        <f t="shared" si="37"/>
        <v>-1.017130266048953</v>
      </c>
      <c r="E809" s="1">
        <f t="shared" si="38"/>
        <v>-0.6130002725037329</v>
      </c>
      <c r="I809" s="1">
        <v>1.1958986973156693</v>
      </c>
      <c r="J809">
        <f t="shared" si="36"/>
        <v>0.80111987169446941</v>
      </c>
    </row>
    <row r="810" spans="1:10">
      <c r="A810">
        <v>807</v>
      </c>
      <c r="B810">
        <v>0.17209387493514816</v>
      </c>
      <c r="C810">
        <v>0.71767326883755</v>
      </c>
      <c r="D810" s="1">
        <f t="shared" si="37"/>
        <v>-0.94592321864155471</v>
      </c>
      <c r="E810" s="1">
        <f t="shared" si="38"/>
        <v>-0.36997985265371036</v>
      </c>
      <c r="I810" s="1">
        <v>1.2017473671297272</v>
      </c>
      <c r="J810">
        <f t="shared" si="36"/>
        <v>0.80227176594713367</v>
      </c>
    </row>
    <row r="811" spans="1:10">
      <c r="A811">
        <v>808</v>
      </c>
      <c r="B811">
        <v>0.42866298409985654</v>
      </c>
      <c r="C811">
        <v>0.67268898586993009</v>
      </c>
      <c r="D811" s="1">
        <f t="shared" si="37"/>
        <v>-0.17977913038378796</v>
      </c>
      <c r="E811" s="1">
        <f t="shared" si="38"/>
        <v>0.26757134438564778</v>
      </c>
      <c r="I811" s="1">
        <v>1.2129758340800223</v>
      </c>
      <c r="J811">
        <f t="shared" si="36"/>
        <v>0.80447187934018471</v>
      </c>
    </row>
    <row r="812" spans="1:10">
      <c r="A812">
        <v>809</v>
      </c>
      <c r="B812">
        <v>0.6215704824976348</v>
      </c>
      <c r="C812">
        <v>0.63173314615314191</v>
      </c>
      <c r="D812" s="1">
        <f t="shared" si="37"/>
        <v>0.30960804854262858</v>
      </c>
      <c r="E812" s="1">
        <f t="shared" si="38"/>
        <v>0.64605518708195109</v>
      </c>
      <c r="I812" s="1">
        <v>1.2180272245977208</v>
      </c>
      <c r="J812">
        <f t="shared" si="36"/>
        <v>0.8054567847245454</v>
      </c>
    </row>
    <row r="813" spans="1:10">
      <c r="A813">
        <v>810</v>
      </c>
      <c r="B813">
        <v>0.98486281929990538</v>
      </c>
      <c r="C813">
        <v>7.4892422254097105E-2</v>
      </c>
      <c r="D813" s="1">
        <f t="shared" si="37"/>
        <v>2.1664821634251346</v>
      </c>
      <c r="E813" s="1">
        <f t="shared" si="38"/>
        <v>0.72619030731434697</v>
      </c>
      <c r="I813" s="1">
        <v>1.2275926538317354</v>
      </c>
      <c r="J813">
        <f t="shared" si="36"/>
        <v>0.80731353321759647</v>
      </c>
    </row>
    <row r="814" spans="1:10">
      <c r="A814">
        <v>811</v>
      </c>
      <c r="B814">
        <v>8.0355235450300613E-2</v>
      </c>
      <c r="C814">
        <v>0.90697958311716054</v>
      </c>
      <c r="D814" s="1">
        <f t="shared" si="37"/>
        <v>-1.4026860771111911</v>
      </c>
      <c r="E814" s="1">
        <f t="shared" si="38"/>
        <v>-8.030363879182012E-2</v>
      </c>
      <c r="I814" s="1">
        <v>1.2276929736867341</v>
      </c>
      <c r="J814">
        <f t="shared" si="36"/>
        <v>0.80733294877724637</v>
      </c>
    </row>
    <row r="815" spans="1:10">
      <c r="A815">
        <v>812</v>
      </c>
      <c r="B815">
        <v>0.70393993957335121</v>
      </c>
      <c r="C815">
        <v>5.8259834589678643E-2</v>
      </c>
      <c r="D815" s="1">
        <f t="shared" si="37"/>
        <v>0.53576623468097828</v>
      </c>
      <c r="E815" s="1">
        <f t="shared" si="38"/>
        <v>-1.0337844927807343</v>
      </c>
      <c r="I815" s="1">
        <v>1.2338008458942533</v>
      </c>
      <c r="J815">
        <f t="shared" si="36"/>
        <v>0.8085127921136922</v>
      </c>
    </row>
    <row r="816" spans="1:10">
      <c r="A816">
        <v>813</v>
      </c>
      <c r="B816">
        <v>0.20395519882808924</v>
      </c>
      <c r="C816">
        <v>0.76491592150639365</v>
      </c>
      <c r="D816" s="1">
        <f t="shared" si="37"/>
        <v>-0.8275764714717041</v>
      </c>
      <c r="E816" s="1">
        <f t="shared" si="38"/>
        <v>-0.10537099528525695</v>
      </c>
      <c r="I816" s="1">
        <v>1.2405887923937775</v>
      </c>
      <c r="J816">
        <f t="shared" si="36"/>
        <v>0.80981879776996135</v>
      </c>
    </row>
    <row r="817" spans="1:10">
      <c r="A817">
        <v>814</v>
      </c>
      <c r="B817">
        <v>0.78847621082186348</v>
      </c>
      <c r="C817">
        <v>0.35444196905423137</v>
      </c>
      <c r="D817" s="1">
        <f t="shared" si="37"/>
        <v>0.8011452229258097</v>
      </c>
      <c r="E817" s="1">
        <f t="shared" si="38"/>
        <v>0.42778980813515088</v>
      </c>
      <c r="I817" s="1">
        <v>1.2436592876636032</v>
      </c>
      <c r="J817">
        <f t="shared" si="36"/>
        <v>0.81040776111675517</v>
      </c>
    </row>
    <row r="818" spans="1:10">
      <c r="A818">
        <v>815</v>
      </c>
      <c r="B818">
        <v>0.69100009155552844</v>
      </c>
      <c r="C818">
        <v>0.38483840449232459</v>
      </c>
      <c r="D818" s="1">
        <f t="shared" si="37"/>
        <v>0.49868712402434751</v>
      </c>
      <c r="E818" s="1">
        <f t="shared" si="38"/>
        <v>0.20588945358786209</v>
      </c>
      <c r="I818" s="1">
        <v>1.2448184169146999</v>
      </c>
      <c r="J818">
        <f t="shared" si="36"/>
        <v>0.81062980602402701</v>
      </c>
    </row>
    <row r="819" spans="1:10">
      <c r="A819">
        <v>816</v>
      </c>
      <c r="B819">
        <v>0.78630939664906763</v>
      </c>
      <c r="C819">
        <v>0.61485641041291539</v>
      </c>
      <c r="D819" s="1">
        <f t="shared" si="37"/>
        <v>0.7936809266991588</v>
      </c>
      <c r="E819" s="1">
        <f t="shared" si="38"/>
        <v>1.0856802005477149</v>
      </c>
      <c r="I819" s="1">
        <v>1.2568329736522639</v>
      </c>
      <c r="J819">
        <f t="shared" si="36"/>
        <v>0.81292189809325444</v>
      </c>
    </row>
    <row r="820" spans="1:10">
      <c r="A820">
        <v>817</v>
      </c>
      <c r="B820">
        <v>0.27869502853480638</v>
      </c>
      <c r="C820">
        <v>0.30640583513901182</v>
      </c>
      <c r="D820" s="1">
        <f t="shared" si="37"/>
        <v>-0.58672255493226289</v>
      </c>
      <c r="E820" s="1">
        <f t="shared" si="38"/>
        <v>-1.0927866283706682</v>
      </c>
      <c r="I820" s="1">
        <v>1.2650266676691488</v>
      </c>
      <c r="J820">
        <f t="shared" si="36"/>
        <v>0.81447517436315331</v>
      </c>
    </row>
    <row r="821" spans="1:10">
      <c r="A821">
        <v>818</v>
      </c>
      <c r="B821">
        <v>0.40543839838862272</v>
      </c>
      <c r="C821">
        <v>0.55122531815546127</v>
      </c>
      <c r="D821" s="1">
        <f t="shared" si="37"/>
        <v>-0.23929505861639233</v>
      </c>
      <c r="E821" s="1">
        <f t="shared" si="38"/>
        <v>-0.11053734135838311</v>
      </c>
      <c r="I821" s="1">
        <v>1.266161191655238</v>
      </c>
      <c r="J821">
        <f t="shared" si="36"/>
        <v>0.81468961314941457</v>
      </c>
    </row>
    <row r="822" spans="1:10">
      <c r="A822">
        <v>819</v>
      </c>
      <c r="B822">
        <v>0.89642017883846548</v>
      </c>
      <c r="C822">
        <v>0.96502578814050721</v>
      </c>
      <c r="D822" s="1">
        <f t="shared" si="37"/>
        <v>1.2614142348460273</v>
      </c>
      <c r="E822" s="1">
        <f t="shared" si="38"/>
        <v>3.0736587491356406</v>
      </c>
      <c r="I822" s="1">
        <v>1.2681222059228445</v>
      </c>
      <c r="J822">
        <f t="shared" si="36"/>
        <v>0.81505990554110352</v>
      </c>
    </row>
    <row r="823" spans="1:10">
      <c r="A823">
        <v>820</v>
      </c>
      <c r="B823">
        <v>0.260628070925016</v>
      </c>
      <c r="C823">
        <v>0.45820490127262187</v>
      </c>
      <c r="D823" s="1">
        <f t="shared" si="37"/>
        <v>-0.64141030134391852</v>
      </c>
      <c r="E823" s="1">
        <f t="shared" si="38"/>
        <v>-0.74636746099097895</v>
      </c>
      <c r="I823" s="1">
        <v>1.2716456090296409</v>
      </c>
      <c r="J823">
        <f t="shared" si="36"/>
        <v>0.81572406291817545</v>
      </c>
    </row>
    <row r="824" spans="1:10">
      <c r="A824">
        <v>821</v>
      </c>
      <c r="B824">
        <v>0.80443739127781</v>
      </c>
      <c r="C824">
        <v>0.73747978148747217</v>
      </c>
      <c r="D824" s="1">
        <f t="shared" si="37"/>
        <v>0.85757856112190922</v>
      </c>
      <c r="E824" s="1">
        <f t="shared" si="38"/>
        <v>1.4931735492081262</v>
      </c>
      <c r="I824" s="1">
        <v>1.2870345558660095</v>
      </c>
      <c r="J824">
        <f t="shared" si="36"/>
        <v>0.81860742998736313</v>
      </c>
    </row>
    <row r="825" spans="1:10">
      <c r="A825">
        <v>822</v>
      </c>
      <c r="B825">
        <v>0.3197729422894986</v>
      </c>
      <c r="C825">
        <v>0.23603015228736229</v>
      </c>
      <c r="D825" s="1">
        <f t="shared" si="37"/>
        <v>-0.46833382286240505</v>
      </c>
      <c r="E825" s="1">
        <f t="shared" si="38"/>
        <v>-1.1874646667574291</v>
      </c>
      <c r="I825" s="1">
        <v>1.2877708973042421</v>
      </c>
      <c r="J825">
        <f t="shared" si="36"/>
        <v>0.81874468359308916</v>
      </c>
    </row>
    <row r="826" spans="1:10">
      <c r="A826">
        <v>823</v>
      </c>
      <c r="B826">
        <v>0.66512039551988278</v>
      </c>
      <c r="C826">
        <v>0.39289529099398784</v>
      </c>
      <c r="D826" s="1">
        <f t="shared" si="37"/>
        <v>0.42647850311365537</v>
      </c>
      <c r="E826" s="1">
        <f t="shared" si="38"/>
        <v>0.15469771987019798</v>
      </c>
      <c r="I826" s="1">
        <v>1.2938605600982702</v>
      </c>
      <c r="J826">
        <f t="shared" si="36"/>
        <v>0.81987729862421788</v>
      </c>
    </row>
    <row r="827" spans="1:10">
      <c r="A827">
        <v>824</v>
      </c>
      <c r="B827">
        <v>0.46040223395489366</v>
      </c>
      <c r="C827">
        <v>0.47975096896267588</v>
      </c>
      <c r="D827" s="1">
        <f t="shared" si="37"/>
        <v>-9.9420422972142125E-2</v>
      </c>
      <c r="E827" s="1">
        <f t="shared" si="38"/>
        <v>-0.15019903009337091</v>
      </c>
      <c r="I827" s="1">
        <v>1.3015751222478507</v>
      </c>
      <c r="J827">
        <f t="shared" si="36"/>
        <v>0.82130573372924509</v>
      </c>
    </row>
    <row r="828" spans="1:10">
      <c r="A828">
        <v>825</v>
      </c>
      <c r="B828">
        <v>0.56462294381542411</v>
      </c>
      <c r="C828">
        <v>0.50157170323801381</v>
      </c>
      <c r="D828" s="1">
        <f t="shared" si="37"/>
        <v>0.16270067897524837</v>
      </c>
      <c r="E828" s="1">
        <f t="shared" si="38"/>
        <v>0.16664036494235257</v>
      </c>
      <c r="I828" s="1">
        <v>1.3057459144477774</v>
      </c>
      <c r="J828">
        <f t="shared" si="36"/>
        <v>0.8220750224956862</v>
      </c>
    </row>
    <row r="829" spans="1:10">
      <c r="A829">
        <v>826</v>
      </c>
      <c r="B829">
        <v>0.32993560594500565</v>
      </c>
      <c r="C829">
        <v>0.2251350444044313</v>
      </c>
      <c r="D829" s="1">
        <f t="shared" si="37"/>
        <v>-0.44009098371002964</v>
      </c>
      <c r="E829" s="1">
        <f t="shared" si="38"/>
        <v>-1.1950558072946382</v>
      </c>
      <c r="I829" s="1">
        <v>1.30871845681425</v>
      </c>
      <c r="J829">
        <f t="shared" si="36"/>
        <v>0.82262202136437113</v>
      </c>
    </row>
    <row r="830" spans="1:10">
      <c r="A830">
        <v>827</v>
      </c>
      <c r="B830">
        <v>0.65495773186437578</v>
      </c>
      <c r="C830">
        <v>0.27860347300637839</v>
      </c>
      <c r="D830" s="1">
        <f t="shared" si="37"/>
        <v>0.39874034593267754</v>
      </c>
      <c r="E830" s="1">
        <f t="shared" si="38"/>
        <v>-0.18825483090018996</v>
      </c>
      <c r="I830" s="1">
        <v>1.310821738722415</v>
      </c>
      <c r="J830">
        <f t="shared" si="36"/>
        <v>0.82300841925888957</v>
      </c>
    </row>
    <row r="831" spans="1:10">
      <c r="A831">
        <v>828</v>
      </c>
      <c r="B831">
        <v>0.75222022156437884</v>
      </c>
      <c r="C831">
        <v>0.17169713431196021</v>
      </c>
      <c r="D831" s="1">
        <f t="shared" si="37"/>
        <v>0.68149305956722406</v>
      </c>
      <c r="E831" s="1">
        <f t="shared" si="38"/>
        <v>-0.26598688980122842</v>
      </c>
      <c r="I831" s="1">
        <v>1.3195149277653193</v>
      </c>
      <c r="J831">
        <f t="shared" si="36"/>
        <v>0.82459981360303503</v>
      </c>
    </row>
    <row r="832" spans="1:10">
      <c r="A832">
        <v>829</v>
      </c>
      <c r="B832">
        <v>0.93832209234900965</v>
      </c>
      <c r="C832">
        <v>0.65373699148533582</v>
      </c>
      <c r="D832" s="1">
        <f t="shared" si="37"/>
        <v>1.5408396560196815</v>
      </c>
      <c r="E832" s="1">
        <f t="shared" si="38"/>
        <v>1.93626905360417</v>
      </c>
      <c r="I832" s="1">
        <v>1.3198663422352501</v>
      </c>
      <c r="J832">
        <f t="shared" si="36"/>
        <v>0.82466395297393646</v>
      </c>
    </row>
    <row r="833" spans="1:10">
      <c r="A833">
        <v>830</v>
      </c>
      <c r="B833">
        <v>0.36191900387585069</v>
      </c>
      <c r="C833">
        <v>0.25827814569536423</v>
      </c>
      <c r="D833" s="1">
        <f t="shared" si="37"/>
        <v>-0.35333406827529046</v>
      </c>
      <c r="E833" s="1">
        <f t="shared" si="38"/>
        <v>-1.0019969653063934</v>
      </c>
      <c r="I833" s="1">
        <v>1.3400902861650099</v>
      </c>
      <c r="J833">
        <f t="shared" si="36"/>
        <v>0.82833010844736821</v>
      </c>
    </row>
    <row r="834" spans="1:10">
      <c r="A834">
        <v>831</v>
      </c>
      <c r="B834">
        <v>0.39893795587023528</v>
      </c>
      <c r="C834">
        <v>0.18857387005218665</v>
      </c>
      <c r="D834" s="1">
        <f t="shared" si="37"/>
        <v>-0.25609703454548161</v>
      </c>
      <c r="E834" s="1">
        <f t="shared" si="38"/>
        <v>-1.1392609032587031</v>
      </c>
      <c r="I834" s="1">
        <v>1.3440112909965871</v>
      </c>
      <c r="J834">
        <f t="shared" si="36"/>
        <v>0.82903519178088847</v>
      </c>
    </row>
    <row r="835" spans="1:10">
      <c r="A835">
        <v>832</v>
      </c>
      <c r="B835">
        <v>0.10403759880367443</v>
      </c>
      <c r="C835">
        <v>0.97790459913937799</v>
      </c>
      <c r="D835" s="1">
        <f t="shared" si="37"/>
        <v>-1.2588757956692653</v>
      </c>
      <c r="E835" s="1">
        <f t="shared" si="38"/>
        <v>0.75340067117272458</v>
      </c>
      <c r="I835" s="1">
        <v>1.3498911049109137</v>
      </c>
      <c r="J835">
        <f t="shared" si="36"/>
        <v>0.83008903484278396</v>
      </c>
    </row>
    <row r="836" spans="1:10">
      <c r="A836">
        <v>833</v>
      </c>
      <c r="B836">
        <v>0.82094790490432445</v>
      </c>
      <c r="C836">
        <v>0.93337809381389814</v>
      </c>
      <c r="D836" s="1">
        <f t="shared" si="37"/>
        <v>0.91898352381218129</v>
      </c>
      <c r="E836" s="1">
        <f t="shared" si="38"/>
        <v>2.4204157172546834</v>
      </c>
      <c r="I836" s="1">
        <v>1.3704623186559644</v>
      </c>
      <c r="J836">
        <f t="shared" ref="J836:J899" si="39">_xlfn.NORM.DIST(I836,$J$1,$J$2,TRUE)</f>
        <v>0.83374317111527163</v>
      </c>
    </row>
    <row r="837" spans="1:10">
      <c r="A837">
        <v>834</v>
      </c>
      <c r="B837">
        <v>0.83126316110721155</v>
      </c>
      <c r="C837">
        <v>0.40504165776543471</v>
      </c>
      <c r="D837" s="1">
        <f t="shared" ref="D837:D900" si="40">_xlfn.NORM.INV(B837, 0, 1)</f>
        <v>0.95916887465300549</v>
      </c>
      <c r="E837" s="1">
        <f t="shared" ref="E837:E900" si="41">_xlfn.NORM.INV(C837,D837,1)</f>
        <v>0.71885032468924248</v>
      </c>
      <c r="I837" s="1">
        <v>1.3706373024308127</v>
      </c>
      <c r="J837">
        <f t="shared" si="39"/>
        <v>0.83377403477512113</v>
      </c>
    </row>
    <row r="838" spans="1:10">
      <c r="A838">
        <v>835</v>
      </c>
      <c r="B838">
        <v>0.84432508316293831</v>
      </c>
      <c r="C838">
        <v>0.55140842921231725</v>
      </c>
      <c r="D838" s="1">
        <f t="shared" si="40"/>
        <v>1.0123937329021917</v>
      </c>
      <c r="E838" s="1">
        <f t="shared" si="41"/>
        <v>1.1416142758376775</v>
      </c>
      <c r="I838" s="1">
        <v>1.3799137008772355</v>
      </c>
      <c r="J838">
        <f t="shared" si="39"/>
        <v>0.83540490781025822</v>
      </c>
    </row>
    <row r="839" spans="1:10">
      <c r="A839">
        <v>836</v>
      </c>
      <c r="B839">
        <v>0.59254737998596152</v>
      </c>
      <c r="C839">
        <v>0.20102542191839351</v>
      </c>
      <c r="D839" s="1">
        <f t="shared" si="40"/>
        <v>0.23410271268213437</v>
      </c>
      <c r="E839" s="1">
        <f t="shared" si="41"/>
        <v>-0.60386142729865833</v>
      </c>
      <c r="I839" s="1">
        <v>1.3804770117132898</v>
      </c>
      <c r="J839">
        <f t="shared" si="39"/>
        <v>0.83550360778132249</v>
      </c>
    </row>
    <row r="840" spans="1:10">
      <c r="A840">
        <v>837</v>
      </c>
      <c r="B840">
        <v>0.72722556230353708</v>
      </c>
      <c r="C840">
        <v>0.16702780236213263</v>
      </c>
      <c r="D840" s="1">
        <f t="shared" si="40"/>
        <v>0.6044434201578206</v>
      </c>
      <c r="E840" s="1">
        <f t="shared" si="41"/>
        <v>-0.36153375048026937</v>
      </c>
      <c r="I840" s="1">
        <v>1.3863862284245658</v>
      </c>
      <c r="J840">
        <f t="shared" si="39"/>
        <v>0.8365366730479864</v>
      </c>
    </row>
    <row r="841" spans="1:10">
      <c r="A841">
        <v>838</v>
      </c>
      <c r="B841">
        <v>0.45997497482222971</v>
      </c>
      <c r="C841">
        <v>0.48088015381328775</v>
      </c>
      <c r="D841" s="1">
        <f t="shared" si="40"/>
        <v>-0.10049676669910466</v>
      </c>
      <c r="E841" s="1">
        <f t="shared" si="41"/>
        <v>-0.14844147580378131</v>
      </c>
      <c r="I841" s="1">
        <v>1.3897333975674939</v>
      </c>
      <c r="J841">
        <f t="shared" si="39"/>
        <v>0.8371199607747285</v>
      </c>
    </row>
    <row r="842" spans="1:10">
      <c r="A842">
        <v>839</v>
      </c>
      <c r="B842">
        <v>0.52662739951780757</v>
      </c>
      <c r="C842">
        <v>0.53428754539628287</v>
      </c>
      <c r="D842" s="1">
        <f t="shared" si="40"/>
        <v>6.6794626908186869E-2</v>
      </c>
      <c r="E842" s="1">
        <f t="shared" si="41"/>
        <v>0.15284684234919829</v>
      </c>
      <c r="I842" s="1">
        <v>1.3917957057112305</v>
      </c>
      <c r="J842">
        <f t="shared" si="39"/>
        <v>0.83747867012694943</v>
      </c>
    </row>
    <row r="843" spans="1:10">
      <c r="A843">
        <v>840</v>
      </c>
      <c r="B843">
        <v>6.1647389141514328E-3</v>
      </c>
      <c r="C843">
        <v>0.99810785241248823</v>
      </c>
      <c r="D843" s="1">
        <f t="shared" si="40"/>
        <v>-2.5025713283859652</v>
      </c>
      <c r="E843" s="1">
        <f t="shared" si="41"/>
        <v>0.39303274910301589</v>
      </c>
      <c r="I843" s="1">
        <v>1.3925615085809884</v>
      </c>
      <c r="J843">
        <f t="shared" si="39"/>
        <v>0.83761173973285896</v>
      </c>
    </row>
    <row r="844" spans="1:10">
      <c r="A844">
        <v>841</v>
      </c>
      <c r="B844">
        <v>0.60661641285439616</v>
      </c>
      <c r="C844">
        <v>0.40797143467513047</v>
      </c>
      <c r="D844" s="1">
        <f t="shared" si="40"/>
        <v>0.27051097557064074</v>
      </c>
      <c r="E844" s="1">
        <f t="shared" si="41"/>
        <v>3.7744658132477904E-2</v>
      </c>
      <c r="I844" s="1">
        <v>1.3948605232208773</v>
      </c>
      <c r="J844">
        <f t="shared" si="39"/>
        <v>0.83801080148295681</v>
      </c>
    </row>
    <row r="845" spans="1:10">
      <c r="A845">
        <v>842</v>
      </c>
      <c r="B845">
        <v>0.95504623554185608</v>
      </c>
      <c r="C845">
        <v>0.25443281350138858</v>
      </c>
      <c r="D845" s="1">
        <f t="shared" si="40"/>
        <v>1.695885696758952</v>
      </c>
      <c r="E845" s="1">
        <f t="shared" si="41"/>
        <v>1.035280642720916</v>
      </c>
      <c r="I845" s="1">
        <v>1.3962668435641563</v>
      </c>
      <c r="J845">
        <f t="shared" si="39"/>
        <v>0.83825459466795871</v>
      </c>
    </row>
    <row r="846" spans="1:10">
      <c r="A846">
        <v>843</v>
      </c>
      <c r="B846">
        <v>0.15952024903103731</v>
      </c>
      <c r="C846">
        <v>0.5467696157719657</v>
      </c>
      <c r="D846" s="1">
        <f t="shared" si="40"/>
        <v>-0.996431574447744</v>
      </c>
      <c r="E846" s="1">
        <f t="shared" si="41"/>
        <v>-0.87892769306728258</v>
      </c>
      <c r="I846" s="1">
        <v>1.4011370761579913</v>
      </c>
      <c r="J846">
        <f t="shared" si="39"/>
        <v>0.83909702675327946</v>
      </c>
    </row>
    <row r="847" spans="1:10">
      <c r="A847">
        <v>844</v>
      </c>
      <c r="B847">
        <v>0.20047608874782555</v>
      </c>
      <c r="C847">
        <v>0.4944608905301065</v>
      </c>
      <c r="D847" s="1">
        <f t="shared" si="40"/>
        <v>-0.83992190029404468</v>
      </c>
      <c r="E847" s="1">
        <f t="shared" si="41"/>
        <v>-0.853806834844</v>
      </c>
      <c r="I847" s="1">
        <v>1.4039588094705968</v>
      </c>
      <c r="J847">
        <f t="shared" si="39"/>
        <v>0.83958380531248789</v>
      </c>
    </row>
    <row r="848" spans="1:10">
      <c r="A848">
        <v>845</v>
      </c>
      <c r="B848">
        <v>0.40287484359263892</v>
      </c>
      <c r="C848">
        <v>0.71782586138492999</v>
      </c>
      <c r="D848" s="1">
        <f t="shared" si="40"/>
        <v>-0.24591286186180292</v>
      </c>
      <c r="E848" s="1">
        <f t="shared" si="41"/>
        <v>0.3304820582581629</v>
      </c>
      <c r="I848" s="1">
        <v>1.4063049712084865</v>
      </c>
      <c r="J848">
        <f t="shared" si="39"/>
        <v>0.83998780937617978</v>
      </c>
    </row>
    <row r="849" spans="1:10">
      <c r="A849">
        <v>846</v>
      </c>
      <c r="B849">
        <v>0.45411542100283825</v>
      </c>
      <c r="C849">
        <v>0.72682882168034912</v>
      </c>
      <c r="D849" s="1">
        <f t="shared" si="40"/>
        <v>-0.11527034614632135</v>
      </c>
      <c r="E849" s="1">
        <f t="shared" si="41"/>
        <v>0.48797970374995214</v>
      </c>
      <c r="I849" s="1">
        <v>1.4141468266624517</v>
      </c>
      <c r="J849">
        <f t="shared" si="39"/>
        <v>0.84133332737642064</v>
      </c>
    </row>
    <row r="850" spans="1:10">
      <c r="A850">
        <v>847</v>
      </c>
      <c r="B850">
        <v>0.92220831934568315</v>
      </c>
      <c r="C850">
        <v>0.52735984374523148</v>
      </c>
      <c r="D850" s="1">
        <f t="shared" si="40"/>
        <v>1.4200835411409944</v>
      </c>
      <c r="E850" s="1">
        <f t="shared" si="41"/>
        <v>1.488718347756844</v>
      </c>
      <c r="I850" s="1">
        <v>1.424253095868536</v>
      </c>
      <c r="J850">
        <f t="shared" si="39"/>
        <v>0.84305640447592134</v>
      </c>
    </row>
    <row r="851" spans="1:10">
      <c r="A851">
        <v>848</v>
      </c>
      <c r="B851">
        <v>0.36112552262947478</v>
      </c>
      <c r="C851">
        <v>0.54893642994476155</v>
      </c>
      <c r="D851" s="1">
        <f t="shared" si="40"/>
        <v>-0.35545193754863041</v>
      </c>
      <c r="E851" s="1">
        <f t="shared" si="41"/>
        <v>-0.2324772473447782</v>
      </c>
      <c r="I851" s="1">
        <v>1.4385634435893906</v>
      </c>
      <c r="J851">
        <f t="shared" si="39"/>
        <v>0.8454751244517924</v>
      </c>
    </row>
    <row r="852" spans="1:10">
      <c r="A852">
        <v>849</v>
      </c>
      <c r="B852">
        <v>0.88943144016846221</v>
      </c>
      <c r="C852">
        <v>0.99734488967558821</v>
      </c>
      <c r="D852" s="1">
        <f t="shared" si="40"/>
        <v>1.2235100261126528</v>
      </c>
      <c r="E852" s="1">
        <f t="shared" si="41"/>
        <v>4.011096947786843</v>
      </c>
      <c r="I852" s="1">
        <v>1.440889998791258</v>
      </c>
      <c r="J852">
        <f t="shared" si="39"/>
        <v>0.84586601540190864</v>
      </c>
    </row>
    <row r="853" spans="1:10">
      <c r="A853">
        <v>850</v>
      </c>
      <c r="B853">
        <v>0.14551225318155461</v>
      </c>
      <c r="C853">
        <v>0.26459547715689563</v>
      </c>
      <c r="D853" s="1">
        <f t="shared" si="40"/>
        <v>-1.055876796450776</v>
      </c>
      <c r="E853" s="1">
        <f t="shared" si="41"/>
        <v>-1.6851183104831948</v>
      </c>
      <c r="I853" s="1">
        <v>1.4413842723939874</v>
      </c>
      <c r="J853">
        <f t="shared" si="39"/>
        <v>0.84594897535772762</v>
      </c>
    </row>
    <row r="854" spans="1:10">
      <c r="A854">
        <v>851</v>
      </c>
      <c r="B854">
        <v>0.2248908963286233</v>
      </c>
      <c r="C854">
        <v>0.66975920896023433</v>
      </c>
      <c r="D854" s="1">
        <f t="shared" si="40"/>
        <v>-0.75577886135390082</v>
      </c>
      <c r="E854" s="1">
        <f t="shared" si="41"/>
        <v>-0.31653049397355382</v>
      </c>
      <c r="I854" s="1">
        <v>1.4496342664190833</v>
      </c>
      <c r="J854">
        <f t="shared" si="39"/>
        <v>0.84732931026215874</v>
      </c>
    </row>
    <row r="855" spans="1:10">
      <c r="A855">
        <v>852</v>
      </c>
      <c r="B855">
        <v>0.83196508682515946</v>
      </c>
      <c r="C855">
        <v>0.19998779259620961</v>
      </c>
      <c r="D855" s="1">
        <f t="shared" si="40"/>
        <v>0.96195974293196984</v>
      </c>
      <c r="E855" s="1">
        <f t="shared" si="41"/>
        <v>0.12029490475820581</v>
      </c>
      <c r="I855" s="1">
        <v>1.488718347756844</v>
      </c>
      <c r="J855">
        <f t="shared" si="39"/>
        <v>0.85375681179991625</v>
      </c>
    </row>
    <row r="856" spans="1:10">
      <c r="A856">
        <v>853</v>
      </c>
      <c r="B856">
        <v>0.81081575975829345</v>
      </c>
      <c r="C856">
        <v>0.772148808252205</v>
      </c>
      <c r="D856" s="1">
        <f t="shared" si="40"/>
        <v>0.88090640499650308</v>
      </c>
      <c r="E856" s="1">
        <f t="shared" si="41"/>
        <v>1.6268485190745512</v>
      </c>
      <c r="I856" s="1">
        <v>1.4931735492081262</v>
      </c>
      <c r="J856">
        <f t="shared" si="39"/>
        <v>0.85447777314671658</v>
      </c>
    </row>
    <row r="857" spans="1:10">
      <c r="A857">
        <v>854</v>
      </c>
      <c r="B857">
        <v>0.96789452803125098</v>
      </c>
      <c r="C857">
        <v>0.86754966887417218</v>
      </c>
      <c r="D857" s="1">
        <f t="shared" si="40"/>
        <v>1.8507123670798691</v>
      </c>
      <c r="E857" s="1">
        <f t="shared" si="41"/>
        <v>2.9655951344231384</v>
      </c>
      <c r="I857" s="1">
        <v>1.4958559527978952</v>
      </c>
      <c r="J857">
        <f t="shared" si="39"/>
        <v>0.85491069742778492</v>
      </c>
    </row>
    <row r="858" spans="1:10">
      <c r="A858">
        <v>855</v>
      </c>
      <c r="B858">
        <v>0.2346873378704184</v>
      </c>
      <c r="C858">
        <v>0.74483474227118751</v>
      </c>
      <c r="D858" s="1">
        <f t="shared" si="40"/>
        <v>-0.72349687104779881</v>
      </c>
      <c r="E858" s="1">
        <f t="shared" si="41"/>
        <v>-6.5173736614358879E-2</v>
      </c>
      <c r="I858" s="1">
        <v>1.5048557293462839</v>
      </c>
      <c r="J858">
        <f t="shared" si="39"/>
        <v>0.8563568706707203</v>
      </c>
    </row>
    <row r="859" spans="1:10">
      <c r="A859">
        <v>856</v>
      </c>
      <c r="B859">
        <v>0.66313669240394302</v>
      </c>
      <c r="C859">
        <v>0.32514419995727406</v>
      </c>
      <c r="D859" s="1">
        <f t="shared" si="40"/>
        <v>0.42103898410417784</v>
      </c>
      <c r="E859" s="1">
        <f t="shared" si="41"/>
        <v>-3.2322591950414037E-2</v>
      </c>
      <c r="I859" s="1">
        <v>1.5095672063716179</v>
      </c>
      <c r="J859">
        <f t="shared" si="39"/>
        <v>0.8571100648497737</v>
      </c>
    </row>
    <row r="860" spans="1:10">
      <c r="A860">
        <v>857</v>
      </c>
      <c r="B860">
        <v>0.86248359630115667</v>
      </c>
      <c r="C860">
        <v>0.33985412152470473</v>
      </c>
      <c r="D860" s="1">
        <f t="shared" si="40"/>
        <v>1.0915457613415014</v>
      </c>
      <c r="E860" s="1">
        <f t="shared" si="41"/>
        <v>0.67868447047942282</v>
      </c>
      <c r="I860" s="1">
        <v>1.5101002163510802</v>
      </c>
      <c r="J860">
        <f t="shared" si="39"/>
        <v>0.85719510543072674</v>
      </c>
    </row>
    <row r="861" spans="1:10">
      <c r="A861">
        <v>858</v>
      </c>
      <c r="B861">
        <v>0.79631946775719475</v>
      </c>
      <c r="C861">
        <v>0.35224463637195957</v>
      </c>
      <c r="D861" s="1">
        <f t="shared" si="40"/>
        <v>0.8285465135091632</v>
      </c>
      <c r="E861" s="1">
        <f t="shared" si="41"/>
        <v>0.44927906943472001</v>
      </c>
      <c r="I861" s="1">
        <v>1.5119542937974866</v>
      </c>
      <c r="J861">
        <f t="shared" si="39"/>
        <v>0.85749065292915727</v>
      </c>
    </row>
    <row r="862" spans="1:10">
      <c r="A862">
        <v>859</v>
      </c>
      <c r="B862">
        <v>0.94177068391979735</v>
      </c>
      <c r="C862">
        <v>0.67424542985320601</v>
      </c>
      <c r="D862" s="1">
        <f t="shared" si="40"/>
        <v>1.5698129575820055</v>
      </c>
      <c r="E862" s="1">
        <f t="shared" si="41"/>
        <v>2.0214796170910274</v>
      </c>
      <c r="I862" s="1">
        <v>1.5147879530824029</v>
      </c>
      <c r="J862">
        <f t="shared" si="39"/>
        <v>0.85794154998252725</v>
      </c>
    </row>
    <row r="863" spans="1:10">
      <c r="A863">
        <v>860</v>
      </c>
      <c r="B863">
        <v>0.53691213721121855</v>
      </c>
      <c r="C863">
        <v>0.54441969054231387</v>
      </c>
      <c r="D863" s="1">
        <f t="shared" si="40"/>
        <v>9.2657419704919031E-2</v>
      </c>
      <c r="E863" s="1">
        <f t="shared" si="41"/>
        <v>0.20423213773845977</v>
      </c>
      <c r="I863" s="1">
        <v>1.5165166833654071</v>
      </c>
      <c r="J863">
        <f t="shared" si="39"/>
        <v>0.85821615393200801</v>
      </c>
    </row>
    <row r="864" spans="1:10">
      <c r="A864">
        <v>861</v>
      </c>
      <c r="B864">
        <v>0.53938413647877437</v>
      </c>
      <c r="C864">
        <v>0.18478957487716299</v>
      </c>
      <c r="D864" s="1">
        <f t="shared" si="40"/>
        <v>9.8882294376057278E-2</v>
      </c>
      <c r="E864" s="1">
        <f t="shared" si="41"/>
        <v>-0.79837966568072516</v>
      </c>
      <c r="I864" s="1">
        <v>1.5207195837332665</v>
      </c>
      <c r="J864">
        <f t="shared" si="39"/>
        <v>0.85888227257925243</v>
      </c>
    </row>
    <row r="865" spans="1:10">
      <c r="A865">
        <v>862</v>
      </c>
      <c r="B865">
        <v>2.1301919614246042E-2</v>
      </c>
      <c r="C865">
        <v>0.73317667165135658</v>
      </c>
      <c r="D865" s="1">
        <f t="shared" si="40"/>
        <v>-2.0275730758787058</v>
      </c>
      <c r="E865" s="1">
        <f t="shared" si="41"/>
        <v>-1.4051240572192714</v>
      </c>
      <c r="I865" s="1">
        <v>1.5265807696629183</v>
      </c>
      <c r="J865">
        <f t="shared" si="39"/>
        <v>0.85980766488830829</v>
      </c>
    </row>
    <row r="866" spans="1:10">
      <c r="A866">
        <v>863</v>
      </c>
      <c r="B866">
        <v>4.8371837519455549E-2</v>
      </c>
      <c r="C866">
        <v>0.51283303323465679</v>
      </c>
      <c r="D866" s="1">
        <f t="shared" si="40"/>
        <v>-1.6608495085363679</v>
      </c>
      <c r="E866" s="1">
        <f t="shared" si="41"/>
        <v>-1.6286763149535506</v>
      </c>
      <c r="I866" s="1">
        <v>1.5310984764852025</v>
      </c>
      <c r="J866">
        <f t="shared" si="39"/>
        <v>0.86051812308109787</v>
      </c>
    </row>
    <row r="867" spans="1:10">
      <c r="A867">
        <v>864</v>
      </c>
      <c r="B867">
        <v>0.22589800714133121</v>
      </c>
      <c r="C867">
        <v>0.89907528916287727</v>
      </c>
      <c r="D867" s="1">
        <f t="shared" si="40"/>
        <v>-0.75242417280368112</v>
      </c>
      <c r="E867" s="1">
        <f t="shared" si="41"/>
        <v>0.52387602110283327</v>
      </c>
      <c r="I867" s="1">
        <v>1.5389950201712921</v>
      </c>
      <c r="J867">
        <f t="shared" si="39"/>
        <v>0.86175404988081039</v>
      </c>
    </row>
    <row r="868" spans="1:10">
      <c r="A868">
        <v>865</v>
      </c>
      <c r="B868">
        <v>0.38535721915341653</v>
      </c>
      <c r="C868">
        <v>6.6347239600817898E-2</v>
      </c>
      <c r="D868" s="1">
        <f t="shared" si="40"/>
        <v>-0.29144050699468282</v>
      </c>
      <c r="E868" s="1">
        <f t="shared" si="41"/>
        <v>-1.7950013523128734</v>
      </c>
      <c r="I868" s="1">
        <v>1.5417706443028663</v>
      </c>
      <c r="J868">
        <f t="shared" si="39"/>
        <v>0.86218669768082812</v>
      </c>
    </row>
    <row r="869" spans="1:10">
      <c r="A869">
        <v>866</v>
      </c>
      <c r="B869">
        <v>0.92611468855861079</v>
      </c>
      <c r="C869">
        <v>0.58214056825464644</v>
      </c>
      <c r="D869" s="1">
        <f t="shared" si="40"/>
        <v>1.447451099394832</v>
      </c>
      <c r="E869" s="1">
        <f t="shared" si="41"/>
        <v>1.6548237199242322</v>
      </c>
      <c r="I869" s="1">
        <v>1.5423140926282675</v>
      </c>
      <c r="J869">
        <f t="shared" si="39"/>
        <v>0.86227129891338394</v>
      </c>
    </row>
    <row r="870" spans="1:10">
      <c r="A870">
        <v>867</v>
      </c>
      <c r="B870">
        <v>0.46107364116336558</v>
      </c>
      <c r="C870">
        <v>0.49482711264381846</v>
      </c>
      <c r="D870" s="1">
        <f t="shared" si="40"/>
        <v>-9.7729257883817131E-2</v>
      </c>
      <c r="E870" s="1">
        <f t="shared" si="41"/>
        <v>-0.11069612695737063</v>
      </c>
      <c r="I870" s="1">
        <v>1.5426677648810136</v>
      </c>
      <c r="J870">
        <f t="shared" si="39"/>
        <v>0.86232633774443712</v>
      </c>
    </row>
    <row r="871" spans="1:10">
      <c r="A871">
        <v>868</v>
      </c>
      <c r="B871">
        <v>0.24143192846461378</v>
      </c>
      <c r="C871">
        <v>0.337137974181341</v>
      </c>
      <c r="D871" s="1">
        <f t="shared" si="40"/>
        <v>-0.70170387341356077</v>
      </c>
      <c r="E871" s="1">
        <f t="shared" si="41"/>
        <v>-1.1219906779119833</v>
      </c>
      <c r="I871" s="1">
        <v>1.5448237211133338</v>
      </c>
      <c r="J871">
        <f t="shared" si="39"/>
        <v>0.86266152515057892</v>
      </c>
    </row>
    <row r="872" spans="1:10">
      <c r="A872">
        <v>869</v>
      </c>
      <c r="B872">
        <v>0.67363505966368598</v>
      </c>
      <c r="C872">
        <v>0.68770409253212073</v>
      </c>
      <c r="D872" s="1">
        <f t="shared" si="40"/>
        <v>0.44997303949372885</v>
      </c>
      <c r="E872" s="1">
        <f t="shared" si="41"/>
        <v>0.93932602487987382</v>
      </c>
      <c r="I872" s="1">
        <v>1.5462219863751696</v>
      </c>
      <c r="J872">
        <f t="shared" si="39"/>
        <v>0.86287861586612291</v>
      </c>
    </row>
    <row r="873" spans="1:10">
      <c r="A873">
        <v>870</v>
      </c>
      <c r="B873">
        <v>0.76943266090884121</v>
      </c>
      <c r="C873">
        <v>0.64757225257118445</v>
      </c>
      <c r="D873" s="1">
        <f t="shared" si="40"/>
        <v>0.73697972663988931</v>
      </c>
      <c r="E873" s="1">
        <f t="shared" si="41"/>
        <v>1.1157539978333277</v>
      </c>
      <c r="I873" s="1">
        <v>1.5601273878882491</v>
      </c>
      <c r="J873">
        <f t="shared" si="39"/>
        <v>0.8650247715069127</v>
      </c>
    </row>
    <row r="874" spans="1:10">
      <c r="A874">
        <v>871</v>
      </c>
      <c r="B874">
        <v>0.66780602435377057</v>
      </c>
      <c r="C874">
        <v>0.30124820703756827</v>
      </c>
      <c r="D874" s="1">
        <f t="shared" si="40"/>
        <v>0.43386296996001139</v>
      </c>
      <c r="E874" s="1">
        <f t="shared" si="41"/>
        <v>-8.6950937210713009E-2</v>
      </c>
      <c r="I874" s="1">
        <v>1.5617101168841636</v>
      </c>
      <c r="J874">
        <f t="shared" si="39"/>
        <v>0.86526758093733624</v>
      </c>
    </row>
    <row r="875" spans="1:10">
      <c r="A875">
        <v>872</v>
      </c>
      <c r="B875">
        <v>0.82717368083742793</v>
      </c>
      <c r="C875">
        <v>0.53688161870174256</v>
      </c>
      <c r="D875" s="1">
        <f t="shared" si="40"/>
        <v>0.94305526014666297</v>
      </c>
      <c r="E875" s="1">
        <f t="shared" si="41"/>
        <v>1.0356358524751039</v>
      </c>
      <c r="I875" s="1">
        <v>1.5648821160926902</v>
      </c>
      <c r="J875">
        <f t="shared" si="39"/>
        <v>0.86575330056971067</v>
      </c>
    </row>
    <row r="876" spans="1:10">
      <c r="A876">
        <v>873</v>
      </c>
      <c r="B876">
        <v>5.0752281258583332E-2</v>
      </c>
      <c r="C876">
        <v>0.35062715536973177</v>
      </c>
      <c r="D876" s="1">
        <f t="shared" si="40"/>
        <v>-1.6376028770375961</v>
      </c>
      <c r="E876" s="1">
        <f t="shared" si="41"/>
        <v>-2.0212307061374872</v>
      </c>
      <c r="I876" s="1">
        <v>1.5777418558611624</v>
      </c>
      <c r="J876">
        <f t="shared" si="39"/>
        <v>0.86771014820283199</v>
      </c>
    </row>
    <row r="877" spans="1:10">
      <c r="A877">
        <v>874</v>
      </c>
      <c r="B877">
        <v>0.97946104312265392</v>
      </c>
      <c r="C877">
        <v>0.51475569933164467</v>
      </c>
      <c r="D877" s="1">
        <f t="shared" si="40"/>
        <v>2.0427427172779464</v>
      </c>
      <c r="E877" s="1">
        <f t="shared" si="41"/>
        <v>2.0797382077826336</v>
      </c>
      <c r="I877" s="1">
        <v>1.6183552397307501</v>
      </c>
      <c r="J877">
        <f t="shared" si="39"/>
        <v>0.87376073503207741</v>
      </c>
    </row>
    <row r="878" spans="1:10">
      <c r="A878">
        <v>875</v>
      </c>
      <c r="B878">
        <v>0.78102969450972015</v>
      </c>
      <c r="C878">
        <v>0.20392468031861324</v>
      </c>
      <c r="D878" s="1">
        <f t="shared" si="40"/>
        <v>0.77567549712542239</v>
      </c>
      <c r="E878" s="1">
        <f t="shared" si="41"/>
        <v>-5.2008718330195269E-2</v>
      </c>
      <c r="I878" s="1">
        <v>1.624255372121119</v>
      </c>
      <c r="J878">
        <f t="shared" si="39"/>
        <v>0.87462342937564674</v>
      </c>
    </row>
    <row r="879" spans="1:10">
      <c r="A879">
        <v>876</v>
      </c>
      <c r="B879">
        <v>0.95480208746604811</v>
      </c>
      <c r="C879">
        <v>9.9154637287514877E-2</v>
      </c>
      <c r="D879" s="1">
        <f t="shared" si="40"/>
        <v>1.6933134198101116</v>
      </c>
      <c r="E879" s="1">
        <f t="shared" si="41"/>
        <v>0.40692997884167648</v>
      </c>
      <c r="I879" s="1">
        <v>1.6244304135180709</v>
      </c>
      <c r="J879">
        <f t="shared" si="39"/>
        <v>0.87464896023569194</v>
      </c>
    </row>
    <row r="880" spans="1:10">
      <c r="A880">
        <v>877</v>
      </c>
      <c r="B880">
        <v>0.17426068910794396</v>
      </c>
      <c r="C880">
        <v>0.50309762871181374</v>
      </c>
      <c r="D880" s="1">
        <f t="shared" si="40"/>
        <v>-0.93746118997061667</v>
      </c>
      <c r="E880" s="1">
        <f t="shared" si="41"/>
        <v>-0.92969650823550531</v>
      </c>
      <c r="I880" s="1">
        <v>1.6268485190745512</v>
      </c>
      <c r="J880">
        <f t="shared" si="39"/>
        <v>0.87500128440303238</v>
      </c>
    </row>
    <row r="881" spans="1:10">
      <c r="A881">
        <v>878</v>
      </c>
      <c r="B881">
        <v>0.36536759544663838</v>
      </c>
      <c r="C881">
        <v>0.5884578997161779</v>
      </c>
      <c r="D881" s="1">
        <f t="shared" si="40"/>
        <v>-0.34414772792583687</v>
      </c>
      <c r="E881" s="1">
        <f t="shared" si="41"/>
        <v>-0.12056782192282683</v>
      </c>
      <c r="I881" s="1">
        <v>1.6392932554589477</v>
      </c>
      <c r="J881">
        <f t="shared" si="39"/>
        <v>0.87680357169294842</v>
      </c>
    </row>
    <row r="882" spans="1:10">
      <c r="A882">
        <v>879</v>
      </c>
      <c r="B882">
        <v>0.5280312509537034</v>
      </c>
      <c r="C882">
        <v>0.24307992797631764</v>
      </c>
      <c r="D882" s="1">
        <f t="shared" si="40"/>
        <v>7.03218420574208E-2</v>
      </c>
      <c r="E882" s="1">
        <f t="shared" si="41"/>
        <v>-0.62610771854311764</v>
      </c>
      <c r="I882" s="1">
        <v>1.6417888832443031</v>
      </c>
      <c r="J882">
        <f t="shared" si="39"/>
        <v>0.87716279339962788</v>
      </c>
    </row>
    <row r="883" spans="1:10">
      <c r="A883">
        <v>880</v>
      </c>
      <c r="B883">
        <v>0.47807245094149603</v>
      </c>
      <c r="C883">
        <v>0.6403393658253731</v>
      </c>
      <c r="D883" s="1">
        <f t="shared" si="40"/>
        <v>-5.4991918840770003E-2</v>
      </c>
      <c r="E883" s="1">
        <f t="shared" si="41"/>
        <v>0.30437413188324591</v>
      </c>
      <c r="I883" s="1">
        <v>1.6548237199242322</v>
      </c>
      <c r="J883">
        <f t="shared" si="39"/>
        <v>0.87902709451787187</v>
      </c>
    </row>
    <row r="884" spans="1:10">
      <c r="A884">
        <v>881</v>
      </c>
      <c r="B884">
        <v>0.87588122196111939</v>
      </c>
      <c r="C884">
        <v>0.58543656727805415</v>
      </c>
      <c r="D884" s="1">
        <f t="shared" si="40"/>
        <v>1.1546407888678736</v>
      </c>
      <c r="E884" s="1">
        <f t="shared" si="41"/>
        <v>1.3704623186559644</v>
      </c>
      <c r="I884" s="1">
        <v>1.6554651465601267</v>
      </c>
      <c r="J884">
        <f t="shared" si="39"/>
        <v>0.87911831750526792</v>
      </c>
    </row>
    <row r="885" spans="1:10">
      <c r="A885">
        <v>882</v>
      </c>
      <c r="B885">
        <v>0.75267799920651879</v>
      </c>
      <c r="C885">
        <v>0.17893002105777153</v>
      </c>
      <c r="D885" s="1">
        <f t="shared" si="40"/>
        <v>0.68294119522241536</v>
      </c>
      <c r="E885" s="1">
        <f t="shared" si="41"/>
        <v>-0.23650919640701162</v>
      </c>
      <c r="I885" s="1">
        <v>1.6558716271173188</v>
      </c>
      <c r="J885">
        <f t="shared" si="39"/>
        <v>0.87917610165569759</v>
      </c>
    </row>
    <row r="886" spans="1:10">
      <c r="A886">
        <v>883</v>
      </c>
      <c r="B886">
        <v>0.96984771263771474</v>
      </c>
      <c r="C886">
        <v>9.387493514816736E-2</v>
      </c>
      <c r="D886" s="1">
        <f t="shared" si="40"/>
        <v>1.8785601645646597</v>
      </c>
      <c r="E886" s="1">
        <f t="shared" si="41"/>
        <v>0.56129533624894057</v>
      </c>
      <c r="I886" s="1">
        <v>1.6672197672945708</v>
      </c>
      <c r="J886">
        <f t="shared" si="39"/>
        <v>0.88078147965187847</v>
      </c>
    </row>
    <row r="887" spans="1:10">
      <c r="A887">
        <v>884</v>
      </c>
      <c r="B887">
        <v>0.10122989593188268</v>
      </c>
      <c r="C887">
        <v>0.81688894314401683</v>
      </c>
      <c r="D887" s="1">
        <f t="shared" si="40"/>
        <v>-1.274574771277019</v>
      </c>
      <c r="E887" s="1">
        <f t="shared" si="41"/>
        <v>-0.37100224297067974</v>
      </c>
      <c r="I887" s="1">
        <v>1.7019658288546569</v>
      </c>
      <c r="J887">
        <f t="shared" si="39"/>
        <v>0.88560305841152431</v>
      </c>
    </row>
    <row r="888" spans="1:10">
      <c r="A888">
        <v>885</v>
      </c>
      <c r="B888">
        <v>0.88143559068575095</v>
      </c>
      <c r="C888">
        <v>8.1850642414624475E-2</v>
      </c>
      <c r="D888" s="1">
        <f t="shared" si="40"/>
        <v>1.1821937837117598</v>
      </c>
      <c r="E888" s="1">
        <f t="shared" si="41"/>
        <v>-0.21053677260248627</v>
      </c>
      <c r="I888" s="1">
        <v>1.703250745958258</v>
      </c>
      <c r="J888">
        <f t="shared" si="39"/>
        <v>0.88577866015877393</v>
      </c>
    </row>
    <row r="889" spans="1:10">
      <c r="A889">
        <v>886</v>
      </c>
      <c r="B889">
        <v>0.94875942258980073</v>
      </c>
      <c r="C889">
        <v>0.9727774895474105</v>
      </c>
      <c r="D889" s="1">
        <f t="shared" si="40"/>
        <v>1.632942194234078</v>
      </c>
      <c r="E889" s="1">
        <f t="shared" si="41"/>
        <v>3.5562211906826597</v>
      </c>
      <c r="I889" s="1">
        <v>1.7066819156972617</v>
      </c>
      <c r="J889">
        <f t="shared" si="39"/>
        <v>0.88624663613147681</v>
      </c>
    </row>
    <row r="890" spans="1:10">
      <c r="A890">
        <v>887</v>
      </c>
      <c r="B890">
        <v>0.22977385784478285</v>
      </c>
      <c r="C890">
        <v>0.77916806543168426</v>
      </c>
      <c r="D890" s="1">
        <f t="shared" si="40"/>
        <v>-0.73959180503708954</v>
      </c>
      <c r="E890" s="1">
        <f t="shared" si="41"/>
        <v>2.9794747638148489E-2</v>
      </c>
      <c r="I890" s="1">
        <v>1.7149200676018366</v>
      </c>
      <c r="J890">
        <f t="shared" si="39"/>
        <v>0.88736465087138949</v>
      </c>
    </row>
    <row r="891" spans="1:10">
      <c r="A891">
        <v>888</v>
      </c>
      <c r="B891">
        <v>0.31794183172093876</v>
      </c>
      <c r="C891">
        <v>0.81279946287423321</v>
      </c>
      <c r="D891" s="1">
        <f t="shared" si="40"/>
        <v>-0.47346191885729821</v>
      </c>
      <c r="E891" s="1">
        <f t="shared" si="41"/>
        <v>0.41479777714122351</v>
      </c>
      <c r="I891" s="1">
        <v>1.7193697536542514</v>
      </c>
      <c r="J891">
        <f t="shared" si="39"/>
        <v>0.8879652515189792</v>
      </c>
    </row>
    <row r="892" spans="1:10">
      <c r="A892">
        <v>889</v>
      </c>
      <c r="B892">
        <v>0.61857966856898705</v>
      </c>
      <c r="C892">
        <v>0.18311105685598317</v>
      </c>
      <c r="D892" s="1">
        <f t="shared" si="40"/>
        <v>0.30175260557974959</v>
      </c>
      <c r="E892" s="1">
        <f t="shared" si="41"/>
        <v>-0.60181992272658968</v>
      </c>
      <c r="I892" s="1">
        <v>1.7342985321837017</v>
      </c>
      <c r="J892">
        <f t="shared" si="39"/>
        <v>0.88996354171292924</v>
      </c>
    </row>
    <row r="893" spans="1:10">
      <c r="A893">
        <v>890</v>
      </c>
      <c r="B893">
        <v>0.44453260902737513</v>
      </c>
      <c r="C893">
        <v>0.66966765343180634</v>
      </c>
      <c r="D893" s="1">
        <f t="shared" si="40"/>
        <v>-0.13948713915819372</v>
      </c>
      <c r="E893" s="1">
        <f t="shared" si="41"/>
        <v>0.29950850415258934</v>
      </c>
      <c r="I893" s="1">
        <v>1.7430711358971793</v>
      </c>
      <c r="J893">
        <f t="shared" si="39"/>
        <v>0.8911258013921598</v>
      </c>
    </row>
    <row r="894" spans="1:10">
      <c r="A894">
        <v>891</v>
      </c>
      <c r="B894">
        <v>1.3214514603106785E-2</v>
      </c>
      <c r="C894">
        <v>0.88381603442487866</v>
      </c>
      <c r="D894" s="1">
        <f t="shared" si="40"/>
        <v>-2.2198488562234417</v>
      </c>
      <c r="E894" s="1">
        <f t="shared" si="41"/>
        <v>-1.0255675080039302</v>
      </c>
      <c r="I894" s="1">
        <v>1.7468457623542728</v>
      </c>
      <c r="J894">
        <f t="shared" si="39"/>
        <v>0.89162316667880626</v>
      </c>
    </row>
    <row r="895" spans="1:10">
      <c r="A895">
        <v>892</v>
      </c>
      <c r="B895">
        <v>0.97744682149723805</v>
      </c>
      <c r="C895">
        <v>0.32108523819696644</v>
      </c>
      <c r="D895" s="1">
        <f t="shared" si="40"/>
        <v>2.0036612766935313</v>
      </c>
      <c r="E895" s="1">
        <f t="shared" si="41"/>
        <v>1.5389950201712921</v>
      </c>
      <c r="I895" s="1">
        <v>1.749604537847147</v>
      </c>
      <c r="J895">
        <f t="shared" si="39"/>
        <v>0.89198564235237932</v>
      </c>
    </row>
    <row r="896" spans="1:10">
      <c r="A896">
        <v>893</v>
      </c>
      <c r="B896">
        <v>0.14368114261299478</v>
      </c>
      <c r="C896">
        <v>0.966795861690115</v>
      </c>
      <c r="D896" s="1">
        <f t="shared" si="40"/>
        <v>-1.0639258641095162</v>
      </c>
      <c r="E896" s="1">
        <f t="shared" si="41"/>
        <v>0.77173197832009133</v>
      </c>
      <c r="I896" s="1">
        <v>1.7551877157609046</v>
      </c>
      <c r="J896">
        <f t="shared" si="39"/>
        <v>0.89271654376908494</v>
      </c>
    </row>
    <row r="897" spans="1:10">
      <c r="A897">
        <v>894</v>
      </c>
      <c r="B897">
        <v>0.75893429364909815</v>
      </c>
      <c r="C897">
        <v>6.6591387676625868E-2</v>
      </c>
      <c r="D897" s="1">
        <f t="shared" si="40"/>
        <v>0.70287859337559877</v>
      </c>
      <c r="E897" s="1">
        <f t="shared" si="41"/>
        <v>-0.79878978108232346</v>
      </c>
      <c r="I897" s="1">
        <v>1.7575871425872702</v>
      </c>
      <c r="J897">
        <f t="shared" si="39"/>
        <v>0.89302955807857121</v>
      </c>
    </row>
    <row r="898" spans="1:10">
      <c r="A898">
        <v>895</v>
      </c>
      <c r="B898">
        <v>0.19953001495406963</v>
      </c>
      <c r="C898">
        <v>0.42750328073976868</v>
      </c>
      <c r="D898" s="1">
        <f t="shared" si="40"/>
        <v>-0.8433011677337795</v>
      </c>
      <c r="E898" s="1">
        <f t="shared" si="41"/>
        <v>-1.0260353911248812</v>
      </c>
      <c r="I898" s="1">
        <v>1.7598030500973294</v>
      </c>
      <c r="J898">
        <f t="shared" si="39"/>
        <v>0.89331804597499698</v>
      </c>
    </row>
    <row r="899" spans="1:10">
      <c r="A899">
        <v>896</v>
      </c>
      <c r="B899">
        <v>0.63365581225012968</v>
      </c>
      <c r="C899">
        <v>0.55088961455122532</v>
      </c>
      <c r="D899" s="1">
        <f t="shared" si="40"/>
        <v>0.34155158795201485</v>
      </c>
      <c r="E899" s="1">
        <f t="shared" si="41"/>
        <v>0.46946086302352369</v>
      </c>
      <c r="I899" s="1">
        <v>1.7753274287352863</v>
      </c>
      <c r="J899">
        <f t="shared" si="39"/>
        <v>0.89532341998854437</v>
      </c>
    </row>
    <row r="900" spans="1:10">
      <c r="A900">
        <v>897</v>
      </c>
      <c r="B900">
        <v>0.71913815729239783</v>
      </c>
      <c r="C900">
        <v>0.50148014770958582</v>
      </c>
      <c r="D900" s="1">
        <f t="shared" si="40"/>
        <v>0.58028315453926138</v>
      </c>
      <c r="E900" s="1">
        <f t="shared" si="41"/>
        <v>0.58399334315082185</v>
      </c>
      <c r="I900" s="1">
        <v>1.7925757326652159</v>
      </c>
      <c r="J900">
        <f t="shared" ref="J900:J963" si="42">_xlfn.NORM.DIST(I900,$J$1,$J$2,TRUE)</f>
        <v>0.89751930365303711</v>
      </c>
    </row>
    <row r="901" spans="1:10">
      <c r="A901">
        <v>898</v>
      </c>
      <c r="B901">
        <v>0.83199560533463546</v>
      </c>
      <c r="C901">
        <v>0.37049470503860593</v>
      </c>
      <c r="D901" s="1">
        <f t="shared" ref="D901:D964" si="43">_xlfn.NORM.INV(B901, 0, 1)</f>
        <v>0.96208125500460462</v>
      </c>
      <c r="E901" s="1">
        <f t="shared" ref="E901:E964" si="44">_xlfn.NORM.INV(C901,D901,1)</f>
        <v>0.6315378614926821</v>
      </c>
      <c r="I901" s="1">
        <v>1.802617915755623</v>
      </c>
      <c r="J901">
        <f t="shared" si="42"/>
        <v>0.89878224716151478</v>
      </c>
    </row>
    <row r="902" spans="1:10">
      <c r="A902">
        <v>899</v>
      </c>
      <c r="B902">
        <v>0.28733176671651356</v>
      </c>
      <c r="C902">
        <v>5.1759392071291238E-2</v>
      </c>
      <c r="D902" s="1">
        <f t="shared" si="43"/>
        <v>-0.56119658104609904</v>
      </c>
      <c r="E902" s="1">
        <f t="shared" si="44"/>
        <v>-2.1892253576402103</v>
      </c>
      <c r="I902" s="1">
        <v>1.8029073758582603</v>
      </c>
      <c r="J902">
        <f t="shared" si="42"/>
        <v>0.89881848185564039</v>
      </c>
    </row>
    <row r="903" spans="1:10">
      <c r="A903">
        <v>900</v>
      </c>
      <c r="B903">
        <v>0.33408612323374126</v>
      </c>
      <c r="C903">
        <v>0.29084139530625325</v>
      </c>
      <c r="D903" s="1">
        <f t="shared" si="43"/>
        <v>-0.4286578398741549</v>
      </c>
      <c r="E903" s="1">
        <f t="shared" si="44"/>
        <v>-0.9795861923986755</v>
      </c>
      <c r="I903" s="1">
        <v>1.805691353624935</v>
      </c>
      <c r="J903">
        <f t="shared" si="42"/>
        <v>0.89916649838047003</v>
      </c>
    </row>
    <row r="904" spans="1:10">
      <c r="A904">
        <v>901</v>
      </c>
      <c r="B904">
        <v>7.2054200872829377E-2</v>
      </c>
      <c r="C904">
        <v>0.78093813898129216</v>
      </c>
      <c r="D904" s="1">
        <f t="shared" si="43"/>
        <v>-1.4606613465987626</v>
      </c>
      <c r="E904" s="1">
        <f t="shared" si="44"/>
        <v>-0.68529585812586302</v>
      </c>
      <c r="I904" s="1">
        <v>1.8083995313867678</v>
      </c>
      <c r="J904">
        <f t="shared" si="42"/>
        <v>0.89950420108649598</v>
      </c>
    </row>
    <row r="905" spans="1:10">
      <c r="A905">
        <v>902</v>
      </c>
      <c r="B905">
        <v>0.37321085238196966</v>
      </c>
      <c r="C905">
        <v>2.0477919858394117E-2</v>
      </c>
      <c r="D905" s="1">
        <f t="shared" si="43"/>
        <v>-0.32336120736136781</v>
      </c>
      <c r="E905" s="1">
        <f t="shared" si="44"/>
        <v>-2.3673380014223664</v>
      </c>
      <c r="I905" s="1">
        <v>1.8205386871587779</v>
      </c>
      <c r="J905">
        <f t="shared" si="42"/>
        <v>0.9010077850469671</v>
      </c>
    </row>
    <row r="906" spans="1:10">
      <c r="A906">
        <v>903</v>
      </c>
      <c r="B906">
        <v>0.97485274819177836</v>
      </c>
      <c r="C906">
        <v>0.67796868800927768</v>
      </c>
      <c r="D906" s="1">
        <f t="shared" si="43"/>
        <v>1.9574506915835936</v>
      </c>
      <c r="E906" s="1">
        <f t="shared" si="44"/>
        <v>2.4194767633754974</v>
      </c>
      <c r="I906" s="1">
        <v>1.834524591603615</v>
      </c>
      <c r="J906">
        <f t="shared" si="42"/>
        <v>0.9027196315775996</v>
      </c>
    </row>
    <row r="907" spans="1:10">
      <c r="A907">
        <v>904</v>
      </c>
      <c r="B907">
        <v>4.0894802697836238E-3</v>
      </c>
      <c r="C907">
        <v>0.56083864864040045</v>
      </c>
      <c r="D907" s="1">
        <f t="shared" si="43"/>
        <v>-2.6445914372882386</v>
      </c>
      <c r="E907" s="1">
        <f t="shared" si="44"/>
        <v>-2.4914956052949981</v>
      </c>
      <c r="I907" s="1">
        <v>1.8397312037130884</v>
      </c>
      <c r="J907">
        <f t="shared" si="42"/>
        <v>0.90335133069015405</v>
      </c>
    </row>
    <row r="908" spans="1:10">
      <c r="A908">
        <v>905</v>
      </c>
      <c r="B908">
        <v>0.86645100253303631</v>
      </c>
      <c r="C908">
        <v>0.8945585497604297</v>
      </c>
      <c r="D908" s="1">
        <f t="shared" si="43"/>
        <v>1.1097703595086625</v>
      </c>
      <c r="E908" s="1">
        <f t="shared" si="44"/>
        <v>2.3609117400834561</v>
      </c>
      <c r="I908" s="1">
        <v>1.8444403674893823</v>
      </c>
      <c r="J908">
        <f t="shared" si="42"/>
        <v>0.90392007662177598</v>
      </c>
    </row>
    <row r="909" spans="1:10">
      <c r="A909">
        <v>906</v>
      </c>
      <c r="B909">
        <v>0.57106234931485944</v>
      </c>
      <c r="C909">
        <v>0.80141605883968625</v>
      </c>
      <c r="D909" s="1">
        <f t="shared" si="43"/>
        <v>0.17907947078113626</v>
      </c>
      <c r="E909" s="1">
        <f t="shared" si="44"/>
        <v>1.0257695635446717</v>
      </c>
      <c r="I909" s="1">
        <v>1.8461517666609735</v>
      </c>
      <c r="J909">
        <f t="shared" si="42"/>
        <v>0.90412615881171898</v>
      </c>
    </row>
    <row r="910" spans="1:10">
      <c r="A910">
        <v>907</v>
      </c>
      <c r="B910">
        <v>0.65605639820551165</v>
      </c>
      <c r="C910">
        <v>0.29184850611896113</v>
      </c>
      <c r="D910" s="1">
        <f t="shared" si="43"/>
        <v>0.4017239403559969</v>
      </c>
      <c r="E910" s="1">
        <f t="shared" si="44"/>
        <v>-0.14626861850502659</v>
      </c>
      <c r="I910" s="1">
        <v>1.8581119202905498</v>
      </c>
      <c r="J910">
        <f t="shared" si="42"/>
        <v>0.90555730050148286</v>
      </c>
    </row>
    <row r="911" spans="1:10">
      <c r="A911">
        <v>908</v>
      </c>
      <c r="B911">
        <v>8.3254493850520347E-2</v>
      </c>
      <c r="C911">
        <v>0.88238166447950683</v>
      </c>
      <c r="D911" s="1">
        <f t="shared" si="43"/>
        <v>-1.383508549428613</v>
      </c>
      <c r="E911" s="1">
        <f t="shared" si="44"/>
        <v>-0.19653149410521031</v>
      </c>
      <c r="I911" s="1">
        <v>1.8606702423176895</v>
      </c>
      <c r="J911">
        <f t="shared" si="42"/>
        <v>0.90586137144529477</v>
      </c>
    </row>
    <row r="912" spans="1:10">
      <c r="A912">
        <v>909</v>
      </c>
      <c r="B912">
        <v>0.41871395001068146</v>
      </c>
      <c r="C912">
        <v>0.34070863979003263</v>
      </c>
      <c r="D912" s="1">
        <f t="shared" si="43"/>
        <v>-0.2051846011193976</v>
      </c>
      <c r="E912" s="1">
        <f t="shared" si="44"/>
        <v>-0.61571449430159608</v>
      </c>
      <c r="I912" s="1">
        <v>1.8697756352485153</v>
      </c>
      <c r="J912">
        <f t="shared" si="42"/>
        <v>0.90693773886197648</v>
      </c>
    </row>
    <row r="913" spans="1:10">
      <c r="A913">
        <v>910</v>
      </c>
      <c r="B913">
        <v>7.0253608813745538E-2</v>
      </c>
      <c r="C913">
        <v>0.52946562089907534</v>
      </c>
      <c r="D913" s="1">
        <f t="shared" si="43"/>
        <v>-1.4739048281057283</v>
      </c>
      <c r="E913" s="1">
        <f t="shared" si="44"/>
        <v>-1.3999781881227225</v>
      </c>
      <c r="I913" s="1">
        <v>1.8719814516586777</v>
      </c>
      <c r="J913">
        <f t="shared" si="42"/>
        <v>0.90719711889490473</v>
      </c>
    </row>
    <row r="914" spans="1:10">
      <c r="A914">
        <v>911</v>
      </c>
      <c r="B914">
        <v>0.1142002624591815</v>
      </c>
      <c r="C914">
        <v>1.174962614825892E-2</v>
      </c>
      <c r="D914" s="1">
        <f t="shared" si="43"/>
        <v>-1.2044892749673439</v>
      </c>
      <c r="E914" s="1">
        <f t="shared" si="44"/>
        <v>-3.4697081357077755</v>
      </c>
      <c r="I914" s="1">
        <v>1.8735856219200975</v>
      </c>
      <c r="J914">
        <f t="shared" si="42"/>
        <v>0.90738541585730192</v>
      </c>
    </row>
    <row r="915" spans="1:10">
      <c r="A915">
        <v>912</v>
      </c>
      <c r="B915">
        <v>0.56996368297372357</v>
      </c>
      <c r="C915">
        <v>0.6998504593035676</v>
      </c>
      <c r="D915" s="1">
        <f t="shared" si="43"/>
        <v>0.17628170525609937</v>
      </c>
      <c r="E915" s="1">
        <f t="shared" si="44"/>
        <v>0.70025217190152445</v>
      </c>
      <c r="I915" s="1">
        <v>1.874194632589943</v>
      </c>
      <c r="J915">
        <f t="shared" si="42"/>
        <v>0.9074568272642618</v>
      </c>
    </row>
    <row r="916" spans="1:10">
      <c r="A916">
        <v>913</v>
      </c>
      <c r="B916">
        <v>0.18939786980803858</v>
      </c>
      <c r="C916">
        <v>0.88839381084627822</v>
      </c>
      <c r="D916" s="1">
        <f t="shared" si="43"/>
        <v>-0.88011735266889191</v>
      </c>
      <c r="E916" s="1">
        <f t="shared" si="44"/>
        <v>0.33791315864004989</v>
      </c>
      <c r="I916" s="1">
        <v>1.8878859151900631</v>
      </c>
      <c r="J916">
        <f t="shared" si="42"/>
        <v>0.90905150564856707</v>
      </c>
    </row>
    <row r="917" spans="1:10">
      <c r="A917">
        <v>914</v>
      </c>
      <c r="B917">
        <v>0.62263863032929467</v>
      </c>
      <c r="C917">
        <v>9.1372417371135592E-2</v>
      </c>
      <c r="D917" s="1">
        <f t="shared" si="43"/>
        <v>0.31241817520640391</v>
      </c>
      <c r="E917" s="1">
        <f t="shared" si="44"/>
        <v>-1.0199329493121976</v>
      </c>
      <c r="I917" s="1">
        <v>1.9128063520139407</v>
      </c>
      <c r="J917">
        <f t="shared" si="42"/>
        <v>0.91190161586464413</v>
      </c>
    </row>
    <row r="918" spans="1:10">
      <c r="A918">
        <v>915</v>
      </c>
      <c r="B918">
        <v>0.19388409070101018</v>
      </c>
      <c r="C918">
        <v>9.5980712302011176E-2</v>
      </c>
      <c r="D918" s="1">
        <f t="shared" si="43"/>
        <v>-0.86367185060391272</v>
      </c>
      <c r="E918" s="1">
        <f t="shared" si="44"/>
        <v>-2.1684704840327997</v>
      </c>
      <c r="I918" s="1">
        <v>1.9211658659265163</v>
      </c>
      <c r="J918">
        <f t="shared" si="42"/>
        <v>0.91284260888297342</v>
      </c>
    </row>
    <row r="919" spans="1:10">
      <c r="A919">
        <v>916</v>
      </c>
      <c r="B919">
        <v>0.130314035462508</v>
      </c>
      <c r="C919">
        <v>0.9830011902218696</v>
      </c>
      <c r="D919" s="1">
        <f t="shared" si="43"/>
        <v>-1.1249078835974518</v>
      </c>
      <c r="E919" s="1">
        <f t="shared" si="44"/>
        <v>0.99519203826026659</v>
      </c>
      <c r="I919" s="1">
        <v>1.9314568765714295</v>
      </c>
      <c r="J919">
        <f t="shared" si="42"/>
        <v>0.91399068965023045</v>
      </c>
    </row>
    <row r="920" spans="1:10">
      <c r="A920">
        <v>917</v>
      </c>
      <c r="B920">
        <v>8.0874050111392565E-2</v>
      </c>
      <c r="C920">
        <v>0.89440595721304972</v>
      </c>
      <c r="D920" s="1">
        <f t="shared" si="43"/>
        <v>-1.3992163995454991</v>
      </c>
      <c r="E920" s="1">
        <f t="shared" si="44"/>
        <v>-0.14891121591196232</v>
      </c>
      <c r="I920" s="1">
        <v>1.93626905360417</v>
      </c>
      <c r="J920">
        <f t="shared" si="42"/>
        <v>0.91452364447845369</v>
      </c>
    </row>
    <row r="921" spans="1:10">
      <c r="A921">
        <v>918</v>
      </c>
      <c r="B921">
        <v>0.31830805383465072</v>
      </c>
      <c r="C921">
        <v>0.11832026123844111</v>
      </c>
      <c r="D921" s="1">
        <f t="shared" si="43"/>
        <v>-0.4724353074312751</v>
      </c>
      <c r="E921" s="1">
        <f t="shared" si="44"/>
        <v>-1.6558608923732103</v>
      </c>
      <c r="I921" s="1">
        <v>1.9447802197595521</v>
      </c>
      <c r="J921">
        <f t="shared" si="42"/>
        <v>0.91546020532133932</v>
      </c>
    </row>
    <row r="922" spans="1:10">
      <c r="A922">
        <v>919</v>
      </c>
      <c r="B922">
        <v>0.73259681997131265</v>
      </c>
      <c r="C922">
        <v>4.5930356761375773E-2</v>
      </c>
      <c r="D922" s="1">
        <f t="shared" si="43"/>
        <v>0.62068582153455065</v>
      </c>
      <c r="E922" s="1">
        <f t="shared" si="44"/>
        <v>-1.0649772498241465</v>
      </c>
      <c r="I922" s="1">
        <v>1.955734919847226</v>
      </c>
      <c r="J922">
        <f t="shared" si="42"/>
        <v>0.91665429316093272</v>
      </c>
    </row>
    <row r="923" spans="1:10">
      <c r="A923">
        <v>920</v>
      </c>
      <c r="B923">
        <v>0.42799157689138462</v>
      </c>
      <c r="C923">
        <v>0.5425275429548021</v>
      </c>
      <c r="D923" s="1">
        <f t="shared" si="43"/>
        <v>-0.18148978069368565</v>
      </c>
      <c r="E923" s="1">
        <f t="shared" si="44"/>
        <v>-7.4686335308443444E-2</v>
      </c>
      <c r="I923" s="1">
        <v>1.9823431638496567</v>
      </c>
      <c r="J923">
        <f t="shared" si="42"/>
        <v>0.91950180087496447</v>
      </c>
    </row>
    <row r="924" spans="1:10">
      <c r="A924">
        <v>921</v>
      </c>
      <c r="B924">
        <v>7.3427533799249239E-2</v>
      </c>
      <c r="C924">
        <v>0.4817346720786157</v>
      </c>
      <c r="D924" s="1">
        <f t="shared" si="43"/>
        <v>-1.4507299666597773</v>
      </c>
      <c r="E924" s="1">
        <f t="shared" si="44"/>
        <v>-1.4965303614352452</v>
      </c>
      <c r="I924" s="1">
        <v>1.9868198503271053</v>
      </c>
      <c r="J924">
        <f t="shared" si="42"/>
        <v>0.91997356813357867</v>
      </c>
    </row>
    <row r="925" spans="1:10">
      <c r="A925">
        <v>922</v>
      </c>
      <c r="B925">
        <v>0.80309457686086616</v>
      </c>
      <c r="C925">
        <v>7.602160710470901E-2</v>
      </c>
      <c r="D925" s="1">
        <f t="shared" si="43"/>
        <v>0.85272676215752041</v>
      </c>
      <c r="E925" s="1">
        <f t="shared" si="44"/>
        <v>-0.57962486733342777</v>
      </c>
      <c r="I925" s="1">
        <v>2.0087107793570058</v>
      </c>
      <c r="J925">
        <f t="shared" si="42"/>
        <v>0.92225044248401755</v>
      </c>
    </row>
    <row r="926" spans="1:10">
      <c r="A926">
        <v>923</v>
      </c>
      <c r="B926">
        <v>0.53367717520676294</v>
      </c>
      <c r="C926">
        <v>0.46122623371074556</v>
      </c>
      <c r="D926" s="1">
        <f t="shared" si="43"/>
        <v>8.4516669912609074E-2</v>
      </c>
      <c r="E926" s="1">
        <f t="shared" si="44"/>
        <v>-1.2828271421098061E-2</v>
      </c>
      <c r="I926" s="1">
        <v>2.0132567621418582</v>
      </c>
      <c r="J926">
        <f t="shared" si="42"/>
        <v>0.92271704306396685</v>
      </c>
    </row>
    <row r="927" spans="1:10">
      <c r="A927">
        <v>924</v>
      </c>
      <c r="B927">
        <v>0.33082064271980954</v>
      </c>
      <c r="C927">
        <v>8.9907528916287727E-2</v>
      </c>
      <c r="D927" s="1">
        <f t="shared" si="43"/>
        <v>-0.43764825454657841</v>
      </c>
      <c r="E927" s="1">
        <f t="shared" si="44"/>
        <v>-1.7789729418404745</v>
      </c>
      <c r="I927" s="1">
        <v>2.0214796170910274</v>
      </c>
      <c r="J927">
        <f t="shared" si="42"/>
        <v>0.92355563018452758</v>
      </c>
    </row>
    <row r="928" spans="1:10">
      <c r="A928">
        <v>925</v>
      </c>
      <c r="B928">
        <v>0.23001800592059085</v>
      </c>
      <c r="C928">
        <v>0.48530533768730733</v>
      </c>
      <c r="D928" s="1">
        <f t="shared" si="43"/>
        <v>-0.73878755183701017</v>
      </c>
      <c r="E928" s="1">
        <f t="shared" si="44"/>
        <v>-0.77562994092034965</v>
      </c>
      <c r="I928" s="1">
        <v>2.06284861895299</v>
      </c>
      <c r="J928">
        <f t="shared" si="42"/>
        <v>0.92766985258022083</v>
      </c>
    </row>
    <row r="929" spans="1:10">
      <c r="A929">
        <v>926</v>
      </c>
      <c r="B929">
        <v>0.38843958861049227</v>
      </c>
      <c r="C929">
        <v>5.1759392071291238E-2</v>
      </c>
      <c r="D929" s="1">
        <f t="shared" si="43"/>
        <v>-0.28338832475557879</v>
      </c>
      <c r="E929" s="1">
        <f t="shared" si="44"/>
        <v>-1.9114171013496903</v>
      </c>
      <c r="I929" s="1">
        <v>2.0797382077826336</v>
      </c>
      <c r="J929">
        <f t="shared" si="42"/>
        <v>0.92929993074454442</v>
      </c>
    </row>
    <row r="930" spans="1:10">
      <c r="A930">
        <v>927</v>
      </c>
      <c r="B930">
        <v>0.66127506332590713</v>
      </c>
      <c r="C930">
        <v>0.80294198431348618</v>
      </c>
      <c r="D930" s="1">
        <f t="shared" si="43"/>
        <v>0.41594551445132338</v>
      </c>
      <c r="E930" s="1">
        <f t="shared" si="44"/>
        <v>1.2681222059228445</v>
      </c>
      <c r="I930" s="1">
        <v>2.0973337204054419</v>
      </c>
      <c r="J930">
        <f t="shared" si="42"/>
        <v>0.93096796156366612</v>
      </c>
    </row>
    <row r="931" spans="1:10">
      <c r="A931">
        <v>928</v>
      </c>
      <c r="B931">
        <v>0.15070039979247413</v>
      </c>
      <c r="C931">
        <v>0.5723136082033754</v>
      </c>
      <c r="D931" s="1">
        <f t="shared" si="43"/>
        <v>-1.0334340909127886</v>
      </c>
      <c r="E931" s="1">
        <f t="shared" si="44"/>
        <v>-0.85116656659311241</v>
      </c>
      <c r="I931" s="1">
        <v>2.1048857212014194</v>
      </c>
      <c r="J931">
        <f t="shared" si="42"/>
        <v>0.93167450989516654</v>
      </c>
    </row>
    <row r="932" spans="1:10">
      <c r="A932">
        <v>929</v>
      </c>
      <c r="B932">
        <v>0.60185552537614062</v>
      </c>
      <c r="C932">
        <v>0.57197790459913933</v>
      </c>
      <c r="D932" s="1">
        <f t="shared" si="43"/>
        <v>0.25815284456749577</v>
      </c>
      <c r="E932" s="1">
        <f t="shared" si="44"/>
        <v>0.43956485694392883</v>
      </c>
      <c r="I932" s="1">
        <v>2.1118991765736981</v>
      </c>
      <c r="J932">
        <f t="shared" si="42"/>
        <v>0.93232566328012934</v>
      </c>
    </row>
    <row r="933" spans="1:10">
      <c r="A933">
        <v>930</v>
      </c>
      <c r="B933">
        <v>0.46024964140751368</v>
      </c>
      <c r="C933">
        <v>2.0325327311014132E-2</v>
      </c>
      <c r="D933" s="1">
        <f t="shared" si="43"/>
        <v>-9.9804818159228662E-2</v>
      </c>
      <c r="E933" s="1">
        <f t="shared" si="44"/>
        <v>-2.146880496234894</v>
      </c>
      <c r="I933" s="1">
        <v>2.1203012790100257</v>
      </c>
      <c r="J933">
        <f t="shared" si="42"/>
        <v>0.93309941952795605</v>
      </c>
    </row>
    <row r="934" spans="1:10">
      <c r="A934">
        <v>931</v>
      </c>
      <c r="B934">
        <v>0.83898434400463884</v>
      </c>
      <c r="C934">
        <v>0.72154911954100165</v>
      </c>
      <c r="D934" s="1">
        <f t="shared" si="43"/>
        <v>0.99029221221248576</v>
      </c>
      <c r="E934" s="1">
        <f t="shared" si="44"/>
        <v>1.5777418558611624</v>
      </c>
      <c r="I934" s="1">
        <v>2.1373000364817947</v>
      </c>
      <c r="J934">
        <f t="shared" si="42"/>
        <v>0.93464390015243337</v>
      </c>
    </row>
    <row r="935" spans="1:10">
      <c r="A935">
        <v>932</v>
      </c>
      <c r="B935">
        <v>0.57283242286446734</v>
      </c>
      <c r="C935">
        <v>0.81441694387646102</v>
      </c>
      <c r="D935" s="1">
        <f t="shared" si="43"/>
        <v>0.18358994181445834</v>
      </c>
      <c r="E935" s="1">
        <f t="shared" si="44"/>
        <v>1.0778811321968536</v>
      </c>
      <c r="I935" s="1">
        <v>2.1399003688879716</v>
      </c>
      <c r="J935">
        <f t="shared" si="42"/>
        <v>0.93487770339441667</v>
      </c>
    </row>
    <row r="936" spans="1:10">
      <c r="A936">
        <v>933</v>
      </c>
      <c r="B936">
        <v>6.5340128788109991E-2</v>
      </c>
      <c r="C936">
        <v>0.4400463881344035</v>
      </c>
      <c r="D936" s="1">
        <f t="shared" si="43"/>
        <v>-1.51142478884119</v>
      </c>
      <c r="E936" s="1">
        <f t="shared" si="44"/>
        <v>-1.6622763949087962</v>
      </c>
      <c r="I936" s="1">
        <v>2.1668071294274451</v>
      </c>
      <c r="J936">
        <f t="shared" si="42"/>
        <v>0.93725901694163616</v>
      </c>
    </row>
    <row r="937" spans="1:10">
      <c r="A937">
        <v>934</v>
      </c>
      <c r="B937">
        <v>9.2837305825983457E-2</v>
      </c>
      <c r="C937">
        <v>0.86944181646168406</v>
      </c>
      <c r="D937" s="1">
        <f t="shared" si="43"/>
        <v>-1.3234835848413737</v>
      </c>
      <c r="E937" s="1">
        <f t="shared" si="44"/>
        <v>-0.19972714840471739</v>
      </c>
      <c r="I937" s="1">
        <v>2.1851151385405414</v>
      </c>
      <c r="J937">
        <f t="shared" si="42"/>
        <v>0.93884013832459934</v>
      </c>
    </row>
    <row r="938" spans="1:10">
      <c r="A938">
        <v>935</v>
      </c>
      <c r="B938">
        <v>0.23310037537766656</v>
      </c>
      <c r="C938">
        <v>0.10513626514481032</v>
      </c>
      <c r="D938" s="1">
        <f t="shared" si="43"/>
        <v>-0.72867457189580664</v>
      </c>
      <c r="E938" s="1">
        <f t="shared" si="44"/>
        <v>-1.9814909760156585</v>
      </c>
      <c r="I938" s="1">
        <v>2.1878143521935352</v>
      </c>
      <c r="J938">
        <f t="shared" si="42"/>
        <v>0.93907059130148829</v>
      </c>
    </row>
    <row r="939" spans="1:10">
      <c r="A939">
        <v>936</v>
      </c>
      <c r="B939">
        <v>0.43082979827265239</v>
      </c>
      <c r="C939">
        <v>0.99789422284615614</v>
      </c>
      <c r="D939" s="1">
        <f t="shared" si="43"/>
        <v>-0.17426195588116436</v>
      </c>
      <c r="E939" s="1">
        <f t="shared" si="44"/>
        <v>2.687603663950779</v>
      </c>
      <c r="I939" s="1">
        <v>2.1960692962209785</v>
      </c>
      <c r="J939">
        <f t="shared" si="42"/>
        <v>0.93977116894728618</v>
      </c>
    </row>
    <row r="940" spans="1:10">
      <c r="A940">
        <v>937</v>
      </c>
      <c r="B940">
        <v>0.62218085268715473</v>
      </c>
      <c r="C940">
        <v>0.50578325754570141</v>
      </c>
      <c r="D940" s="1">
        <f t="shared" si="43"/>
        <v>0.31121353439441313</v>
      </c>
      <c r="E940" s="1">
        <f t="shared" si="44"/>
        <v>0.32571051904917853</v>
      </c>
      <c r="I940" s="1">
        <v>2.2106911645933272</v>
      </c>
      <c r="J940">
        <f t="shared" si="42"/>
        <v>0.94099659841244998</v>
      </c>
    </row>
    <row r="941" spans="1:10">
      <c r="A941">
        <v>938</v>
      </c>
      <c r="B941">
        <v>0.27405621509445477</v>
      </c>
      <c r="C941">
        <v>0.96624652851954707</v>
      </c>
      <c r="D941" s="1">
        <f t="shared" si="43"/>
        <v>-0.60059100552181233</v>
      </c>
      <c r="E941" s="1">
        <f t="shared" si="44"/>
        <v>1.2276929736867341</v>
      </c>
      <c r="I941" s="1">
        <v>2.2122664709300572</v>
      </c>
      <c r="J941">
        <f t="shared" si="42"/>
        <v>0.94112744601971832</v>
      </c>
    </row>
    <row r="942" spans="1:10">
      <c r="A942">
        <v>939</v>
      </c>
      <c r="B942">
        <v>0.40202032532731102</v>
      </c>
      <c r="C942">
        <v>0.5050813318277535</v>
      </c>
      <c r="D942" s="1">
        <f t="shared" si="43"/>
        <v>-0.2481211774039741</v>
      </c>
      <c r="E942" s="1">
        <f t="shared" si="44"/>
        <v>-0.23538382296164151</v>
      </c>
      <c r="I942" s="1">
        <v>2.2667559835864894</v>
      </c>
      <c r="J942">
        <f t="shared" si="42"/>
        <v>0.945514845804029</v>
      </c>
    </row>
    <row r="943" spans="1:10">
      <c r="A943">
        <v>940</v>
      </c>
      <c r="B943">
        <v>0.98370311593981752</v>
      </c>
      <c r="C943">
        <v>1.0376293221839045E-2</v>
      </c>
      <c r="D943" s="1">
        <f t="shared" si="43"/>
        <v>2.1370519299365975</v>
      </c>
      <c r="E943" s="1">
        <f t="shared" si="44"/>
        <v>-0.17540372380897384</v>
      </c>
      <c r="I943" s="1">
        <v>2.2778684705991017</v>
      </c>
      <c r="J943">
        <f t="shared" si="42"/>
        <v>0.9463770274222123</v>
      </c>
    </row>
    <row r="944" spans="1:10">
      <c r="A944">
        <v>941</v>
      </c>
      <c r="B944">
        <v>0.19312112796411024</v>
      </c>
      <c r="C944">
        <v>0.98187200537125763</v>
      </c>
      <c r="D944" s="1">
        <f t="shared" si="43"/>
        <v>-0.86645215011581067</v>
      </c>
      <c r="E944" s="1">
        <f t="shared" si="44"/>
        <v>1.2275926538317354</v>
      </c>
      <c r="I944" s="1">
        <v>2.2897842389021879</v>
      </c>
      <c r="J944">
        <f t="shared" si="42"/>
        <v>0.9472894879228948</v>
      </c>
    </row>
    <row r="945" spans="1:10">
      <c r="A945">
        <v>942</v>
      </c>
      <c r="B945">
        <v>0.64815210425122838</v>
      </c>
      <c r="C945">
        <v>0.54615924558244577</v>
      </c>
      <c r="D945" s="1">
        <f t="shared" si="43"/>
        <v>0.38033630203449098</v>
      </c>
      <c r="E945" s="1">
        <f t="shared" si="44"/>
        <v>0.49629975223029293</v>
      </c>
      <c r="I945" s="1">
        <v>2.30381703637486</v>
      </c>
      <c r="J945">
        <f t="shared" si="42"/>
        <v>0.9483482163268232</v>
      </c>
    </row>
    <row r="946" spans="1:10">
      <c r="A946">
        <v>943</v>
      </c>
      <c r="B946">
        <v>0.69273964659566023</v>
      </c>
      <c r="C946">
        <v>9.4363231299783315E-2</v>
      </c>
      <c r="D946" s="1">
        <f t="shared" si="43"/>
        <v>0.5036309961439499</v>
      </c>
      <c r="E946" s="1">
        <f t="shared" si="44"/>
        <v>-0.81072490732134839</v>
      </c>
      <c r="I946" s="1">
        <v>2.3171203791358748</v>
      </c>
      <c r="J946">
        <f t="shared" si="42"/>
        <v>0.94933623167906445</v>
      </c>
    </row>
    <row r="947" spans="1:10">
      <c r="A947">
        <v>944</v>
      </c>
      <c r="B947">
        <v>0.85091708120975373</v>
      </c>
      <c r="C947">
        <v>0.1944944608905301</v>
      </c>
      <c r="D947" s="1">
        <f t="shared" si="43"/>
        <v>1.0403747293378596</v>
      </c>
      <c r="E947" s="1">
        <f t="shared" si="44"/>
        <v>0.17892232039846634</v>
      </c>
      <c r="I947" s="1">
        <v>2.3299641695134046</v>
      </c>
      <c r="J947">
        <f t="shared" si="42"/>
        <v>0.95027577814540587</v>
      </c>
    </row>
    <row r="948" spans="1:10">
      <c r="A948">
        <v>945</v>
      </c>
      <c r="B948">
        <v>0.43769646290475173</v>
      </c>
      <c r="C948">
        <v>0.75502792443617051</v>
      </c>
      <c r="D948" s="1">
        <f t="shared" si="43"/>
        <v>-0.15681211345466831</v>
      </c>
      <c r="E948" s="1">
        <f t="shared" si="44"/>
        <v>0.53358554137147196</v>
      </c>
      <c r="I948" s="1">
        <v>2.333574390810699</v>
      </c>
      <c r="J948">
        <f t="shared" si="42"/>
        <v>0.95053735436187958</v>
      </c>
    </row>
    <row r="949" spans="1:10">
      <c r="A949">
        <v>946</v>
      </c>
      <c r="B949">
        <v>0.18237861262855923</v>
      </c>
      <c r="C949">
        <v>0.70525223548081917</v>
      </c>
      <c r="D949" s="1">
        <f t="shared" si="43"/>
        <v>-0.90633753294769881</v>
      </c>
      <c r="E949" s="1">
        <f t="shared" si="44"/>
        <v>-0.36677031449733266</v>
      </c>
      <c r="I949" s="1">
        <v>2.3336430297091932</v>
      </c>
      <c r="J949">
        <f t="shared" si="42"/>
        <v>0.9505423168878584</v>
      </c>
    </row>
    <row r="950" spans="1:10">
      <c r="A950">
        <v>947</v>
      </c>
      <c r="B950">
        <v>0.86614581743827634</v>
      </c>
      <c r="C950">
        <v>0.81603442487868894</v>
      </c>
      <c r="D950" s="1">
        <f t="shared" si="43"/>
        <v>1.1083553844244307</v>
      </c>
      <c r="E950" s="1">
        <f t="shared" si="44"/>
        <v>2.0087107793570058</v>
      </c>
      <c r="I950" s="1">
        <v>2.3489145649800758</v>
      </c>
      <c r="J950">
        <f t="shared" si="42"/>
        <v>0.9516365900769197</v>
      </c>
    </row>
    <row r="951" spans="1:10">
      <c r="A951">
        <v>948</v>
      </c>
      <c r="B951">
        <v>0.26215399639881587</v>
      </c>
      <c r="C951">
        <v>0.52858058412427134</v>
      </c>
      <c r="D951" s="1">
        <f t="shared" si="43"/>
        <v>-0.63671885025223285</v>
      </c>
      <c r="E951" s="1">
        <f t="shared" si="44"/>
        <v>-0.56501655780468873</v>
      </c>
      <c r="I951" s="1">
        <v>2.3524017686579262</v>
      </c>
      <c r="J951">
        <f t="shared" si="42"/>
        <v>0.95188372769122032</v>
      </c>
    </row>
    <row r="952" spans="1:10">
      <c r="A952">
        <v>949</v>
      </c>
      <c r="B952">
        <v>0.63023773918881798</v>
      </c>
      <c r="C952">
        <v>0.96881008331553087</v>
      </c>
      <c r="D952" s="1">
        <f t="shared" si="43"/>
        <v>0.33248306981117631</v>
      </c>
      <c r="E952" s="1">
        <f t="shared" si="44"/>
        <v>2.1960692962209785</v>
      </c>
      <c r="I952" s="1">
        <v>2.3590477907044369</v>
      </c>
      <c r="J952">
        <f t="shared" si="42"/>
        <v>0.95235193139531549</v>
      </c>
    </row>
    <row r="953" spans="1:10">
      <c r="A953">
        <v>950</v>
      </c>
      <c r="B953">
        <v>0.66374706259346294</v>
      </c>
      <c r="C953">
        <v>0.27716910306100651</v>
      </c>
      <c r="D953" s="1">
        <f t="shared" si="43"/>
        <v>0.42271134831287605</v>
      </c>
      <c r="E953" s="1">
        <f t="shared" si="44"/>
        <v>-0.168560623554456</v>
      </c>
      <c r="I953" s="1">
        <v>2.3609117400834561</v>
      </c>
      <c r="J953">
        <f t="shared" si="42"/>
        <v>0.95248258697786925</v>
      </c>
    </row>
    <row r="954" spans="1:10">
      <c r="A954">
        <v>951</v>
      </c>
      <c r="B954">
        <v>0.23172704245124667</v>
      </c>
      <c r="C954">
        <v>0.87649159215063932</v>
      </c>
      <c r="D954" s="1">
        <f t="shared" si="43"/>
        <v>-0.73317109114274726</v>
      </c>
      <c r="E954" s="1">
        <f t="shared" si="44"/>
        <v>0.4244546113537645</v>
      </c>
      <c r="I954" s="1">
        <v>2.3611180627605166</v>
      </c>
      <c r="J954">
        <f t="shared" si="42"/>
        <v>0.95249703173288081</v>
      </c>
    </row>
    <row r="955" spans="1:10">
      <c r="A955">
        <v>952</v>
      </c>
      <c r="B955">
        <v>0.77770317697683644</v>
      </c>
      <c r="C955">
        <v>0.77047029023102509</v>
      </c>
      <c r="D955" s="1">
        <f t="shared" si="43"/>
        <v>0.76445919243915605</v>
      </c>
      <c r="E955" s="1">
        <f t="shared" si="44"/>
        <v>1.5048557293462839</v>
      </c>
      <c r="I955" s="1">
        <v>2.371794203816497</v>
      </c>
      <c r="J955">
        <f t="shared" si="42"/>
        <v>0.95323968570279083</v>
      </c>
    </row>
    <row r="956" spans="1:10">
      <c r="A956">
        <v>953</v>
      </c>
      <c r="B956">
        <v>0.12378307443464462</v>
      </c>
      <c r="C956">
        <v>0.71739860225226604</v>
      </c>
      <c r="D956" s="1">
        <f t="shared" si="43"/>
        <v>-1.1562812164380594</v>
      </c>
      <c r="E956" s="1">
        <f t="shared" si="44"/>
        <v>-0.58115035213030219</v>
      </c>
      <c r="I956" s="1">
        <v>2.3721769802619597</v>
      </c>
      <c r="J956">
        <f t="shared" si="42"/>
        <v>0.95326613845206709</v>
      </c>
    </row>
    <row r="957" spans="1:10">
      <c r="A957">
        <v>954</v>
      </c>
      <c r="B957">
        <v>0.43186742759483626</v>
      </c>
      <c r="C957">
        <v>0.3762932218390454</v>
      </c>
      <c r="D957" s="1">
        <f t="shared" si="43"/>
        <v>-0.17162181606571372</v>
      </c>
      <c r="E957" s="1">
        <f t="shared" si="44"/>
        <v>-0.48685258721635105</v>
      </c>
      <c r="I957" s="1">
        <v>2.393451460686518</v>
      </c>
      <c r="J957">
        <f t="shared" si="42"/>
        <v>0.95471758773918292</v>
      </c>
    </row>
    <row r="958" spans="1:10">
      <c r="A958">
        <v>955</v>
      </c>
      <c r="B958">
        <v>7.3580126346629235E-2</v>
      </c>
      <c r="C958">
        <v>0.24167607654042175</v>
      </c>
      <c r="D958" s="1">
        <f t="shared" si="43"/>
        <v>-1.4496352787608882</v>
      </c>
      <c r="E958" s="1">
        <f t="shared" si="44"/>
        <v>-2.1505565432485563</v>
      </c>
      <c r="I958" s="1">
        <v>2.4055528391098551</v>
      </c>
      <c r="J958">
        <f t="shared" si="42"/>
        <v>0.95552688444903944</v>
      </c>
    </row>
    <row r="959" spans="1:10">
      <c r="A959">
        <v>956</v>
      </c>
      <c r="B959">
        <v>0.13547166356395154</v>
      </c>
      <c r="C959">
        <v>0.5952330088198492</v>
      </c>
      <c r="D959" s="1">
        <f t="shared" si="43"/>
        <v>-1.1008927745442032</v>
      </c>
      <c r="E959" s="1">
        <f t="shared" si="44"/>
        <v>-0.85986550621307356</v>
      </c>
      <c r="I959" s="1">
        <v>2.407030989035063</v>
      </c>
      <c r="J959">
        <f t="shared" si="42"/>
        <v>0.95562493413042282</v>
      </c>
    </row>
    <row r="960" spans="1:10">
      <c r="A960">
        <v>957</v>
      </c>
      <c r="B960">
        <v>0.43330179754020814</v>
      </c>
      <c r="C960">
        <v>0.75722525711844235</v>
      </c>
      <c r="D960" s="1">
        <f t="shared" si="43"/>
        <v>-0.16797417585222399</v>
      </c>
      <c r="E960" s="1">
        <f t="shared" si="44"/>
        <v>0.52943064445305321</v>
      </c>
      <c r="I960" s="1">
        <v>2.4194767633754974</v>
      </c>
      <c r="J960">
        <f t="shared" si="42"/>
        <v>0.95644360481817781</v>
      </c>
    </row>
    <row r="961" spans="1:10">
      <c r="A961">
        <v>958</v>
      </c>
      <c r="B961">
        <v>0.25486007263405253</v>
      </c>
      <c r="C961">
        <v>0.88814966277047025</v>
      </c>
      <c r="D961" s="1">
        <f t="shared" si="43"/>
        <v>-0.65927351702558978</v>
      </c>
      <c r="E961" s="1">
        <f t="shared" si="44"/>
        <v>0.55747300028922242</v>
      </c>
      <c r="I961" s="1">
        <v>2.4204157172546834</v>
      </c>
      <c r="J961">
        <f t="shared" si="42"/>
        <v>0.95650487046784005</v>
      </c>
    </row>
    <row r="962" spans="1:10">
      <c r="A962">
        <v>959</v>
      </c>
      <c r="B962">
        <v>0.64864040040284432</v>
      </c>
      <c r="C962">
        <v>0.29078035828730125</v>
      </c>
      <c r="D962" s="1">
        <f t="shared" si="43"/>
        <v>0.3816524164311158</v>
      </c>
      <c r="E962" s="1">
        <f t="shared" si="44"/>
        <v>-0.16945401543059513</v>
      </c>
      <c r="I962" s="1">
        <v>2.4674563461315921</v>
      </c>
      <c r="J962">
        <f t="shared" si="42"/>
        <v>0.95948624749567957</v>
      </c>
    </row>
    <row r="963" spans="1:10">
      <c r="A963">
        <v>960</v>
      </c>
      <c r="B963">
        <v>0.38187810907315289</v>
      </c>
      <c r="C963">
        <v>0.2585222937711722</v>
      </c>
      <c r="D963" s="1">
        <f t="shared" si="43"/>
        <v>-0.30055189537797505</v>
      </c>
      <c r="E963" s="1">
        <f t="shared" si="44"/>
        <v>-0.94845969224975724</v>
      </c>
      <c r="I963" s="1">
        <v>2.4843645957351277</v>
      </c>
      <c r="J963">
        <f t="shared" si="42"/>
        <v>0.96051646366770949</v>
      </c>
    </row>
    <row r="964" spans="1:10">
      <c r="A964">
        <v>961</v>
      </c>
      <c r="B964">
        <v>0.46925260170293281</v>
      </c>
      <c r="C964">
        <v>0.64232306894131286</v>
      </c>
      <c r="D964" s="1">
        <f t="shared" si="43"/>
        <v>-7.7148760351282569E-2</v>
      </c>
      <c r="E964" s="1">
        <f t="shared" si="44"/>
        <v>0.28752645435925828</v>
      </c>
      <c r="I964" s="1">
        <v>2.627663159488006</v>
      </c>
      <c r="J964">
        <f t="shared" ref="J964:J1003" si="45">_xlfn.NORM.DIST(I964,$J$1,$J$2,TRUE)</f>
        <v>0.96841822204943795</v>
      </c>
    </row>
    <row r="965" spans="1:10">
      <c r="A965">
        <v>962</v>
      </c>
      <c r="B965">
        <v>0.75356303598132268</v>
      </c>
      <c r="C965">
        <v>0.68816187017426067</v>
      </c>
      <c r="D965" s="1">
        <f t="shared" ref="D965:D1003" si="46">_xlfn.NORM.INV(B965, 0, 1)</f>
        <v>0.68574499444223047</v>
      </c>
      <c r="E965" s="1">
        <f t="shared" ref="E965:E1003" si="47">_xlfn.NORM.INV(C965,D965,1)</f>
        <v>1.1763918227905907</v>
      </c>
      <c r="I965" s="1">
        <v>2.6575182225749878</v>
      </c>
      <c r="J965">
        <f t="shared" si="45"/>
        <v>0.96988793512618954</v>
      </c>
    </row>
    <row r="966" spans="1:10">
      <c r="A966">
        <v>963</v>
      </c>
      <c r="B966">
        <v>0.53813287759025852</v>
      </c>
      <c r="C966">
        <v>0.28458510086367383</v>
      </c>
      <c r="D966" s="1">
        <f t="shared" si="46"/>
        <v>9.573096814914818E-2</v>
      </c>
      <c r="E966" s="1">
        <f t="shared" si="47"/>
        <v>-0.47354304175919848</v>
      </c>
      <c r="I966" s="1">
        <v>2.6583129563213808</v>
      </c>
      <c r="J966">
        <f t="shared" si="45"/>
        <v>0.96992627023816735</v>
      </c>
    </row>
    <row r="967" spans="1:10">
      <c r="A967">
        <v>964</v>
      </c>
      <c r="B967">
        <v>0.94137394329660939</v>
      </c>
      <c r="C967">
        <v>0.81621753593554491</v>
      </c>
      <c r="D967" s="1">
        <f t="shared" si="46"/>
        <v>1.5664123506527243</v>
      </c>
      <c r="E967" s="1">
        <f t="shared" si="47"/>
        <v>2.4674563461315921</v>
      </c>
      <c r="I967" s="1">
        <v>2.6627099999496719</v>
      </c>
      <c r="J967">
        <f t="shared" si="45"/>
        <v>0.97013763730163804</v>
      </c>
    </row>
    <row r="968" spans="1:10">
      <c r="A968">
        <v>965</v>
      </c>
      <c r="B968">
        <v>0.95257423627430038</v>
      </c>
      <c r="C968">
        <v>0.18979461043122653</v>
      </c>
      <c r="D968" s="1">
        <f t="shared" si="46"/>
        <v>1.6703429631605584</v>
      </c>
      <c r="E968" s="1">
        <f t="shared" si="47"/>
        <v>0.79168954155872528</v>
      </c>
      <c r="I968" s="1">
        <v>2.6685054292964026</v>
      </c>
      <c r="J968">
        <f t="shared" si="45"/>
        <v>0.97041434131273097</v>
      </c>
    </row>
    <row r="969" spans="1:10">
      <c r="A969">
        <v>966</v>
      </c>
      <c r="B969">
        <v>0.28110599078341014</v>
      </c>
      <c r="C969">
        <v>0.87041840876491594</v>
      </c>
      <c r="D969" s="1">
        <f t="shared" si="46"/>
        <v>-0.57955909928051452</v>
      </c>
      <c r="E969" s="1">
        <f t="shared" si="47"/>
        <v>0.54881210772318123</v>
      </c>
      <c r="I969" s="1">
        <v>2.6815876606462261</v>
      </c>
      <c r="J969">
        <f t="shared" si="45"/>
        <v>0.97103113757764437</v>
      </c>
    </row>
    <row r="970" spans="1:10">
      <c r="A970">
        <v>967</v>
      </c>
      <c r="B970">
        <v>0.63426618243964961</v>
      </c>
      <c r="C970">
        <v>0.80471205786309397</v>
      </c>
      <c r="D970" s="1">
        <f t="shared" si="46"/>
        <v>0.34317390453487379</v>
      </c>
      <c r="E970" s="1">
        <f t="shared" si="47"/>
        <v>1.2017473671297272</v>
      </c>
      <c r="I970" s="1">
        <v>2.687603663950779</v>
      </c>
      <c r="J970">
        <f t="shared" si="45"/>
        <v>0.97131116983097543</v>
      </c>
    </row>
    <row r="971" spans="1:10">
      <c r="A971">
        <v>968</v>
      </c>
      <c r="B971">
        <v>0.78243354594561598</v>
      </c>
      <c r="C971">
        <v>0.43226416821802421</v>
      </c>
      <c r="D971" s="1">
        <f t="shared" si="46"/>
        <v>0.78043833972829324</v>
      </c>
      <c r="E971" s="1">
        <f t="shared" si="47"/>
        <v>0.60982567182932979</v>
      </c>
      <c r="I971" s="1">
        <v>2.7062791370988655</v>
      </c>
      <c r="J971">
        <f t="shared" si="45"/>
        <v>0.97216616870435923</v>
      </c>
    </row>
    <row r="972" spans="1:10">
      <c r="A972">
        <v>969</v>
      </c>
      <c r="B972">
        <v>0.54286324655903806</v>
      </c>
      <c r="C972">
        <v>0.68163090914639723</v>
      </c>
      <c r="D972" s="1">
        <f t="shared" si="46"/>
        <v>0.10764978098959999</v>
      </c>
      <c r="E972" s="1">
        <f t="shared" si="47"/>
        <v>0.57991403494363991</v>
      </c>
      <c r="I972" s="1">
        <v>2.7591706983196937</v>
      </c>
      <c r="J972">
        <f t="shared" si="45"/>
        <v>0.97447316097285674</v>
      </c>
    </row>
    <row r="973" spans="1:10">
      <c r="A973">
        <v>970</v>
      </c>
      <c r="B973">
        <v>0.66386913663136693</v>
      </c>
      <c r="C973">
        <v>0.76723532822656937</v>
      </c>
      <c r="D973" s="1">
        <f t="shared" si="46"/>
        <v>0.42304596292045887</v>
      </c>
      <c r="E973" s="1">
        <f t="shared" si="47"/>
        <v>1.1528183207336182</v>
      </c>
      <c r="I973" s="1">
        <v>2.8026055723383747</v>
      </c>
      <c r="J973">
        <f t="shared" si="45"/>
        <v>0.97624590474667639</v>
      </c>
    </row>
    <row r="974" spans="1:10">
      <c r="A974">
        <v>971</v>
      </c>
      <c r="B974">
        <v>0.54261909848323009</v>
      </c>
      <c r="C974">
        <v>0.81942197943052464</v>
      </c>
      <c r="D974" s="1">
        <f t="shared" si="46"/>
        <v>0.1070342565740949</v>
      </c>
      <c r="E974" s="1">
        <f t="shared" si="47"/>
        <v>1.0201987383858504</v>
      </c>
      <c r="I974" s="1">
        <v>2.8836769746589832</v>
      </c>
      <c r="J974">
        <f t="shared" si="45"/>
        <v>0.97927835653284601</v>
      </c>
    </row>
    <row r="975" spans="1:10">
      <c r="A975">
        <v>972</v>
      </c>
      <c r="B975">
        <v>0.33497116000854521</v>
      </c>
      <c r="C975">
        <v>0.80568865016632585</v>
      </c>
      <c r="D975" s="1">
        <f t="shared" si="46"/>
        <v>-0.4262271716695194</v>
      </c>
      <c r="E975" s="1">
        <f t="shared" si="47"/>
        <v>0.43589062382387433</v>
      </c>
      <c r="I975" s="1">
        <v>2.9112548074399145</v>
      </c>
      <c r="J975">
        <f t="shared" si="45"/>
        <v>0.98023218033594151</v>
      </c>
    </row>
    <row r="976" spans="1:10">
      <c r="A976">
        <v>973</v>
      </c>
      <c r="B976">
        <v>0.71065401165807063</v>
      </c>
      <c r="C976">
        <v>0.70900601214636683</v>
      </c>
      <c r="D976" s="1">
        <f t="shared" si="46"/>
        <v>0.55529634758499724</v>
      </c>
      <c r="E976" s="1">
        <f t="shared" si="47"/>
        <v>1.1057795781756046</v>
      </c>
      <c r="I976" s="1">
        <v>2.9271940088629598</v>
      </c>
      <c r="J976">
        <f t="shared" si="45"/>
        <v>0.98076627559026475</v>
      </c>
    </row>
    <row r="977" spans="1:10">
      <c r="A977">
        <v>974</v>
      </c>
      <c r="B977">
        <v>0.70967741935483875</v>
      </c>
      <c r="C977">
        <v>4.1108432264168215E-2</v>
      </c>
      <c r="D977" s="1">
        <f t="shared" si="46"/>
        <v>0.55244258464677454</v>
      </c>
      <c r="E977" s="1">
        <f t="shared" si="47"/>
        <v>-1.185523076885787</v>
      </c>
      <c r="I977" s="1">
        <v>2.9394134254330271</v>
      </c>
      <c r="J977">
        <f t="shared" si="45"/>
        <v>0.9811673760672267</v>
      </c>
    </row>
    <row r="978" spans="1:10">
      <c r="A978">
        <v>975</v>
      </c>
      <c r="B978">
        <v>0.68178350169377733</v>
      </c>
      <c r="C978">
        <v>0.53318887905514689</v>
      </c>
      <c r="D978" s="1">
        <f t="shared" si="46"/>
        <v>0.47269191356984053</v>
      </c>
      <c r="E978" s="1">
        <f t="shared" si="47"/>
        <v>0.55598029070034272</v>
      </c>
      <c r="I978" s="1">
        <v>2.9480825040171177</v>
      </c>
      <c r="J978">
        <f t="shared" si="45"/>
        <v>0.98144760247131901</v>
      </c>
    </row>
    <row r="979" spans="1:10">
      <c r="A979">
        <v>976</v>
      </c>
      <c r="B979">
        <v>0.31626331369975891</v>
      </c>
      <c r="C979">
        <v>0.24756614886928924</v>
      </c>
      <c r="D979" s="1">
        <f t="shared" si="46"/>
        <v>-0.47817363310328137</v>
      </c>
      <c r="E979" s="1">
        <f t="shared" si="47"/>
        <v>-1.1603423112781268</v>
      </c>
      <c r="I979" s="1">
        <v>2.9553343189241716</v>
      </c>
      <c r="J979">
        <f t="shared" si="45"/>
        <v>0.98167928151133299</v>
      </c>
    </row>
    <row r="980" spans="1:10">
      <c r="A980">
        <v>977</v>
      </c>
      <c r="B980">
        <v>0.88473158970915855</v>
      </c>
      <c r="C980">
        <v>6.5492721335489973E-2</v>
      </c>
      <c r="D980" s="1">
        <f t="shared" si="46"/>
        <v>1.1989771759714092</v>
      </c>
      <c r="E980" s="1">
        <f t="shared" si="47"/>
        <v>-0.31125009364661005</v>
      </c>
      <c r="I980" s="1">
        <v>2.9655951344231384</v>
      </c>
      <c r="J980">
        <f t="shared" si="45"/>
        <v>0.98200287725902013</v>
      </c>
    </row>
    <row r="981" spans="1:10">
      <c r="A981">
        <v>978</v>
      </c>
      <c r="B981">
        <v>0.89022492141483811</v>
      </c>
      <c r="C981">
        <v>0.63020722067934198</v>
      </c>
      <c r="D981" s="1">
        <f t="shared" si="46"/>
        <v>1.2277251628520633</v>
      </c>
      <c r="E981" s="1">
        <f t="shared" si="47"/>
        <v>1.5601273878882491</v>
      </c>
      <c r="I981" s="1">
        <v>3.0297955930243168</v>
      </c>
      <c r="J981">
        <f t="shared" si="45"/>
        <v>0.98391890421982808</v>
      </c>
    </row>
    <row r="982" spans="1:10">
      <c r="A982">
        <v>979</v>
      </c>
      <c r="B982">
        <v>0.86178167058320876</v>
      </c>
      <c r="C982">
        <v>0.67506942960905791</v>
      </c>
      <c r="D982" s="1">
        <f t="shared" si="46"/>
        <v>1.0883589882082616</v>
      </c>
      <c r="E982" s="1">
        <f t="shared" si="47"/>
        <v>1.5423140926282675</v>
      </c>
      <c r="I982" s="1">
        <v>3.0669125569369058</v>
      </c>
      <c r="J982">
        <f t="shared" si="45"/>
        <v>0.98494478443862277</v>
      </c>
    </row>
    <row r="983" spans="1:10">
      <c r="A983">
        <v>980</v>
      </c>
      <c r="B983">
        <v>0.12106692709128086</v>
      </c>
      <c r="C983">
        <v>0.44026001770073547</v>
      </c>
      <c r="D983" s="1">
        <f t="shared" si="46"/>
        <v>-1.1696698540318831</v>
      </c>
      <c r="E983" s="1">
        <f t="shared" si="47"/>
        <v>-1.3199798646325893</v>
      </c>
      <c r="I983" s="1">
        <v>3.0697396924536795</v>
      </c>
      <c r="J983">
        <f t="shared" si="45"/>
        <v>0.98502056573291985</v>
      </c>
    </row>
    <row r="984" spans="1:10">
      <c r="A984">
        <v>981</v>
      </c>
      <c r="B984">
        <v>0.90664387951292458</v>
      </c>
      <c r="C984">
        <v>0.59535508285775318</v>
      </c>
      <c r="D984" s="1">
        <f t="shared" si="46"/>
        <v>1.320367823769047</v>
      </c>
      <c r="E984" s="1">
        <f t="shared" si="47"/>
        <v>1.5617101168841636</v>
      </c>
      <c r="I984" s="1">
        <v>3.0736587491356406</v>
      </c>
      <c r="J984">
        <f t="shared" si="45"/>
        <v>0.98512507349028433</v>
      </c>
    </row>
    <row r="985" spans="1:10">
      <c r="A985">
        <v>982</v>
      </c>
      <c r="B985">
        <v>0.10339671010467849</v>
      </c>
      <c r="C985">
        <v>0.82842493972594378</v>
      </c>
      <c r="D985" s="1">
        <f t="shared" si="46"/>
        <v>-1.2624318898585019</v>
      </c>
      <c r="E985" s="1">
        <f t="shared" si="47"/>
        <v>-0.3144724842845632</v>
      </c>
      <c r="I985" s="1">
        <v>3.0969099679733065</v>
      </c>
      <c r="J985">
        <f t="shared" si="45"/>
        <v>0.985732297737275</v>
      </c>
    </row>
    <row r="986" spans="1:10">
      <c r="A986">
        <v>983</v>
      </c>
      <c r="B986">
        <v>0.62190618610187076</v>
      </c>
      <c r="C986">
        <v>0.38334299752800072</v>
      </c>
      <c r="D986" s="1">
        <f t="shared" si="46"/>
        <v>0.31049096673731635</v>
      </c>
      <c r="E986" s="1">
        <f t="shared" si="47"/>
        <v>1.3778443278160524E-2</v>
      </c>
      <c r="I986" s="1">
        <v>3.1453697589816363</v>
      </c>
      <c r="J986">
        <f t="shared" si="45"/>
        <v>0.98692955475351962</v>
      </c>
    </row>
    <row r="987" spans="1:10">
      <c r="A987">
        <v>984</v>
      </c>
      <c r="B987">
        <v>0.93273720511490221</v>
      </c>
      <c r="C987">
        <v>0.40891750846888636</v>
      </c>
      <c r="D987" s="1">
        <f t="shared" si="46"/>
        <v>1.4964916210614161</v>
      </c>
      <c r="E987" s="1">
        <f t="shared" si="47"/>
        <v>1.266161191655238</v>
      </c>
      <c r="I987" s="1">
        <v>3.2541095774447157</v>
      </c>
      <c r="J987">
        <f t="shared" si="45"/>
        <v>0.98930426780258685</v>
      </c>
    </row>
    <row r="988" spans="1:10">
      <c r="A988">
        <v>985</v>
      </c>
      <c r="B988">
        <v>0.32258064516129031</v>
      </c>
      <c r="C988">
        <v>0.4030579546494949</v>
      </c>
      <c r="D988" s="1">
        <f t="shared" si="46"/>
        <v>-0.46049453910311622</v>
      </c>
      <c r="E988" s="1">
        <f t="shared" si="47"/>
        <v>-0.70593434684066536</v>
      </c>
      <c r="I988" s="1">
        <v>3.3326491121388964</v>
      </c>
      <c r="J988">
        <f t="shared" si="45"/>
        <v>0.990776929411607</v>
      </c>
    </row>
    <row r="989" spans="1:10">
      <c r="A989">
        <v>986</v>
      </c>
      <c r="B989">
        <v>0.92190313425092318</v>
      </c>
      <c r="C989">
        <v>0.28165532395397808</v>
      </c>
      <c r="D989" s="1">
        <f t="shared" si="46"/>
        <v>1.4179898385081546</v>
      </c>
      <c r="E989" s="1">
        <f t="shared" si="47"/>
        <v>0.84005875408526465</v>
      </c>
      <c r="I989" s="1">
        <v>3.3611173749029666</v>
      </c>
      <c r="J989">
        <f t="shared" si="45"/>
        <v>0.99126511901002745</v>
      </c>
    </row>
    <row r="990" spans="1:10">
      <c r="A990">
        <v>987</v>
      </c>
      <c r="B990">
        <v>0.1098361156041139</v>
      </c>
      <c r="C990">
        <v>0.34168523209326457</v>
      </c>
      <c r="D990" s="1">
        <f t="shared" si="46"/>
        <v>-1.2274001469485583</v>
      </c>
      <c r="E990" s="1">
        <f t="shared" si="47"/>
        <v>-1.6352683143728295</v>
      </c>
      <c r="I990" s="1">
        <v>3.5271607056471743</v>
      </c>
      <c r="J990">
        <f t="shared" si="45"/>
        <v>0.99368578278277819</v>
      </c>
    </row>
    <row r="991" spans="1:10">
      <c r="A991">
        <v>988</v>
      </c>
      <c r="B991">
        <v>0.21094393749809259</v>
      </c>
      <c r="C991">
        <v>0.73769341105380415</v>
      </c>
      <c r="D991" s="1">
        <f t="shared" si="46"/>
        <v>-0.80315028730836979</v>
      </c>
      <c r="E991" s="1">
        <f t="shared" si="47"/>
        <v>-0.16689981061588088</v>
      </c>
      <c r="I991" s="1">
        <v>3.5463258792130734</v>
      </c>
      <c r="J991">
        <f t="shared" si="45"/>
        <v>0.99392282537462207</v>
      </c>
    </row>
    <row r="992" spans="1:10">
      <c r="A992">
        <v>989</v>
      </c>
      <c r="B992">
        <v>0.54487746818445382</v>
      </c>
      <c r="C992">
        <v>0.33057649464400157</v>
      </c>
      <c r="D992" s="1">
        <f t="shared" si="46"/>
        <v>0.11272943576062253</v>
      </c>
      <c r="E992" s="1">
        <f t="shared" si="47"/>
        <v>-0.32559241369876801</v>
      </c>
      <c r="I992" s="1">
        <v>3.5562211906826597</v>
      </c>
      <c r="J992">
        <f t="shared" si="45"/>
        <v>0.99404210005896509</v>
      </c>
    </row>
    <row r="993" spans="1:10">
      <c r="A993">
        <v>990</v>
      </c>
      <c r="B993">
        <v>0.23438215277565844</v>
      </c>
      <c r="C993">
        <v>0.18143253883480331</v>
      </c>
      <c r="D993" s="1">
        <f t="shared" si="46"/>
        <v>-0.72449107329033091</v>
      </c>
      <c r="E993" s="1">
        <f t="shared" si="47"/>
        <v>-1.6344103598790434</v>
      </c>
      <c r="I993" s="1">
        <v>3.630562323379555</v>
      </c>
      <c r="J993">
        <f t="shared" si="45"/>
        <v>0.99487375658046817</v>
      </c>
    </row>
    <row r="994" spans="1:10">
      <c r="A994">
        <v>991</v>
      </c>
      <c r="B994">
        <v>0.78298287911618392</v>
      </c>
      <c r="C994">
        <v>0.32389294106875821</v>
      </c>
      <c r="D994" s="1">
        <f t="shared" si="46"/>
        <v>0.78230688465875586</v>
      </c>
      <c r="E994" s="1">
        <f t="shared" si="47"/>
        <v>0.32546664740829345</v>
      </c>
      <c r="I994" s="1">
        <v>3.645776563054747</v>
      </c>
      <c r="J994">
        <f t="shared" si="45"/>
        <v>0.99503062899575645</v>
      </c>
    </row>
    <row r="995" spans="1:10">
      <c r="A995">
        <v>992</v>
      </c>
      <c r="B995">
        <v>0.71309549241615044</v>
      </c>
      <c r="C995">
        <v>0.56086916714987645</v>
      </c>
      <c r="D995" s="1">
        <f t="shared" si="46"/>
        <v>0.56245065433548513</v>
      </c>
      <c r="E995" s="1">
        <f t="shared" si="47"/>
        <v>0.71562388711921343</v>
      </c>
      <c r="I995" s="1">
        <v>3.7106033154084361</v>
      </c>
      <c r="J995">
        <f t="shared" si="45"/>
        <v>0.99565216621872243</v>
      </c>
    </row>
    <row r="996" spans="1:10">
      <c r="A996">
        <v>993</v>
      </c>
      <c r="B996">
        <v>0.41340372936185799</v>
      </c>
      <c r="C996">
        <v>0.10824915311136205</v>
      </c>
      <c r="D996" s="1">
        <f t="shared" si="46"/>
        <v>-0.2187979309076962</v>
      </c>
      <c r="E996" s="1">
        <f t="shared" si="47"/>
        <v>-1.4546910200004839</v>
      </c>
      <c r="I996" s="1">
        <v>3.727338356072182</v>
      </c>
      <c r="J996">
        <f t="shared" si="45"/>
        <v>0.99580089083963785</v>
      </c>
    </row>
    <row r="997" spans="1:10">
      <c r="A997">
        <v>994</v>
      </c>
      <c r="B997">
        <v>0.68578142643513296</v>
      </c>
      <c r="C997">
        <v>0.43671987060151984</v>
      </c>
      <c r="D997" s="1">
        <f t="shared" si="46"/>
        <v>0.48392774772292424</v>
      </c>
      <c r="E997" s="1">
        <f t="shared" si="47"/>
        <v>0.32463691275478723</v>
      </c>
      <c r="I997" s="1">
        <v>3.7323358342204003</v>
      </c>
      <c r="J997">
        <f t="shared" si="45"/>
        <v>0.99584441248810118</v>
      </c>
    </row>
    <row r="998" spans="1:10">
      <c r="A998">
        <v>995</v>
      </c>
      <c r="B998">
        <v>0.71315652943510244</v>
      </c>
      <c r="C998">
        <v>0.8027588732566302</v>
      </c>
      <c r="D998" s="1">
        <f t="shared" si="46"/>
        <v>0.56262987984781843</v>
      </c>
      <c r="E998" s="1">
        <f t="shared" si="47"/>
        <v>1.4141468266624517</v>
      </c>
      <c r="I998" s="1">
        <v>3.9644974766522543</v>
      </c>
      <c r="J998">
        <f t="shared" si="45"/>
        <v>0.99747105106876699</v>
      </c>
    </row>
    <row r="999" spans="1:10">
      <c r="A999">
        <v>996</v>
      </c>
      <c r="B999">
        <v>0.70455030976287114</v>
      </c>
      <c r="C999">
        <v>0.3609729300820948</v>
      </c>
      <c r="D999" s="1">
        <f t="shared" si="46"/>
        <v>0.53753316797027673</v>
      </c>
      <c r="E999" s="1">
        <f t="shared" si="47"/>
        <v>0.18167376531664003</v>
      </c>
      <c r="I999" s="1">
        <v>4.011096947786843</v>
      </c>
      <c r="J999">
        <f t="shared" si="45"/>
        <v>0.99771783548131643</v>
      </c>
    </row>
    <row r="1000" spans="1:10">
      <c r="A1000">
        <v>997</v>
      </c>
      <c r="B1000">
        <v>0.18897061067537463</v>
      </c>
      <c r="C1000">
        <v>8.6001159703360086E-2</v>
      </c>
      <c r="D1000" s="1">
        <f t="shared" si="46"/>
        <v>-0.88169600616118549</v>
      </c>
      <c r="E1000" s="1">
        <f t="shared" si="47"/>
        <v>-2.2474941810800084</v>
      </c>
      <c r="I1000" s="1">
        <v>4.0803831040707914</v>
      </c>
      <c r="J1000">
        <f t="shared" si="45"/>
        <v>0.99804458813636876</v>
      </c>
    </row>
    <row r="1001" spans="1:10">
      <c r="A1001">
        <v>998</v>
      </c>
      <c r="B1001">
        <v>0.82210760826441232</v>
      </c>
      <c r="C1001">
        <v>0.10571611682485428</v>
      </c>
      <c r="D1001" s="1">
        <f t="shared" si="46"/>
        <v>0.92342689081526497</v>
      </c>
      <c r="E1001" s="1">
        <f t="shared" si="47"/>
        <v>-0.32620996417999271</v>
      </c>
      <c r="I1001" s="1">
        <v>4.1295236526988797</v>
      </c>
      <c r="J1001">
        <f t="shared" si="45"/>
        <v>0.99824992269249369</v>
      </c>
    </row>
    <row r="1002" spans="1:10">
      <c r="A1002">
        <v>999</v>
      </c>
      <c r="B1002">
        <v>0.77623828852198862</v>
      </c>
      <c r="C1002">
        <v>0.7798089541306803</v>
      </c>
      <c r="D1002" s="1">
        <f t="shared" si="46"/>
        <v>0.7595503228987015</v>
      </c>
      <c r="E1002" s="1">
        <f t="shared" si="47"/>
        <v>1.5310984764852025</v>
      </c>
      <c r="I1002" s="1">
        <v>4.2615933053702548</v>
      </c>
      <c r="J1002">
        <f t="shared" si="45"/>
        <v>0.99870831566551488</v>
      </c>
    </row>
    <row r="1003" spans="1:10">
      <c r="A1003">
        <v>1000</v>
      </c>
      <c r="B1003">
        <v>0.51512192144535662</v>
      </c>
      <c r="C1003">
        <v>0.10446485793633839</v>
      </c>
      <c r="D1003" s="1">
        <f t="shared" si="46"/>
        <v>3.7914117369528648E-2</v>
      </c>
      <c r="E1003" s="1">
        <f t="shared" si="47"/>
        <v>-1.218599765095628</v>
      </c>
      <c r="I1003" s="1">
        <v>5.0648580685816276</v>
      </c>
      <c r="J1003">
        <f t="shared" si="45"/>
        <v>0.99982911807334807</v>
      </c>
    </row>
  </sheetData>
  <sortState xmlns:xlrd2="http://schemas.microsoft.com/office/spreadsheetml/2017/richdata2" ref="I4:I1003">
    <sortCondition ref="I4:I100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FB8725-6B4B-4915-8F66-D4838E824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4115B6-6814-423D-9553-65B05A55B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43f129-a7cc-4119-8885-bafc764d2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2B4408-D634-4373-A2D3-6A33371BA0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serviceLevel</vt:lpstr>
      <vt:lpstr>evalProbFC</vt:lpstr>
      <vt:lpstr>distrFC</vt:lpstr>
      <vt:lpstr>quantileRegFanEx</vt:lpstr>
      <vt:lpstr>quantileReg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Kannapha Amaruchkul</dc:creator>
  <cp:lastModifiedBy>Pannatorn Janpitak</cp:lastModifiedBy>
  <dcterms:created xsi:type="dcterms:W3CDTF">2026-04-10T04:46:01Z</dcterms:created>
  <dcterms:modified xsi:type="dcterms:W3CDTF">2026-07-01T07:28:08Z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